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Promo Break-Ev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0.0%"/>
    <numFmt numFmtId="166" formatCode="&quot;$&quot;#,##0"/>
    <numFmt numFmtId="167" formatCode="&quot;$&quot;#,##0;\(&quot;$&quot;#,##0\);\-"/>
    <numFmt numFmtId="168" formatCode="0.0%;\(0.0%\);\-"/>
    <numFmt numFmtId="169" formatCode="&quot;$&quot;#,##0.00_);[Red]\(&quot;$&quot;#,##0.00\)"/>
  </numFmts>
  <fonts count="29">
    <font>
      <name val="Calibri"/>
      <family val="2"/>
      <color theme="1"/>
      <sz val="11"/>
      <scheme val="minor"/>
    </font>
    <font>
      <name val="Aptos Narrow"/>
      <family val="2"/>
      <b val="1"/>
      <color rgb="FFFFFFFF"/>
      <sz val="15"/>
      <scheme val="minor"/>
    </font>
    <font>
      <name val="Aptos Narrow"/>
      <family val="2"/>
      <color theme="1"/>
      <sz val="12"/>
      <scheme val="minor"/>
    </font>
    <font>
      <name val="Aptos Narrow"/>
      <family val="2"/>
      <i val="1"/>
      <color rgb="FFFFFFFF"/>
      <sz val="13"/>
      <scheme val="minor"/>
    </font>
    <font>
      <name val="Aptos Narrow"/>
      <family val="2"/>
      <b val="1"/>
      <color rgb="FFFFFFFF"/>
      <sz val="13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b val="1"/>
      <color rgb="FF0000AA"/>
      <sz val="13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rgb="FF156082"/>
      <sz val="13"/>
      <scheme val="minor"/>
    </font>
    <font>
      <name val="Aptos Narrow"/>
      <family val="2"/>
      <b val="1"/>
      <color rgb="FF1F3864"/>
      <sz val="13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0000AA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b val="1"/>
      <color rgb="FFC00000"/>
      <sz val="13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color theme="1"/>
      <sz val="14"/>
      <scheme val="minor"/>
    </font>
    <font>
      <name val="Aptos Narrow"/>
      <color theme="1"/>
      <sz val="13"/>
      <scheme val="minor"/>
    </font>
    <font>
      <name val="Aptos Narrow"/>
      <b val="1"/>
      <color rgb="FF156082"/>
      <sz val="13"/>
      <scheme val="minor"/>
    </font>
    <font>
      <name val="Aptos Narrow"/>
      <b val="1"/>
      <color rgb="FFC00000"/>
      <sz val="13"/>
      <scheme val="minor"/>
    </font>
    <font>
      <name val="Aptos Narrow"/>
      <b val="1"/>
      <color theme="1"/>
      <sz val="13"/>
      <scheme val="minor"/>
    </font>
    <font>
      <name val="Aptos Narrow"/>
      <b val="1"/>
      <color rgb="FF333333"/>
      <sz val="13"/>
      <scheme val="minor"/>
    </font>
    <font>
      <name val="Aptos Narrow"/>
      <b val="1"/>
      <color rgb="FFC07000"/>
      <sz val="13"/>
      <scheme val="minor"/>
    </font>
    <font>
      <name val="Aptos Narrow"/>
      <family val="2"/>
      <color rgb="FF156082"/>
      <sz val="13"/>
      <scheme val="minor"/>
    </font>
    <font>
      <name val="Aptos Narrow"/>
      <family val="2"/>
      <color rgb="FFC00000"/>
      <sz val="13"/>
      <scheme val="minor"/>
    </font>
    <font>
      <name val="Aptos Narrow"/>
      <family val="2"/>
      <color rgb="FF555555"/>
      <sz val="13"/>
      <scheme val="minor"/>
    </font>
    <font>
      <name val="Aptos Narrow"/>
      <family val="2"/>
      <i val="1"/>
      <color rgb="FF595959"/>
      <sz val="13"/>
      <scheme val="minor"/>
    </font>
    <font>
      <name val="Aptos Narrow"/>
      <family val="2"/>
      <i val="1"/>
      <color rgb="FF595959"/>
      <sz val="12"/>
      <scheme val="minor"/>
    </font>
  </fonts>
  <fills count="21">
    <fill>
      <patternFill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0E4A62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FFE62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FF6FA"/>
        <bgColor indexed="64"/>
      </patternFill>
    </fill>
    <fill>
      <patternFill patternType="solid">
        <fgColor rgb="FFF5F9F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A7A9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D2E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156082"/>
      </left>
      <right style="thin">
        <color rgb="FF156082"/>
      </right>
      <top style="thin">
        <color rgb="FF156082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56082"/>
      </left>
      <right style="thin">
        <color rgb="FF156082"/>
      </right>
      <top/>
      <bottom/>
      <diagonal/>
    </border>
    <border>
      <left style="thin">
        <color rgb="FF156082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6" pivotButton="0" quotePrefix="0" xfId="0"/>
    <xf numFmtId="0" fontId="4" fillId="2" borderId="7" applyAlignment="1" pivotButton="0" quotePrefix="0" xfId="0">
      <alignment horizontal="left" vertical="center" indent="1"/>
    </xf>
    <xf numFmtId="0" fontId="5" fillId="4" borderId="8" applyAlignment="1" pivotButton="0" quotePrefix="0" xfId="0">
      <alignment horizontal="left" vertical="center" indent="1"/>
    </xf>
    <xf numFmtId="164" fontId="6" fillId="5" borderId="9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6" borderId="8" applyAlignment="1" pivotButton="0" quotePrefix="0" xfId="0">
      <alignment horizontal="left" vertical="center" indent="1"/>
    </xf>
    <xf numFmtId="164" fontId="6" fillId="5" borderId="11" applyAlignment="1" pivotButton="0" quotePrefix="0" xfId="0">
      <alignment horizontal="center" vertical="center"/>
    </xf>
    <xf numFmtId="0" fontId="7" fillId="4" borderId="8" applyAlignment="1" pivotButton="0" quotePrefix="0" xfId="0">
      <alignment horizontal="left" vertical="center" indent="1"/>
    </xf>
    <xf numFmtId="165" fontId="8" fillId="7" borderId="0" applyAlignment="1" pivotButton="0" quotePrefix="0" xfId="0">
      <alignment horizontal="center" vertical="center"/>
    </xf>
    <xf numFmtId="0" fontId="9" fillId="4" borderId="8" applyAlignment="1" pivotButton="0" quotePrefix="0" xfId="0">
      <alignment horizontal="left" vertical="center" indent="1"/>
    </xf>
    <xf numFmtId="9" fontId="6" fillId="5" borderId="12" applyAlignment="1" pivotButton="0" quotePrefix="0" xfId="0">
      <alignment horizontal="center" vertical="center"/>
    </xf>
    <xf numFmtId="0" fontId="10" fillId="0" borderId="10" applyAlignment="1" pivotButton="0" quotePrefix="0" xfId="0">
      <alignment horizontal="left" vertical="center" wrapText="1" indent="2"/>
    </xf>
    <xf numFmtId="0" fontId="2" fillId="0" borderId="10" pivotButton="0" quotePrefix="0" xfId="0"/>
    <xf numFmtId="0" fontId="9" fillId="6" borderId="8" applyAlignment="1" pivotButton="0" quotePrefix="0" xfId="0">
      <alignment horizontal="left" vertical="center" indent="1"/>
    </xf>
    <xf numFmtId="165" fontId="6" fillId="5" borderId="13" applyAlignment="1" pivotButton="0" quotePrefix="0" xfId="0">
      <alignment horizontal="center" vertical="center"/>
    </xf>
    <xf numFmtId="0" fontId="10" fillId="0" borderId="14" applyAlignment="1" pivotButton="0" quotePrefix="0" xfId="0">
      <alignment horizontal="left" vertical="center" wrapText="1" indent="2"/>
    </xf>
    <xf numFmtId="166" fontId="6" fillId="5" borderId="9" applyAlignment="1" pivotButton="0" quotePrefix="0" xfId="0">
      <alignment horizontal="center" vertical="center"/>
    </xf>
    <xf numFmtId="3" fontId="6" fillId="5" borderId="9" applyAlignment="1" pivotButton="0" quotePrefix="0" xfId="0">
      <alignment horizontal="center" vertical="center"/>
    </xf>
    <xf numFmtId="9" fontId="6" fillId="5" borderId="11" applyAlignment="1" pivotButton="0" quotePrefix="0" xfId="0">
      <alignment horizontal="center" vertical="center"/>
    </xf>
    <xf numFmtId="0" fontId="11" fillId="8" borderId="8" applyAlignment="1" pivotButton="0" quotePrefix="0" xfId="0">
      <alignment horizontal="left" vertical="center" indent="1"/>
    </xf>
    <xf numFmtId="9" fontId="12" fillId="8" borderId="0" applyAlignment="1" pivotButton="0" quotePrefix="0" xfId="0">
      <alignment horizontal="center" vertical="center"/>
    </xf>
    <xf numFmtId="0" fontId="2" fillId="8" borderId="10" applyAlignment="1" pivotButton="0" quotePrefix="0" xfId="0">
      <alignment vertical="center"/>
    </xf>
    <xf numFmtId="0" fontId="2" fillId="8" borderId="0" applyAlignment="1" pivotButton="0" quotePrefix="0" xfId="0">
      <alignment horizontal="center" vertical="center"/>
    </xf>
    <xf numFmtId="0" fontId="4" fillId="9" borderId="8" applyAlignment="1" pivotButton="0" quotePrefix="0" xfId="0">
      <alignment horizontal="left" vertical="center" indent="1"/>
    </xf>
    <xf numFmtId="164" fontId="8" fillId="8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vertical="center"/>
    </xf>
    <xf numFmtId="0" fontId="14" fillId="0" borderId="10" applyAlignment="1" pivotButton="0" quotePrefix="0" xfId="0">
      <alignment vertical="center"/>
    </xf>
    <xf numFmtId="164" fontId="15" fillId="8" borderId="0" applyAlignment="1" pivotButton="0" quotePrefix="0" xfId="0">
      <alignment horizontal="center" vertical="center"/>
    </xf>
    <xf numFmtId="0" fontId="13" fillId="0" borderId="10" applyAlignment="1" pivotButton="0" quotePrefix="0" xfId="0">
      <alignment horizontal="left" vertical="center" wrapText="1" indent="1"/>
    </xf>
    <xf numFmtId="167" fontId="15" fillId="8" borderId="0" applyAlignment="1" pivotButton="0" quotePrefix="0" xfId="0">
      <alignment horizontal="center" vertical="center"/>
    </xf>
    <xf numFmtId="165" fontId="15" fillId="8" borderId="0" applyAlignment="1" pivotButton="0" quotePrefix="0" xfId="0">
      <alignment horizontal="center" vertical="center"/>
    </xf>
    <xf numFmtId="0" fontId="2" fillId="0" borderId="8" pivotButton="0" quotePrefix="0" xfId="0"/>
    <xf numFmtId="0" fontId="16" fillId="3" borderId="15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0" borderId="8" applyAlignment="1" pivotButton="0" quotePrefix="0" xfId="0">
      <alignment horizontal="left" vertical="center" indent="1"/>
    </xf>
    <xf numFmtId="165" fontId="19" fillId="10" borderId="0" applyAlignment="1" pivotButton="0" quotePrefix="0" xfId="0">
      <alignment horizontal="center" vertical="center"/>
    </xf>
    <xf numFmtId="0" fontId="10" fillId="11" borderId="10" applyAlignment="1" pivotButton="0" quotePrefix="0" xfId="0">
      <alignment horizontal="left" vertical="center" wrapText="1" indent="1"/>
    </xf>
    <xf numFmtId="0" fontId="18" fillId="11" borderId="8" applyAlignment="1" pivotButton="0" quotePrefix="0" xfId="0">
      <alignment horizontal="left" vertical="center" indent="1"/>
    </xf>
    <xf numFmtId="164" fontId="19" fillId="11" borderId="0" applyAlignment="1" pivotButton="0" quotePrefix="0" xfId="0">
      <alignment horizontal="center" vertical="center"/>
    </xf>
    <xf numFmtId="164" fontId="19" fillId="10" borderId="0" applyAlignment="1" pivotButton="0" quotePrefix="0" xfId="0">
      <alignment horizontal="center" vertical="center"/>
    </xf>
    <xf numFmtId="164" fontId="20" fillId="11" borderId="0" applyAlignment="1" pivotButton="0" quotePrefix="0" xfId="0">
      <alignment horizontal="center" vertical="center"/>
    </xf>
    <xf numFmtId="166" fontId="20" fillId="10" borderId="0" applyAlignment="1" pivotButton="0" quotePrefix="0" xfId="0">
      <alignment horizontal="center" vertical="center"/>
    </xf>
    <xf numFmtId="0" fontId="10" fillId="10" borderId="10" applyAlignment="1" pivotButton="0" quotePrefix="0" xfId="0">
      <alignment horizontal="left" vertical="center" indent="1"/>
    </xf>
    <xf numFmtId="166" fontId="20" fillId="11" borderId="0" applyAlignment="1" pivotButton="0" quotePrefix="0" xfId="0">
      <alignment horizontal="center" vertical="center"/>
    </xf>
    <xf numFmtId="0" fontId="10" fillId="11" borderId="10" applyAlignment="1" pivotButton="0" quotePrefix="0" xfId="0">
      <alignment horizontal="left" vertical="center" indent="1"/>
    </xf>
    <xf numFmtId="0" fontId="21" fillId="11" borderId="8" applyAlignment="1" pivotButton="0" quotePrefix="0" xfId="0">
      <alignment horizontal="left" vertical="center" indent="1"/>
    </xf>
    <xf numFmtId="164" fontId="22" fillId="11" borderId="0" applyAlignment="1" pivotButton="0" quotePrefix="0" xfId="0">
      <alignment horizontal="center" vertical="center"/>
    </xf>
    <xf numFmtId="0" fontId="21" fillId="10" borderId="8" applyAlignment="1" pivotButton="0" quotePrefix="0" xfId="0">
      <alignment horizontal="left" vertical="center" indent="1"/>
    </xf>
    <xf numFmtId="3" fontId="23" fillId="10" borderId="0" applyAlignment="1" pivotButton="0" quotePrefix="0" xfId="0">
      <alignment horizontal="center" vertical="center"/>
    </xf>
    <xf numFmtId="165" fontId="23" fillId="11" borderId="0" applyAlignment="1" pivotButton="0" quotePrefix="0" xfId="0">
      <alignment horizontal="center" vertical="center"/>
    </xf>
    <xf numFmtId="0" fontId="21" fillId="10" borderId="16" applyAlignment="1" pivotButton="0" quotePrefix="0" xfId="0">
      <alignment horizontal="left" vertical="center" indent="1"/>
    </xf>
    <xf numFmtId="165" fontId="22" fillId="10" borderId="5" applyAlignment="1" pivotButton="0" quotePrefix="0" xfId="0">
      <alignment horizontal="center" vertical="center"/>
    </xf>
    <xf numFmtId="0" fontId="10" fillId="10" borderId="6" applyAlignment="1" pivotButton="0" quotePrefix="0" xfId="0">
      <alignment horizontal="left" vertical="center" indent="1"/>
    </xf>
    <xf numFmtId="0" fontId="16" fillId="2" borderId="1" applyAlignment="1" pivotButton="0" quotePrefix="0" xfId="0">
      <alignment horizontal="center" vertical="center"/>
    </xf>
    <xf numFmtId="0" fontId="5" fillId="12" borderId="8" applyAlignment="1" pivotButton="0" quotePrefix="0" xfId="0">
      <alignment horizontal="left" vertical="center" wrapText="1" indent="1"/>
    </xf>
    <xf numFmtId="0" fontId="10" fillId="12" borderId="10" applyAlignment="1" pivotButton="0" quotePrefix="0" xfId="0">
      <alignment horizontal="left" vertical="center" wrapText="1" indent="1"/>
    </xf>
    <xf numFmtId="0" fontId="9" fillId="0" borderId="8" pivotButton="0" quotePrefix="0" xfId="0"/>
    <xf numFmtId="0" fontId="7" fillId="0" borderId="0" pivotButton="0" quotePrefix="0" xfId="0"/>
    <xf numFmtId="0" fontId="10" fillId="0" borderId="10" applyAlignment="1" pivotButton="0" quotePrefix="0" xfId="0">
      <alignment horizontal="left" vertical="center" wrapText="1" indent="1"/>
    </xf>
    <xf numFmtId="0" fontId="7" fillId="0" borderId="8" pivotButton="0" quotePrefix="0" xfId="0"/>
    <xf numFmtId="0" fontId="16" fillId="3" borderId="17" applyAlignment="1" pivotButton="0" quotePrefix="0" xfId="0">
      <alignment horizontal="center" vertical="center"/>
    </xf>
    <xf numFmtId="0" fontId="2" fillId="0" borderId="18" pivotButton="0" quotePrefix="0" xfId="0"/>
    <xf numFmtId="0" fontId="2" fillId="0" borderId="19" pivotButton="0" quotePrefix="0" xfId="0"/>
    <xf numFmtId="0" fontId="4" fillId="13" borderId="20" applyAlignment="1" pivotButton="0" quotePrefix="0" xfId="0">
      <alignment horizontal="center" vertical="center"/>
    </xf>
    <xf numFmtId="0" fontId="4" fillId="13" borderId="21" applyAlignment="1" pivotButton="0" quotePrefix="0" xfId="0">
      <alignment horizontal="center" vertical="center"/>
    </xf>
    <xf numFmtId="0" fontId="4" fillId="13" borderId="22" applyAlignment="1" pivotButton="0" quotePrefix="0" xfId="0">
      <alignment horizontal="center" vertical="center"/>
    </xf>
    <xf numFmtId="0" fontId="7" fillId="4" borderId="8" applyAlignment="1" pivotButton="0" quotePrefix="0" xfId="0">
      <alignment horizontal="left" indent="1"/>
    </xf>
    <xf numFmtId="3" fontId="7" fillId="4" borderId="0" applyAlignment="1" pivotButton="0" quotePrefix="0" xfId="0">
      <alignment horizontal="center"/>
    </xf>
    <xf numFmtId="0" fontId="7" fillId="0" borderId="10" pivotButton="0" quotePrefix="0" xfId="0"/>
    <xf numFmtId="0" fontId="7" fillId="6" borderId="8" applyAlignment="1" pivotButton="0" quotePrefix="0" xfId="0">
      <alignment horizontal="left" indent="1"/>
    </xf>
    <xf numFmtId="166" fontId="7" fillId="6" borderId="0" applyAlignment="1" pivotButton="0" quotePrefix="0" xfId="0">
      <alignment horizontal="center"/>
    </xf>
    <xf numFmtId="0" fontId="15" fillId="6" borderId="8" applyAlignment="1" pivotButton="0" quotePrefix="0" xfId="0">
      <alignment horizontal="left" indent="1"/>
    </xf>
    <xf numFmtId="167" fontId="24" fillId="6" borderId="0" applyAlignment="1" pivotButton="0" quotePrefix="0" xfId="0">
      <alignment horizontal="center"/>
    </xf>
    <xf numFmtId="167" fontId="15" fillId="6" borderId="0" applyAlignment="1" pivotButton="0" quotePrefix="0" xfId="0">
      <alignment horizontal="center"/>
    </xf>
    <xf numFmtId="167" fontId="25" fillId="6" borderId="0" applyAlignment="1" pivotButton="0" quotePrefix="0" xfId="0">
      <alignment horizontal="center"/>
    </xf>
    <xf numFmtId="0" fontId="9" fillId="6" borderId="8" applyAlignment="1" pivotButton="0" quotePrefix="0" xfId="0">
      <alignment horizontal="left" indent="1"/>
    </xf>
    <xf numFmtId="167" fontId="8" fillId="6" borderId="0" applyAlignment="1" pivotButton="0" quotePrefix="0" xfId="0">
      <alignment horizontal="center"/>
    </xf>
    <xf numFmtId="167" fontId="26" fillId="6" borderId="0" applyAlignment="1" pivotButton="0" quotePrefix="0" xfId="0">
      <alignment horizontal="center"/>
    </xf>
    <xf numFmtId="166" fontId="7" fillId="4" borderId="0" applyAlignment="1" pivotButton="0" quotePrefix="0" xfId="0">
      <alignment horizontal="center"/>
    </xf>
    <xf numFmtId="167" fontId="7" fillId="4" borderId="0" applyAlignment="1" pivotButton="0" quotePrefix="0" xfId="0">
      <alignment horizontal="center"/>
    </xf>
    <xf numFmtId="168" fontId="8" fillId="4" borderId="0" applyAlignment="1" pivotButton="0" quotePrefix="0" xfId="0">
      <alignment horizontal="center"/>
    </xf>
    <xf numFmtId="168" fontId="26" fillId="4" borderId="0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left" indent="1"/>
    </xf>
    <xf numFmtId="166" fontId="5" fillId="4" borderId="5" applyAlignment="1" pivotButton="0" quotePrefix="0" xfId="0">
      <alignment horizontal="center"/>
    </xf>
    <xf numFmtId="167" fontId="5" fillId="4" borderId="5" applyAlignment="1" pivotButton="0" quotePrefix="0" xfId="0">
      <alignment horizontal="center"/>
    </xf>
    <xf numFmtId="0" fontId="16" fillId="14" borderId="1" applyAlignment="1" pivotButton="0" quotePrefix="0" xfId="0">
      <alignment horizontal="left" vertical="center" indent="1"/>
    </xf>
    <xf numFmtId="0" fontId="27" fillId="0" borderId="15" applyAlignment="1" pivotButton="0" quotePrefix="0" xfId="0">
      <alignment horizontal="left" indent="1"/>
    </xf>
    <xf numFmtId="0" fontId="2" fillId="0" borderId="10" applyAlignment="1" pivotButton="0" quotePrefix="0" xfId="0">
      <alignment horizontal="center"/>
    </xf>
    <xf numFmtId="0" fontId="11" fillId="15" borderId="8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center" vertical="center" wrapText="1"/>
    </xf>
    <xf numFmtId="0" fontId="11" fillId="15" borderId="10" applyAlignment="1" pivotButton="0" quotePrefix="0" xfId="0">
      <alignment horizontal="center" vertical="center" wrapText="1"/>
    </xf>
    <xf numFmtId="169" fontId="11" fillId="16" borderId="23" applyAlignment="1" pivotButton="0" quotePrefix="0" xfId="0">
      <alignment horizontal="center"/>
    </xf>
    <xf numFmtId="0" fontId="2" fillId="0" borderId="24" pivotButton="0" quotePrefix="0" xfId="0"/>
    <xf numFmtId="164" fontId="2" fillId="0" borderId="24" pivotButton="0" quotePrefix="0" xfId="0"/>
    <xf numFmtId="9" fontId="2" fillId="0" borderId="24" pivotButton="0" quotePrefix="0" xfId="0"/>
    <xf numFmtId="166" fontId="2" fillId="0" borderId="24" pivotButton="0" quotePrefix="0" xfId="0"/>
    <xf numFmtId="164" fontId="2" fillId="0" borderId="24" applyAlignment="1" pivotButton="0" quotePrefix="0" xfId="0">
      <alignment horizontal="center"/>
    </xf>
    <xf numFmtId="165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left" indent="1"/>
    </xf>
    <xf numFmtId="169" fontId="11" fillId="16" borderId="8" applyAlignment="1" pivotButton="0" quotePrefix="0" xfId="0">
      <alignment horizontal="center"/>
    </xf>
    <xf numFmtId="164" fontId="2" fillId="0" borderId="0" pivotButton="0" quotePrefix="0" xfId="0"/>
    <xf numFmtId="9" fontId="2" fillId="0" borderId="0" pivotButton="0" quotePrefix="0" xfId="0"/>
    <xf numFmtId="166" fontId="2" fillId="0" borderId="0" pivotButton="0" quotePrefix="0" xfId="0"/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left" indent="1"/>
    </xf>
    <xf numFmtId="169" fontId="11" fillId="16" borderId="26" applyAlignment="1" pivotButton="0" quotePrefix="0" xfId="0">
      <alignment horizontal="center"/>
    </xf>
    <xf numFmtId="164" fontId="2" fillId="0" borderId="18" pivotButton="0" quotePrefix="0" xfId="0"/>
    <xf numFmtId="9" fontId="2" fillId="0" borderId="18" pivotButton="0" quotePrefix="0" xfId="0"/>
    <xf numFmtId="166" fontId="2" fillId="0" borderId="18" pivotButton="0" quotePrefix="0" xfId="0"/>
    <xf numFmtId="164" fontId="2" fillId="0" borderId="18" applyAlignment="1" pivotButton="0" quotePrefix="0" xfId="0">
      <alignment horizontal="center"/>
    </xf>
    <xf numFmtId="165" fontId="2" fillId="0" borderId="18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left" indent="1"/>
    </xf>
    <xf numFmtId="169" fontId="11" fillId="16" borderId="27" applyAlignment="1" pivotButton="0" quotePrefix="0" xfId="0">
      <alignment horizontal="center"/>
    </xf>
    <xf numFmtId="0" fontId="2" fillId="0" borderId="28" pivotButton="0" quotePrefix="0" xfId="0"/>
    <xf numFmtId="164" fontId="2" fillId="0" borderId="28" pivotButton="0" quotePrefix="0" xfId="0"/>
    <xf numFmtId="9" fontId="2" fillId="0" borderId="28" pivotButton="0" quotePrefix="0" xfId="0"/>
    <xf numFmtId="166" fontId="2" fillId="0" borderId="28" pivotButton="0" quotePrefix="0" xfId="0"/>
    <xf numFmtId="164" fontId="2" fillId="0" borderId="28" applyAlignment="1" pivotButton="0" quotePrefix="0" xfId="0">
      <alignment horizontal="center"/>
    </xf>
    <xf numFmtId="165" fontId="2" fillId="17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left" indent="1"/>
    </xf>
    <xf numFmtId="0" fontId="2" fillId="6" borderId="8" pivotButton="0" quotePrefix="0" xfId="0"/>
    <xf numFmtId="169" fontId="11" fillId="18" borderId="23" applyAlignment="1" pivotButton="0" quotePrefix="0" xfId="0">
      <alignment horizontal="center"/>
    </xf>
    <xf numFmtId="169" fontId="11" fillId="18" borderId="8" applyAlignment="1" pivotButton="0" quotePrefix="0" xfId="0">
      <alignment horizontal="center"/>
    </xf>
    <xf numFmtId="169" fontId="11" fillId="18" borderId="26" applyAlignment="1" pivotButton="0" quotePrefix="0" xfId="0">
      <alignment horizontal="center"/>
    </xf>
    <xf numFmtId="169" fontId="11" fillId="18" borderId="27" applyAlignment="1" pivotButton="0" quotePrefix="0" xfId="0">
      <alignment horizontal="center"/>
    </xf>
    <xf numFmtId="169" fontId="11" fillId="19" borderId="23" applyAlignment="1" pivotButton="0" quotePrefix="0" xfId="0">
      <alignment horizontal="center"/>
    </xf>
    <xf numFmtId="169" fontId="11" fillId="19" borderId="8" applyAlignment="1" pivotButton="0" quotePrefix="0" xfId="0">
      <alignment horizontal="center"/>
    </xf>
    <xf numFmtId="169" fontId="11" fillId="19" borderId="26" applyAlignment="1" pivotButton="0" quotePrefix="0" xfId="0">
      <alignment horizontal="center"/>
    </xf>
    <xf numFmtId="169" fontId="11" fillId="19" borderId="27" applyAlignment="1" pivotButton="0" quotePrefix="0" xfId="0">
      <alignment horizontal="center"/>
    </xf>
    <xf numFmtId="169" fontId="11" fillId="20" borderId="23" applyAlignment="1" pivotButton="0" quotePrefix="0" xfId="0">
      <alignment horizontal="center"/>
    </xf>
    <xf numFmtId="169" fontId="11" fillId="20" borderId="8" applyAlignment="1" pivotButton="0" quotePrefix="0" xfId="0">
      <alignment horizontal="center"/>
    </xf>
    <xf numFmtId="169" fontId="11" fillId="20" borderId="26" applyAlignment="1" pivotButton="0" quotePrefix="0" xfId="0">
      <alignment horizontal="center"/>
    </xf>
    <xf numFmtId="169" fontId="11" fillId="20" borderId="30" applyAlignment="1" pivotButton="0" quotePrefix="0" xfId="0">
      <alignment horizontal="center"/>
    </xf>
    <xf numFmtId="0" fontId="2" fillId="0" borderId="31" pivotButton="0" quotePrefix="0" xfId="0"/>
    <xf numFmtId="164" fontId="2" fillId="0" borderId="31" pivotButton="0" quotePrefix="0" xfId="0"/>
    <xf numFmtId="9" fontId="2" fillId="0" borderId="31" pivotButton="0" quotePrefix="0" xfId="0"/>
    <xf numFmtId="166" fontId="2" fillId="0" borderId="31" pivotButton="0" quotePrefix="0" xfId="0"/>
    <xf numFmtId="164" fontId="2" fillId="0" borderId="31" applyAlignment="1" pivotButton="0" quotePrefix="0" xfId="0">
      <alignment horizontal="center"/>
    </xf>
    <xf numFmtId="165" fontId="2" fillId="17" borderId="31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2" fillId="0" borderId="32" applyAlignment="1" pivotButton="0" quotePrefix="0" xfId="0">
      <alignment horizontal="left" indent="1"/>
    </xf>
    <xf numFmtId="0" fontId="2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rgb="FF156082"/>
    <outlinePr summaryBelow="1" summaryRight="1"/>
    <pageSetUpPr/>
  </sheetPr>
  <dimension ref="A1:L76"/>
  <sheetViews>
    <sheetView workbookViewId="0">
      <selection activeCell="A1" sqref="A1"/>
    </sheetView>
  </sheetViews>
  <sheetFormatPr baseColWidth="10" defaultRowHeight="16"/>
  <cols>
    <col width="42.33203125" customWidth="1" min="2" max="2"/>
    <col width="22.33203125" customWidth="1" min="3" max="3"/>
    <col width="19.33203125" customWidth="1" min="4" max="4"/>
    <col width="15.83203125" customWidth="1" min="7" max="7"/>
    <col width="13.5" customWidth="1" min="8" max="8"/>
    <col width="15.6640625" customWidth="1" min="9" max="9"/>
    <col width="10.83203125" customWidth="1" min="10" max="10"/>
    <col width="12" customWidth="1" min="11" max="11"/>
    <col width="16.6640625" customWidth="1" min="12" max="12"/>
  </cols>
  <sheetData>
    <row r="1" ht="33" customHeight="1"/>
    <row r="2" ht="32" customHeight="1">
      <c r="B2" s="1" t="inlineStr">
        <is>
          <t>TRADE PROMOTION BREAK-EVEN CALCULATOR</t>
        </is>
      </c>
      <c r="C2" s="2" t="n"/>
      <c r="D2" s="2" t="n"/>
      <c r="E2" s="2" t="n"/>
      <c r="F2" s="3" t="n"/>
    </row>
    <row r="3" ht="28" customHeight="1">
      <c r="B3" s="4" t="inlineStr">
        <is>
          <t>Should you run this promo? Break-even lift, P&amp;L comparison, and traffic-light scoring  |  CPG Founder Webinar</t>
        </is>
      </c>
      <c r="C3" s="5" t="n"/>
      <c r="D3" s="5" t="n"/>
      <c r="E3" s="5" t="n"/>
      <c r="F3" s="6" t="n"/>
    </row>
    <row r="4" ht="16" customHeight="1"/>
    <row r="5" ht="32" customHeight="1">
      <c r="B5" s="7" t="inlineStr">
        <is>
          <t>INPUTS — Enter Your Promotion Details</t>
        </is>
      </c>
      <c r="C5" s="2" t="n"/>
      <c r="D5" s="2" t="n"/>
      <c r="E5" s="2" t="n"/>
      <c r="F5" s="3" t="n"/>
    </row>
    <row r="6" ht="28" customHeight="1">
      <c r="B6" s="8" t="inlineStr">
        <is>
          <t>Regular Retail Price ($)</t>
        </is>
      </c>
      <c r="C6" s="9" t="n">
        <v>3.49</v>
      </c>
      <c r="F6" s="10" t="n"/>
      <c r="H6" s="11" t="n"/>
      <c r="I6" s="11" t="n"/>
      <c r="J6" s="11" t="n"/>
      <c r="K6" s="11" t="n"/>
      <c r="L6" s="11" t="n"/>
    </row>
    <row r="7" ht="28" customHeight="1">
      <c r="B7" s="12" t="inlineStr">
        <is>
          <t>Promoted Price ($)</t>
        </is>
      </c>
      <c r="C7" s="13" t="n">
        <v>2.49</v>
      </c>
      <c r="F7" s="10" t="n"/>
      <c r="H7" s="11" t="n"/>
      <c r="I7" s="11" t="n"/>
      <c r="J7" s="11" t="n"/>
      <c r="K7" s="11" t="n"/>
      <c r="L7" s="11" t="n"/>
    </row>
    <row r="8" ht="28" customHeight="1">
      <c r="B8" s="14" t="inlineStr">
        <is>
          <t>Discount % (auto-calc from prices)</t>
        </is>
      </c>
      <c r="C8" s="15">
        <f>IFERROR((C6-C7)/C6,0)</f>
        <v/>
      </c>
      <c r="F8" s="10" t="n"/>
      <c r="H8" s="11" t="n"/>
      <c r="I8" s="11" t="n"/>
      <c r="J8" s="11" t="n"/>
      <c r="K8" s="11" t="n"/>
      <c r="L8" s="11" t="n"/>
    </row>
    <row r="9" ht="28" customHeight="1">
      <c r="B9" s="16" t="inlineStr">
        <is>
          <t>Retailer GM% — While On Promo</t>
        </is>
      </c>
      <c r="C9" s="17" t="n">
        <v>0.42</v>
      </c>
      <c r="D9" s="18" t="inlineStr">
        <is>
          <t>Retailer margin % they earn during the promo — typically higher than regular (42% vs 40%)</t>
        </is>
      </c>
      <c r="F9" s="19" t="n"/>
      <c r="H9" s="11" t="n"/>
      <c r="I9" s="11" t="n"/>
      <c r="J9" s="11" t="n"/>
      <c r="K9" s="11" t="n"/>
      <c r="L9" s="11" t="n"/>
    </row>
    <row r="10" ht="28" customHeight="1">
      <c r="B10" s="20" t="inlineStr">
        <is>
          <t>Retailer GM% — Regular (Off Promo)</t>
        </is>
      </c>
      <c r="C10" s="21" t="n">
        <v>0.4</v>
      </c>
      <c r="D10" s="22" t="inlineStr">
        <is>
          <t>Retailer margin % at everyday price — used to calc regular-price GM$ baseline</t>
        </is>
      </c>
      <c r="F10" s="19" t="n"/>
      <c r="H10" s="11" t="n"/>
      <c r="I10" s="11" t="n"/>
      <c r="J10" s="11" t="n"/>
      <c r="K10" s="11" t="n"/>
      <c r="L10" s="11" t="n"/>
    </row>
    <row r="11" ht="28" customHeight="1">
      <c r="B11" s="8" t="inlineStr">
        <is>
          <t>Fixed Promo Costs ($) (display fees, ad fees)</t>
        </is>
      </c>
      <c r="C11" s="23" t="n">
        <v>0</v>
      </c>
      <c r="F11" s="10" t="n"/>
      <c r="H11" s="11" t="n"/>
      <c r="I11" s="11" t="n"/>
      <c r="J11" s="11" t="n"/>
      <c r="K11" s="11" t="n"/>
      <c r="L11" s="11" t="n"/>
    </row>
    <row r="12" ht="28" customHeight="1">
      <c r="B12" s="12" t="inlineStr">
        <is>
          <t>Baseline Units Sold (pre-promo period)</t>
        </is>
      </c>
      <c r="C12" s="24" t="n">
        <v>133083</v>
      </c>
      <c r="F12" s="10" t="n"/>
      <c r="H12" s="11" t="n"/>
      <c r="I12" s="11" t="n"/>
      <c r="J12" s="11" t="n"/>
      <c r="K12" s="11" t="n"/>
      <c r="L12" s="11" t="n"/>
    </row>
    <row r="13" ht="28" customHeight="1">
      <c r="B13" s="8" t="inlineStr">
        <is>
          <t>Expected Retailer Lift % (your estimate)</t>
        </is>
      </c>
      <c r="C13" s="25" t="n">
        <v>0.6</v>
      </c>
      <c r="F13" s="10" t="n"/>
      <c r="H13" s="11" t="n"/>
      <c r="I13" s="11" t="n"/>
      <c r="J13" s="11" t="n"/>
      <c r="K13" s="11" t="n"/>
      <c r="L13" s="11" t="n"/>
    </row>
    <row r="14" ht="10" customHeight="1">
      <c r="B14" s="26" t="n"/>
      <c r="C14" s="27" t="n"/>
      <c r="F14" s="28" t="n"/>
      <c r="H14" s="29" t="n"/>
      <c r="I14" s="29" t="n"/>
      <c r="J14" s="29" t="n"/>
      <c r="K14" s="29" t="n"/>
      <c r="L14" s="29" t="n"/>
    </row>
    <row r="15" ht="28" customHeight="1">
      <c r="B15" s="30" t="inlineStr">
        <is>
          <t>SCAN ALLOWANCE — Auto-calculated</t>
        </is>
      </c>
      <c r="C15" s="27" t="n"/>
      <c r="F15" s="10" t="n"/>
      <c r="H15" s="11" t="n"/>
      <c r="I15" s="11" t="n"/>
      <c r="J15" s="11" t="n"/>
      <c r="K15" s="11" t="n"/>
      <c r="L15" s="11" t="n"/>
    </row>
    <row r="16" ht="28" customHeight="1">
      <c r="B16" s="16" t="inlineStr">
        <is>
          <t>Retail Price Reduction per Unit</t>
        </is>
      </c>
      <c r="C16" s="31">
        <f>C6-C7</f>
        <v/>
      </c>
      <c r="D16" s="32" t="inlineStr">
        <is>
          <t>Consumer-facing price drop funded by the scan</t>
        </is>
      </c>
      <c r="E16" s="33" t="n"/>
      <c r="F16" s="34" t="n"/>
      <c r="H16" s="11" t="n"/>
      <c r="I16" s="11" t="n"/>
      <c r="J16" s="11" t="n"/>
      <c r="K16" s="11" t="n"/>
      <c r="L16" s="11" t="n"/>
    </row>
    <row r="17" ht="28" customHeight="1">
      <c r="B17" s="16" t="inlineStr">
        <is>
          <t>Scan Allowance per Unit (to Retailer)</t>
        </is>
      </c>
      <c r="C17" s="35">
        <f>(C6*(1-C10))-(C7*(1-C9))</f>
        <v/>
      </c>
      <c r="D17" s="36" t="inlineStr">
        <is>
          <t>Brand reimburses retailer at invoice level: price drop × (1 − retailer promo GM%)</t>
        </is>
      </c>
      <c r="F17" s="19" t="n"/>
      <c r="H17" s="11" t="n"/>
      <c r="I17" s="11" t="n"/>
      <c r="J17" s="11" t="n"/>
      <c r="K17" s="11" t="n"/>
      <c r="L17" s="11" t="n"/>
    </row>
    <row r="18" ht="28" customHeight="1">
      <c r="B18" s="16" t="inlineStr">
        <is>
          <t>Total Scan Cost (all promo units)</t>
        </is>
      </c>
      <c r="C18" s="37">
        <f>C17*C12*(1+C13)</f>
        <v/>
      </c>
      <c r="D18" s="36" t="inlineStr">
        <is>
          <t>Scan per unit × total units sold during promo period (baseline + lift)</t>
        </is>
      </c>
      <c r="F18" s="19" t="n"/>
      <c r="H18" s="11" t="n"/>
      <c r="I18" s="11" t="n"/>
      <c r="J18" s="11" t="n"/>
      <c r="K18" s="11" t="n"/>
      <c r="L18" s="11" t="n"/>
    </row>
    <row r="19" ht="28" customHeight="1">
      <c r="B19" s="16" t="inlineStr">
        <is>
          <t>Actual Trade Rate (% of Gross Revenue)</t>
        </is>
      </c>
      <c r="C19" s="38">
        <f>IFERROR(C18/(C6*C12*(1+C13)),0)</f>
        <v/>
      </c>
      <c r="D19" s="36" t="inlineStr">
        <is>
          <t>True cost of this promo as % of gross revenue — compare to your trade budget rate</t>
        </is>
      </c>
      <c r="F19" s="19" t="n"/>
      <c r="H19" s="11" t="n"/>
      <c r="I19" s="11" t="n"/>
      <c r="J19" s="11" t="n"/>
      <c r="K19" s="11" t="n"/>
      <c r="L19" s="11" t="n"/>
    </row>
    <row r="20" ht="9" customHeight="1">
      <c r="B20" s="39" t="n"/>
      <c r="F20" s="19" t="n"/>
    </row>
    <row r="21" ht="32" customHeight="1">
      <c r="B21" s="40" t="inlineStr">
        <is>
          <t>BREAK-EVEN ANALYSIS (Auto-calculated)</t>
        </is>
      </c>
      <c r="F21" s="19" t="n"/>
      <c r="H21" s="41" t="n"/>
      <c r="I21" s="41" t="n"/>
      <c r="J21" s="41" t="n"/>
      <c r="K21" s="41" t="n"/>
      <c r="L21" s="41" t="n"/>
    </row>
    <row r="22" ht="29" customHeight="1">
      <c r="B22" s="42" t="inlineStr">
        <is>
          <t>Promo GM % (at discounted price)</t>
        </is>
      </c>
      <c r="C22" s="43">
        <f>IFERROR((C7*(1-C9)-C6*(1-C10))/C7,0)</f>
        <v/>
      </c>
      <c r="D22" s="44">
        <f>"Retailer earns "&amp;TEXT(C9,"0%")&amp;" on promo (vs "&amp;TEXT(C10,"0%")&amp;" regular) — brand gets squeezed from both the discount AND higher retailer margin"</f>
        <v/>
      </c>
      <c r="F22" s="19" t="n"/>
      <c r="H22" s="11" t="n"/>
      <c r="I22" s="11" t="n"/>
      <c r="J22" s="11" t="n"/>
      <c r="K22" s="11" t="n"/>
      <c r="L22" s="11" t="n"/>
    </row>
    <row r="23" ht="29" customHeight="1">
      <c r="B23" s="45" t="inlineStr">
        <is>
          <t>GM$ per Unit at Regular Price</t>
        </is>
      </c>
      <c r="C23" s="46">
        <f>C6*(1-C10)</f>
        <v/>
      </c>
      <c r="D23" s="44" t="inlineStr">
        <is>
          <t>Brand GM$ using regular retail price × off-promo retailer margin (C10)</t>
        </is>
      </c>
      <c r="F23" s="19" t="n"/>
      <c r="H23" s="11" t="n"/>
      <c r="I23" s="11" t="n"/>
      <c r="J23" s="11" t="n"/>
      <c r="K23" s="11" t="n"/>
      <c r="L23" s="11" t="n"/>
    </row>
    <row r="24" ht="29" customHeight="1">
      <c r="B24" s="42" t="inlineStr">
        <is>
          <t>GM$ per Unit at Promo Price</t>
        </is>
      </c>
      <c r="C24" s="47">
        <f>C7*(1-C9)</f>
        <v/>
      </c>
      <c r="D24" s="44" t="inlineStr">
        <is>
          <t>Brand GM$ using promoted price × on-promo retailer margin (C9) — double squeeze</t>
        </is>
      </c>
      <c r="F24" s="19" t="n"/>
      <c r="H24" s="11" t="n"/>
      <c r="I24" s="11" t="n"/>
      <c r="J24" s="11" t="n"/>
      <c r="K24" s="11" t="n"/>
      <c r="L24" s="11" t="n"/>
    </row>
    <row r="25" ht="29" customHeight="1">
      <c r="B25" s="45" t="inlineStr">
        <is>
          <t>GM$ Lost per Discounted Unit</t>
        </is>
      </c>
      <c r="C25" s="48">
        <f>C23-C24</f>
        <v/>
      </c>
      <c r="D25" s="44" t="inlineStr">
        <is>
          <t>Cost of discount on each unit you would have sold anyway</t>
        </is>
      </c>
      <c r="F25" s="19" t="n"/>
      <c r="H25" s="11" t="n"/>
      <c r="I25" s="11" t="n"/>
      <c r="J25" s="11" t="n"/>
      <c r="K25" s="11" t="n"/>
      <c r="L25" s="11" t="n"/>
    </row>
    <row r="26" ht="29" customHeight="1">
      <c r="B26" s="42" t="inlineStr">
        <is>
          <t>Total $ Lost on Baseline Volume</t>
        </is>
      </c>
      <c r="C26" s="49">
        <f>C25*C12</f>
        <v/>
      </c>
      <c r="D26" s="50" t="inlineStr">
        <is>
          <t>Cost of giving discount to your existing buyers</t>
        </is>
      </c>
      <c r="F26" s="19" t="n"/>
      <c r="H26" s="11" t="n"/>
      <c r="I26" s="11" t="n"/>
      <c r="J26" s="11" t="n"/>
      <c r="K26" s="11" t="n"/>
      <c r="L26" s="11" t="n"/>
    </row>
    <row r="27" ht="29" customHeight="1">
      <c r="B27" s="45" t="inlineStr">
        <is>
          <t>Total Fixed Promo Costs</t>
        </is>
      </c>
      <c r="C27" s="51">
        <f>C11</f>
        <v/>
      </c>
      <c r="D27" s="52" t="inlineStr">
        <is>
          <t>Display fees, ad fees, etc.</t>
        </is>
      </c>
      <c r="F27" s="19" t="n"/>
      <c r="H27" s="11" t="n"/>
      <c r="I27" s="11" t="n"/>
      <c r="J27" s="11" t="n"/>
      <c r="K27" s="11" t="n"/>
      <c r="L27" s="11" t="n"/>
    </row>
    <row r="28" ht="29" customHeight="1">
      <c r="B28" s="42" t="inlineStr">
        <is>
          <t>Total Cost of Running Promo</t>
        </is>
      </c>
      <c r="C28" s="49">
        <f>C26+C27</f>
        <v/>
      </c>
      <c r="D28" s="50" t="inlineStr">
        <is>
          <t>Margin erosion + fixed costs</t>
        </is>
      </c>
      <c r="F28" s="19" t="n"/>
      <c r="H28" s="11" t="n"/>
      <c r="I28" s="11" t="n"/>
      <c r="J28" s="11" t="n"/>
      <c r="K28" s="11" t="n"/>
      <c r="L28" s="11" t="n"/>
    </row>
    <row r="29" ht="29" customHeight="1">
      <c r="B29" s="53" t="inlineStr">
        <is>
          <t>GM$ per Incremental Unit</t>
        </is>
      </c>
      <c r="C29" s="54">
        <f>C24</f>
        <v/>
      </c>
      <c r="D29" s="44" t="inlineStr">
        <is>
          <t>Each NEW unit sold during promo generates this much GM</t>
        </is>
      </c>
      <c r="F29" s="19" t="n"/>
      <c r="H29" s="11" t="n"/>
      <c r="I29" s="11" t="n"/>
      <c r="J29" s="11" t="n"/>
      <c r="K29" s="11" t="n"/>
      <c r="L29" s="11" t="n"/>
    </row>
    <row r="30" ht="29" customHeight="1">
      <c r="B30" s="55" t="inlineStr">
        <is>
          <t>Break-Even Incremental Units</t>
        </is>
      </c>
      <c r="C30" s="56">
        <f>IFERROR(IF(C29&gt;0,C28/C29,"N/A"),"")</f>
        <v/>
      </c>
      <c r="D30" s="50" t="inlineStr">
        <is>
          <t>Units above baseline needed to cover total promo cost</t>
        </is>
      </c>
      <c r="F30" s="19" t="n"/>
      <c r="H30" s="11" t="n"/>
      <c r="I30" s="11" t="n"/>
      <c r="J30" s="11" t="n"/>
      <c r="K30" s="11" t="n"/>
      <c r="L30" s="11" t="n"/>
    </row>
    <row r="31" ht="29" customHeight="1">
      <c r="B31" s="53" t="inlineStr">
        <is>
          <t>Break-Even Lift % Required</t>
        </is>
      </c>
      <c r="C31" s="57">
        <f>IFERROR(IF(C29&gt;0,C30/C12,"N/A"),"")</f>
        <v/>
      </c>
      <c r="D31" s="52" t="inlineStr">
        <is>
          <t>Break-even units ÷ baseline = lift % you need</t>
        </is>
      </c>
      <c r="F31" s="19" t="n"/>
      <c r="H31" s="11" t="n"/>
      <c r="I31" s="11" t="n"/>
      <c r="J31" s="11" t="n"/>
      <c r="K31" s="11" t="n"/>
      <c r="L31" s="11" t="n"/>
    </row>
    <row r="32" ht="29" customHeight="1">
      <c r="B32" s="58" t="inlineStr">
        <is>
          <t>Expected Lift % (Your Estimate)</t>
        </is>
      </c>
      <c r="C32" s="59">
        <f>C13</f>
        <v/>
      </c>
      <c r="D32" s="60" t="inlineStr">
        <is>
          <t>The lift % you think the retailer will deliver</t>
        </is>
      </c>
      <c r="E32" s="5" t="n"/>
      <c r="F32" s="6" t="n"/>
      <c r="H32" s="11" t="n"/>
      <c r="I32" s="11" t="n"/>
      <c r="J32" s="11" t="n"/>
      <c r="K32" s="11" t="n"/>
      <c r="L32" s="11" t="n"/>
    </row>
    <row r="33" ht="32" customHeight="1"/>
    <row r="34" ht="32" customHeight="1">
      <c r="B34" s="61" t="inlineStr">
        <is>
          <t>TRAFFIC LIGHT SCORING — Should You Run This Promo?</t>
        </is>
      </c>
      <c r="C34" s="2" t="n"/>
      <c r="D34" s="2" t="n"/>
      <c r="E34" s="2" t="n"/>
      <c r="F34" s="3" t="n"/>
    </row>
    <row r="35" ht="30" customHeight="1">
      <c r="B35" s="62">
        <f>IF(C13="","Enter expected lift above",IF(C24&lt;=0,"⛔  STOP — Promo price is below brand invoice: earns $0 per unit",IF(C31="","Unable to calculate break-even",IF(C13&gt;=C31+0.05,"🟢  GREEN — PROMO IS PROFITABLE",IF(C13&gt;=C31,"🟡  YELLOW — CLOSE CALL / MARGINAL","🔴  RED — PROMO DESTROYS MARGIN")))))</f>
        <v/>
      </c>
      <c r="D35" s="63">
        <f>IF(C13="","",IF(C24&lt;=0,"Promo price net of retailer margin is at or below $0 — raise the promo price or reduce retailer promo margin.","Expected Lift: "&amp;TEXT(C13,"0.0%")&amp;" vs. Break-Even Lift Required: "&amp;IF(C31="N/A","N/A",TEXT(C31,"0.0%"))))</f>
        <v/>
      </c>
      <c r="F35" s="19" t="n"/>
    </row>
    <row r="36" ht="30" customHeight="1">
      <c r="B36" s="64">
        <f>IF(C24&lt;=0,"⚠️  When it doesn't make sense:",IF(C13&lt;C31,"⚠️  Why this promo doesn't work:",IF(C13&gt;=C31+0.05,"✅  Why this promo works:","⚠️  Why this is a close call:")))</f>
        <v/>
      </c>
      <c r="C36" s="65" t="n"/>
      <c r="D36" s="66">
        <f>IF(C24&lt;=0,"Promo net revenue to brand is zero or negative — no volume can recover this. Raise the promoted price or negotiate a lower retailer promo margin.",IF(C13&lt;C31,"This promo requires a "&amp;TEXT(C31,"0.0%")&amp;" lift to break even, but you're only projecting "&amp;TEXT(C13,"0.0%")&amp;". It makes sense only if incremental units generate long-term repeat buyers — otherwise margin erosion is permanent.",IF(C13&gt;=C31+0.05,"Your projected "&amp;TEXT(C13,"0.0%")&amp;" lift exceeds the "&amp;TEXT(C31,"0.0%")&amp;" break-even threshold. This promo makes sense with strong retailer execution, high repeat-purchase rates, and incremental units representing genuine new trial.","Your projected lift is right at the break-even line. Proceed only with high confidence in lift estimates and strong post-promo repeat rates.")))</f>
        <v/>
      </c>
      <c r="F36" s="19" t="n"/>
    </row>
    <row r="37" ht="30" customHeight="1">
      <c r="B37" s="67" t="n"/>
      <c r="C37" s="65" t="n"/>
      <c r="F37" s="19" t="n"/>
    </row>
    <row r="38" ht="25" customHeight="1">
      <c r="B38" s="39" t="n"/>
      <c r="F38" s="19" t="n"/>
    </row>
    <row r="39" ht="32" customHeight="1">
      <c r="B39" s="68" t="inlineStr">
        <is>
          <t>P&amp;L COMPARISON — Running vs. Not Running the Promo</t>
        </is>
      </c>
      <c r="C39" s="69" t="n"/>
      <c r="D39" s="69" t="n"/>
      <c r="E39" s="69" t="n"/>
      <c r="F39" s="70" t="n"/>
    </row>
    <row r="40" ht="32" customHeight="1">
      <c r="B40" s="71" t="inlineStr">
        <is>
          <t>P&amp;L LINE</t>
        </is>
      </c>
      <c r="C40" s="72" t="inlineStr">
        <is>
          <t>NO PROMO</t>
        </is>
      </c>
      <c r="D40" s="72" t="inlineStr">
        <is>
          <t>WITH PROMO</t>
        </is>
      </c>
      <c r="E40" s="72" t="inlineStr">
        <is>
          <t>DIFFERENCE</t>
        </is>
      </c>
      <c r="F40" s="73" t="inlineStr">
        <is>
          <t>VERDICT</t>
        </is>
      </c>
    </row>
    <row r="41" ht="28" customHeight="1">
      <c r="B41" s="74" t="inlineStr">
        <is>
          <t>Units Sold</t>
        </is>
      </c>
      <c r="C41" s="75">
        <f>C12</f>
        <v/>
      </c>
      <c r="D41" s="75">
        <f>C12*(1+C13)</f>
        <v/>
      </c>
      <c r="E41" s="75">
        <f>D41-C41</f>
        <v/>
      </c>
      <c r="F41" s="76" t="n"/>
    </row>
    <row r="42" ht="28" customHeight="1">
      <c r="B42" s="77" t="inlineStr">
        <is>
          <t>Revenue</t>
        </is>
      </c>
      <c r="C42" s="78">
        <f>C6*C12</f>
        <v/>
      </c>
      <c r="D42" s="78">
        <f>C7*C12*(1+C13)</f>
        <v/>
      </c>
      <c r="E42" s="78">
        <f>D42-C42</f>
        <v/>
      </c>
      <c r="F42" s="76" t="n"/>
    </row>
    <row r="43" ht="28" customHeight="1">
      <c r="B43" s="79" t="inlineStr">
        <is>
          <t>Less: Scan Allowance</t>
        </is>
      </c>
      <c r="C43" s="80">
        <f>0</f>
        <v/>
      </c>
      <c r="D43" s="81">
        <f>-C18</f>
        <v/>
      </c>
      <c r="E43" s="82">
        <f>D43-C43</f>
        <v/>
      </c>
      <c r="F43" s="76" t="n"/>
    </row>
    <row r="44" ht="28" customHeight="1">
      <c r="B44" s="83" t="inlineStr">
        <is>
          <t>Net Revenue (after scan)</t>
        </is>
      </c>
      <c r="C44" s="80">
        <f>C42</f>
        <v/>
      </c>
      <c r="D44" s="84">
        <f>D42+D43</f>
        <v/>
      </c>
      <c r="E44" s="85">
        <f>D44-C44</f>
        <v/>
      </c>
      <c r="F44" s="76" t="n"/>
    </row>
    <row r="45" ht="28" customHeight="1">
      <c r="B45" s="74" t="inlineStr">
        <is>
          <t>COGS</t>
        </is>
      </c>
      <c r="C45" s="86">
        <f>-C6*C12*(1-C10)</f>
        <v/>
      </c>
      <c r="D45" s="87">
        <f>-C7*C12*(1+C13)*(1-C9)</f>
        <v/>
      </c>
      <c r="E45" s="86">
        <f>D45-C45</f>
        <v/>
      </c>
      <c r="F45" s="76" t="n"/>
    </row>
    <row r="46" ht="28" customHeight="1">
      <c r="B46" s="77" t="inlineStr">
        <is>
          <t>Gross Margin $</t>
        </is>
      </c>
      <c r="C46" s="84">
        <f>C44+C45</f>
        <v/>
      </c>
      <c r="D46" s="84">
        <f>D44+D45</f>
        <v/>
      </c>
      <c r="E46" s="85">
        <f>D46-C46</f>
        <v/>
      </c>
      <c r="F46" s="76" t="n"/>
    </row>
    <row r="47" ht="28" customHeight="1">
      <c r="B47" s="74" t="inlineStr">
        <is>
          <t>Gross Margin %</t>
        </is>
      </c>
      <c r="C47" s="88">
        <f>IFERROR(C46/C44,0)</f>
        <v/>
      </c>
      <c r="D47" s="88">
        <f>IFERROR(D46/D44,0)</f>
        <v/>
      </c>
      <c r="E47" s="89">
        <f>D47-C47</f>
        <v/>
      </c>
      <c r="F47" s="76" t="n"/>
    </row>
    <row r="48" ht="28" customHeight="1">
      <c r="B48" s="77" t="inlineStr">
        <is>
          <t>Fixed Promo Costs</t>
        </is>
      </c>
      <c r="C48" s="78">
        <f>0</f>
        <v/>
      </c>
      <c r="D48" s="78">
        <f>-C11</f>
        <v/>
      </c>
      <c r="E48" s="78">
        <f>D48-C48</f>
        <v/>
      </c>
      <c r="F48" s="90">
        <f>IF(E49&gt;0,"Better with Promo","Better without Promo")</f>
        <v/>
      </c>
    </row>
    <row r="49" ht="28" customHeight="1">
      <c r="B49" s="91" t="inlineStr">
        <is>
          <t>Net Contribution $</t>
        </is>
      </c>
      <c r="C49" s="92">
        <f>C46</f>
        <v/>
      </c>
      <c r="D49" s="93">
        <f>D46+D48</f>
        <v/>
      </c>
      <c r="E49" s="92">
        <f>D49-C49</f>
        <v/>
      </c>
      <c r="F49" s="6" t="n"/>
    </row>
    <row r="50" ht="32" customHeight="1"/>
    <row r="51" ht="17" customHeight="1"/>
    <row r="52" ht="26" customHeight="1">
      <c r="B52" s="94" t="inlineStr">
        <is>
          <t>PROMO SCENARIO MATRIX — 4 Promo Types × 3 SRP Price Points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3" t="n"/>
    </row>
    <row r="53" ht="18" customHeight="1">
      <c r="B53" s="95" t="inlineStr">
        <is>
          <t>Scan/unit = regular invoice − promo invoice. B/E Lift = total scan cost ÷ (brand net rev/unit at promo price × baseline units). Lift benchmarks from CPG industry research (NIQ/IRI/SPINS).</t>
        </is>
      </c>
      <c r="L53" s="19" t="n"/>
    </row>
    <row r="54">
      <c r="B54" s="39" t="n"/>
      <c r="L54" s="96" t="n"/>
    </row>
    <row r="55" ht="37" customHeight="1">
      <c r="B55" s="97" t="inlineStr">
        <is>
          <t>SRP</t>
        </is>
      </c>
      <c r="C55" s="98" t="inlineStr">
        <is>
          <t>PROMO TYPE</t>
        </is>
      </c>
      <c r="D55" s="98" t="inlineStr">
        <is>
          <t>PROMO PRICE</t>
        </is>
      </c>
      <c r="E55" s="98" t="inlineStr">
        <is>
          <t>DISC %</t>
        </is>
      </c>
      <c r="F55" s="98" t="inlineStr">
        <is>
          <t>SCAN / UNIT</t>
        </is>
      </c>
      <c r="G55" s="98" t="inlineStr">
        <is>
          <t>TOTAL SCAN COST</t>
        </is>
      </c>
      <c r="H55" s="98" t="inlineStr">
        <is>
          <t>BRAND NET REV / UNIT</t>
        </is>
      </c>
      <c r="I55" s="98" t="inlineStr">
        <is>
          <t>GM$ LOST / UNIT vs. Regular</t>
        </is>
      </c>
      <c r="J55" s="98" t="inlineStr">
        <is>
          <t>B/E LIFT %</t>
        </is>
      </c>
      <c r="K55" s="98" t="inlineStr">
        <is>
          <t>TYPICAL LIFT RANGE</t>
        </is>
      </c>
      <c r="L55" s="99" t="inlineStr">
        <is>
          <t>VERDICT</t>
        </is>
      </c>
    </row>
    <row r="56">
      <c r="B56" s="100" t="n">
        <v>2.99</v>
      </c>
      <c r="C56" s="101" t="inlineStr">
        <is>
          <t>$1 Off TPR</t>
        </is>
      </c>
      <c r="D56" s="102" t="n">
        <v>1.99</v>
      </c>
      <c r="E56" s="103">
        <f>(2.99-1.99)/2.99</f>
        <v/>
      </c>
      <c r="F56" s="102">
        <f>(2.99*(1-C$10))-(1.99*(1-C$9))</f>
        <v/>
      </c>
      <c r="G56" s="104">
        <f>F56*C$12</f>
        <v/>
      </c>
      <c r="H56" s="105">
        <f>1.99*(1-C$9)</f>
        <v/>
      </c>
      <c r="I56" s="105">
        <f>(2.99*(1-C$10))-(1.99*(1-C$9))</f>
        <v/>
      </c>
      <c r="J56" s="106">
        <f>IFERROR(G56/(H56*C$12),"N/A")</f>
        <v/>
      </c>
      <c r="K56" s="107" t="inlineStr">
        <is>
          <t>15% – 30%</t>
        </is>
      </c>
      <c r="L56" s="108">
        <f>IF(0.25&gt;=J56,"✅ Achievable",IF(0.15&gt;=J56,"⚠️ Stretch","🔴 Unlikely"))</f>
        <v/>
      </c>
    </row>
    <row r="57">
      <c r="B57" s="109" t="n">
        <v>2.99</v>
      </c>
      <c r="C57" t="inlineStr">
        <is>
          <t>2 for $5.49 (low depth)</t>
        </is>
      </c>
      <c r="D57" s="110">
        <f>5.49/2</f>
        <v/>
      </c>
      <c r="E57" s="111">
        <f>(2.99-5.49/2)/2.99</f>
        <v/>
      </c>
      <c r="F57" s="110">
        <f>(2.99*(1-C$10))-(5.49/2*(1-C$9))</f>
        <v/>
      </c>
      <c r="G57" s="112">
        <f>F57*C$12</f>
        <v/>
      </c>
      <c r="H57" s="113">
        <f>5.49/2*(1-C$9)</f>
        <v/>
      </c>
      <c r="I57" s="113">
        <f>(2.99*(1-C$10))-(5.49/2*(1-C$9))</f>
        <v/>
      </c>
      <c r="J57" s="114">
        <f>IFERROR(G57/(H57*C$12),"N/A")</f>
        <v/>
      </c>
      <c r="K57" s="115" t="inlineStr">
        <is>
          <t>20% – 35%</t>
        </is>
      </c>
      <c r="L57" s="116">
        <f>IF(0.3&gt;=J57,"✅ Achievable",IF(0.2&gt;=J57,"⚠️ Stretch","🔴 Unlikely"))</f>
        <v/>
      </c>
    </row>
    <row r="58">
      <c r="B58" s="117" t="n">
        <v>2.99</v>
      </c>
      <c r="C58" s="69" t="inlineStr">
        <is>
          <t>2 for $4.99 (deeper depth)</t>
        </is>
      </c>
      <c r="D58" s="118">
        <f>4.99/2</f>
        <v/>
      </c>
      <c r="E58" s="119">
        <f>(2.99-4.99/2)/2.99</f>
        <v/>
      </c>
      <c r="F58" s="118">
        <f>(2.99*(1-C$10))-(4.99/2*(1-C$9))</f>
        <v/>
      </c>
      <c r="G58" s="120">
        <f>F58*C$12</f>
        <v/>
      </c>
      <c r="H58" s="121">
        <f>4.99/2*(1-C$9)</f>
        <v/>
      </c>
      <c r="I58" s="121">
        <f>(2.99*(1-C$10))-(4.99/2*(1-C$9))</f>
        <v/>
      </c>
      <c r="J58" s="122">
        <f>IFERROR(G58/(H58*C$12),"N/A")</f>
        <v/>
      </c>
      <c r="K58" s="123" t="inlineStr">
        <is>
          <t>30% – 50%</t>
        </is>
      </c>
      <c r="L58" s="124">
        <f>IF(0.45&gt;=J58,"✅ Achievable",IF(0.3&gt;=J58,"⚠️ Stretch","🔴 Unlikely"))</f>
        <v/>
      </c>
    </row>
    <row r="59">
      <c r="B59" s="125" t="n">
        <v>2.99</v>
      </c>
      <c r="C59" s="126" t="inlineStr">
        <is>
          <t>BOGO (Buy 1 Get 1 Free)</t>
        </is>
      </c>
      <c r="D59" s="127">
        <f>2.99/2</f>
        <v/>
      </c>
      <c r="E59" s="128" t="n">
        <v>0.5</v>
      </c>
      <c r="F59" s="127">
        <f>(2.99*(1-C$10))-(2.99/2*(1-C$9))</f>
        <v/>
      </c>
      <c r="G59" s="129">
        <f>F59*C$12</f>
        <v/>
      </c>
      <c r="H59" s="130">
        <f>2.99/2*(1-C$9)</f>
        <v/>
      </c>
      <c r="I59" s="130">
        <f>(2.99*(1-C$10))-(2.99/2*(1-C$9))</f>
        <v/>
      </c>
      <c r="J59" s="131">
        <f>IFERROR(G59/(H59*C$12),"N/A")</f>
        <v/>
      </c>
      <c r="K59" s="132" t="inlineStr">
        <is>
          <t>50% – 100%+</t>
        </is>
      </c>
      <c r="L59" s="133">
        <f>IF(0.75&gt;=J59,"✅ Achievable",IF(0.5&gt;=J59,"⚠️ Stretch","🔴 Unlikely"))</f>
        <v/>
      </c>
    </row>
    <row r="60" ht="17" customHeight="1">
      <c r="B60" s="134" t="n"/>
      <c r="L60" s="116" t="n"/>
    </row>
    <row r="61">
      <c r="B61" s="135" t="n">
        <v>3.99</v>
      </c>
      <c r="C61" s="101" t="inlineStr">
        <is>
          <t>$1 Off TPR</t>
        </is>
      </c>
      <c r="D61" s="102" t="n">
        <v>2.99</v>
      </c>
      <c r="E61" s="103">
        <f>(3.99-2.99)/3.99</f>
        <v/>
      </c>
      <c r="F61" s="102">
        <f>(3.99*(1-C$10))-(2.99*(1-C$9))</f>
        <v/>
      </c>
      <c r="G61" s="104">
        <f>F61*C$12</f>
        <v/>
      </c>
      <c r="H61" s="105">
        <f>2.99*(1-C$9)</f>
        <v/>
      </c>
      <c r="I61" s="105">
        <f>(3.99*(1-C$10))-(2.99*(1-C$9))</f>
        <v/>
      </c>
      <c r="J61" s="106">
        <f>IFERROR(G61/(H61*C$12),"N/A")</f>
        <v/>
      </c>
      <c r="K61" s="107" t="inlineStr">
        <is>
          <t>15% – 30%</t>
        </is>
      </c>
      <c r="L61" s="108">
        <f>IF(0.25&gt;=J61,"✅ Achievable",IF(0.15&gt;=J61,"⚠️ Stretch","🔴 Unlikely"))</f>
        <v/>
      </c>
    </row>
    <row r="62">
      <c r="B62" s="136" t="n">
        <v>3.99</v>
      </c>
      <c r="C62" t="inlineStr">
        <is>
          <t>2 for $7.49 (low depth)</t>
        </is>
      </c>
      <c r="D62" s="110">
        <f>7.49/2</f>
        <v/>
      </c>
      <c r="E62" s="111">
        <f>(3.99-7.49/2)/3.99</f>
        <v/>
      </c>
      <c r="F62" s="110">
        <f>(3.99*(1-C$10))-(7.49/2*(1-C$9))</f>
        <v/>
      </c>
      <c r="G62" s="112">
        <f>F62*C$12</f>
        <v/>
      </c>
      <c r="H62" s="113">
        <f>7.49/2*(1-C$9)</f>
        <v/>
      </c>
      <c r="I62" s="113">
        <f>(3.99*(1-C$10))-(7.49/2*(1-C$9))</f>
        <v/>
      </c>
      <c r="J62" s="114">
        <f>IFERROR(G62/(H62*C$12),"N/A")</f>
        <v/>
      </c>
      <c r="K62" s="115" t="inlineStr">
        <is>
          <t>20% – 35%</t>
        </is>
      </c>
      <c r="L62" s="116">
        <f>IF(0.3&gt;=J62,"✅ Achievable",IF(0.2&gt;=J62,"⚠️ Stretch","🔴 Unlikely"))</f>
        <v/>
      </c>
    </row>
    <row r="63">
      <c r="B63" s="137" t="n">
        <v>3.99</v>
      </c>
      <c r="C63" s="69" t="inlineStr">
        <is>
          <t>2 for $6.99 (deeper depth)</t>
        </is>
      </c>
      <c r="D63" s="118">
        <f>6.99/2</f>
        <v/>
      </c>
      <c r="E63" s="119">
        <f>(3.99-6.99/2)/3.99</f>
        <v/>
      </c>
      <c r="F63" s="118">
        <f>(3.99*(1-C$10))-(6.99/2*(1-C$9))</f>
        <v/>
      </c>
      <c r="G63" s="120">
        <f>F63*C$12</f>
        <v/>
      </c>
      <c r="H63" s="121">
        <f>6.99/2*(1-C$9)</f>
        <v/>
      </c>
      <c r="I63" s="121">
        <f>(3.99*(1-C$10))-(6.99/2*(1-C$9))</f>
        <v/>
      </c>
      <c r="J63" s="122">
        <f>IFERROR(G63/(H63*C$12),"N/A")</f>
        <v/>
      </c>
      <c r="K63" s="123" t="inlineStr">
        <is>
          <t>30% – 50%</t>
        </is>
      </c>
      <c r="L63" s="124">
        <f>IF(0.45&gt;=J63,"✅ Achievable",IF(0.3&gt;=J63,"⚠️ Stretch","🔴 Unlikely"))</f>
        <v/>
      </c>
    </row>
    <row r="64">
      <c r="B64" s="138" t="n">
        <v>3.99</v>
      </c>
      <c r="C64" s="126" t="inlineStr">
        <is>
          <t>BOGO (Buy 1 Get 1 Free)</t>
        </is>
      </c>
      <c r="D64" s="127">
        <f>3.99/2</f>
        <v/>
      </c>
      <c r="E64" s="128" t="n">
        <v>0.5</v>
      </c>
      <c r="F64" s="127">
        <f>(3.99*(1-C$10))-(3.99/2*(1-C$9))</f>
        <v/>
      </c>
      <c r="G64" s="129">
        <f>F64*C$12</f>
        <v/>
      </c>
      <c r="H64" s="130">
        <f>3.99/2*(1-C$9)</f>
        <v/>
      </c>
      <c r="I64" s="130">
        <f>(3.99*(1-C$10))-(3.99/2*(1-C$9))</f>
        <v/>
      </c>
      <c r="J64" s="131">
        <f>IFERROR(G64/(H64*C$12),"N/A")</f>
        <v/>
      </c>
      <c r="K64" s="132" t="inlineStr">
        <is>
          <t>50% – 100%+</t>
        </is>
      </c>
      <c r="L64" s="133">
        <f>IF(0.75&gt;=J64,"✅ Achievable",IF(0.5&gt;=J64,"⚠️ Stretch","🔴 Unlikely"))</f>
        <v/>
      </c>
    </row>
    <row r="65" ht="17" customHeight="1">
      <c r="B65" s="134" t="n"/>
      <c r="L65" s="116" t="n"/>
    </row>
    <row r="66">
      <c r="B66" s="139" t="n">
        <v>4.99</v>
      </c>
      <c r="C66" s="101" t="inlineStr">
        <is>
          <t>$1 Off TPR</t>
        </is>
      </c>
      <c r="D66" s="102" t="n">
        <v>3.99</v>
      </c>
      <c r="E66" s="103">
        <f>(4.99-3.99)/4.99</f>
        <v/>
      </c>
      <c r="F66" s="102">
        <f>(4.99*(1-C$10))-(3.99*(1-C$9))</f>
        <v/>
      </c>
      <c r="G66" s="104">
        <f>F66*C$12</f>
        <v/>
      </c>
      <c r="H66" s="105">
        <f>3.99*(1-C$9)</f>
        <v/>
      </c>
      <c r="I66" s="105">
        <f>(4.99*(1-C$10))-(3.99*(1-C$9))</f>
        <v/>
      </c>
      <c r="J66" s="106">
        <f>IFERROR(G66/(H66*C$12),"N/A")</f>
        <v/>
      </c>
      <c r="K66" s="107" t="inlineStr">
        <is>
          <t>15% – 30%</t>
        </is>
      </c>
      <c r="L66" s="108">
        <f>IF(0.25&gt;=J66,"✅ Achievable",IF(0.15&gt;=J66,"⚠️ Stretch","🔴 Unlikely"))</f>
        <v/>
      </c>
    </row>
    <row r="67">
      <c r="B67" s="140" t="n">
        <v>4.99</v>
      </c>
      <c r="C67" t="inlineStr">
        <is>
          <t>2 for $9.49 (low depth)</t>
        </is>
      </c>
      <c r="D67" s="110">
        <f>9.49/2</f>
        <v/>
      </c>
      <c r="E67" s="111">
        <f>(4.99-9.49/2)/4.99</f>
        <v/>
      </c>
      <c r="F67" s="110">
        <f>(4.99*(1-C$10))-(9.49/2*(1-C$9))</f>
        <v/>
      </c>
      <c r="G67" s="112">
        <f>F67*C$12</f>
        <v/>
      </c>
      <c r="H67" s="113">
        <f>9.49/2*(1-C$9)</f>
        <v/>
      </c>
      <c r="I67" s="113">
        <f>(4.99*(1-C$10))-(9.49/2*(1-C$9))</f>
        <v/>
      </c>
      <c r="J67" s="114">
        <f>IFERROR(G67/(H67*C$12),"N/A")</f>
        <v/>
      </c>
      <c r="K67" s="115" t="inlineStr">
        <is>
          <t>20% – 35%</t>
        </is>
      </c>
      <c r="L67" s="116">
        <f>IF(0.3&gt;=J67,"✅ Achievable",IF(0.2&gt;=J67,"⚠️ Stretch","🔴 Unlikely"))</f>
        <v/>
      </c>
    </row>
    <row r="68">
      <c r="B68" s="141" t="n">
        <v>4.99</v>
      </c>
      <c r="C68" s="69" t="inlineStr">
        <is>
          <t>2 for $8.99 (deeper depth)</t>
        </is>
      </c>
      <c r="D68" s="118">
        <f>8.99/2</f>
        <v/>
      </c>
      <c r="E68" s="119">
        <f>(4.99-8.99/2)/4.99</f>
        <v/>
      </c>
      <c r="F68" s="118">
        <f>(4.99*(1-C$10))-(8.99/2*(1-C$9))</f>
        <v/>
      </c>
      <c r="G68" s="120">
        <f>F68*C$12</f>
        <v/>
      </c>
      <c r="H68" s="121">
        <f>8.99/2*(1-C$9)</f>
        <v/>
      </c>
      <c r="I68" s="121">
        <f>(4.99*(1-C$10))-(8.99/2*(1-C$9))</f>
        <v/>
      </c>
      <c r="J68" s="122">
        <f>IFERROR(G68/(H68*C$12),"N/A")</f>
        <v/>
      </c>
      <c r="K68" s="123" t="inlineStr">
        <is>
          <t>30% – 50%</t>
        </is>
      </c>
      <c r="L68" s="124">
        <f>IF(0.45&gt;=J68,"✅ Achievable",IF(0.3&gt;=J68,"⚠️ Stretch","🔴 Unlikely"))</f>
        <v/>
      </c>
    </row>
    <row r="69">
      <c r="B69" s="142" t="n">
        <v>4.99</v>
      </c>
      <c r="C69" s="126" t="inlineStr">
        <is>
          <t>BOGO (Buy 1 Get 1 Free)</t>
        </is>
      </c>
      <c r="D69" s="127">
        <f>4.99/2</f>
        <v/>
      </c>
      <c r="E69" s="128" t="n">
        <v>0.5</v>
      </c>
      <c r="F69" s="127">
        <f>(4.99*(1-C$10))-(4.99/2*(1-C$9))</f>
        <v/>
      </c>
      <c r="G69" s="129">
        <f>F69*C$12</f>
        <v/>
      </c>
      <c r="H69" s="130">
        <f>4.99/2*(1-C$9)</f>
        <v/>
      </c>
      <c r="I69" s="130">
        <f>(4.99*(1-C$10))-(4.99/2*(1-C$9))</f>
        <v/>
      </c>
      <c r="J69" s="131">
        <f>IFERROR(G69/(H69*C$12),"N/A")</f>
        <v/>
      </c>
      <c r="K69" s="132" t="inlineStr">
        <is>
          <t>50% – 100%+</t>
        </is>
      </c>
      <c r="L69" s="133">
        <f>IF(0.75&gt;=J69,"✅ Achievable",IF(0.5&gt;=J69,"⚠️ Stretch","🔴 Unlikely"))</f>
        <v/>
      </c>
    </row>
    <row r="70" ht="17" customHeight="1">
      <c r="B70" s="39" t="n"/>
      <c r="L70" s="116" t="n"/>
    </row>
    <row r="71" ht="40" customHeight="1">
      <c r="B71" s="143" t="n">
        <v>8.99</v>
      </c>
      <c r="C71" s="101" t="inlineStr">
        <is>
          <t>$1 Off TPR</t>
        </is>
      </c>
      <c r="D71" s="102" t="n">
        <v>7.99</v>
      </c>
      <c r="E71" s="103">
        <f>(8.99-7.99)/8.99</f>
        <v/>
      </c>
      <c r="F71" s="102">
        <f>(8.99*(1-C$10))-(7.99*(1-C$9))</f>
        <v/>
      </c>
      <c r="G71" s="104">
        <f>F71*C$12</f>
        <v/>
      </c>
      <c r="H71" s="105">
        <f>7.99*(1-C$9)</f>
        <v/>
      </c>
      <c r="I71" s="105">
        <f>(8.99*(1-C$10))-(7.99*(1-C$9))</f>
        <v/>
      </c>
      <c r="J71" s="106">
        <f>IFERROR(G71/(H71*C$12),"N/A")</f>
        <v/>
      </c>
      <c r="K71" s="107" t="inlineStr">
        <is>
          <t>10% – 20%</t>
        </is>
      </c>
      <c r="L71" s="108">
        <f>IF(0.2&gt;=J71,"✅ Achievable",IF(0.1&gt;=J71,"⚠️ Stretch","🔴 Unlikely"))</f>
        <v/>
      </c>
    </row>
    <row r="72">
      <c r="B72" s="144" t="n">
        <v>8.99</v>
      </c>
      <c r="C72" t="inlineStr">
        <is>
          <t>2 for $16.99 (low depth ~5% off)</t>
        </is>
      </c>
      <c r="D72" s="110">
        <f>16.99/2</f>
        <v/>
      </c>
      <c r="E72" s="111">
        <f>(8.99-16.99/2)/8.99</f>
        <v/>
      </c>
      <c r="F72" s="110">
        <f>(8.99*(1-C$10))-(16.99/2*(1-C$9))</f>
        <v/>
      </c>
      <c r="G72" s="112">
        <f>F72*C$12</f>
        <v/>
      </c>
      <c r="H72" s="113">
        <f>16.99/2*(1-C$9)</f>
        <v/>
      </c>
      <c r="I72" s="113">
        <f>(8.99*(1-C$10))-(16.99/2*(1-C$9))</f>
        <v/>
      </c>
      <c r="J72" s="114">
        <f>IFERROR(G72/(H72*C$12),"N/A")</f>
        <v/>
      </c>
      <c r="K72" s="115" t="inlineStr">
        <is>
          <t>15% – 25%</t>
        </is>
      </c>
      <c r="L72" s="116">
        <f>IF(0.25&gt;=J72,"✅ Achievable",IF(0.15&gt;=J72,"⚠️ Stretch","🔴 Unlikely"))</f>
        <v/>
      </c>
    </row>
    <row r="73">
      <c r="B73" s="145" t="n">
        <v>8.99</v>
      </c>
      <c r="C73" s="69" t="inlineStr">
        <is>
          <t>2 for $15.99 (deeper depth ~11% off)</t>
        </is>
      </c>
      <c r="D73" s="118">
        <f>15.99/2</f>
        <v/>
      </c>
      <c r="E73" s="119">
        <f>(8.99-15.99/2)/8.99</f>
        <v/>
      </c>
      <c r="F73" s="118">
        <f>(8.99*(1-C$10))-(15.99/2*(1-C$9))</f>
        <v/>
      </c>
      <c r="G73" s="120">
        <f>F73*C$12</f>
        <v/>
      </c>
      <c r="H73" s="121">
        <f>15.99/2*(1-C$9)</f>
        <v/>
      </c>
      <c r="I73" s="121">
        <f>(8.99*(1-C$10))-(15.99/2*(1-C$9))</f>
        <v/>
      </c>
      <c r="J73" s="122">
        <f>IFERROR(G73/(H73*C$12),"N/A")</f>
        <v/>
      </c>
      <c r="K73" s="123" t="inlineStr">
        <is>
          <t>20% – 40%</t>
        </is>
      </c>
      <c r="L73" s="124">
        <f>IF(0.4&gt;=J73,"✅ Achievable",IF(0.2&gt;=J73,"⚠️ Stretch","🔴 Unlikely"))</f>
        <v/>
      </c>
    </row>
    <row r="74" ht="17" customHeight="1">
      <c r="B74" s="146" t="n">
        <v>8.99</v>
      </c>
      <c r="C74" s="147" t="inlineStr">
        <is>
          <t>BOGO (Buy 1 Get 1 Free)</t>
        </is>
      </c>
      <c r="D74" s="148">
        <f>8.99/2</f>
        <v/>
      </c>
      <c r="E74" s="149" t="n">
        <v>0.5</v>
      </c>
      <c r="F74" s="148">
        <f>(8.99*(1-C$10))-(8.99/2*(1-C$9))</f>
        <v/>
      </c>
      <c r="G74" s="150">
        <f>F74*C$12</f>
        <v/>
      </c>
      <c r="H74" s="151">
        <f>8.99/2*(1-C$9)</f>
        <v/>
      </c>
      <c r="I74" s="151">
        <f>(8.99*(1-C$10))-(8.99/2*(1-C$9))</f>
        <v/>
      </c>
      <c r="J74" s="152">
        <f>IFERROR(G74/(H74*C$12),"N/A")</f>
        <v/>
      </c>
      <c r="K74" s="153" t="inlineStr">
        <is>
          <t>50% – 100%+</t>
        </is>
      </c>
      <c r="L74" s="154">
        <f>IF(0.75&gt;=J74,"✅ Achievable",IF(0.5&gt;=J74,"⚠️ Stretch","🔴 Unlikely"))</f>
        <v/>
      </c>
    </row>
    <row r="75"/>
    <row r="76" ht="40" customHeight="1">
      <c r="B76" s="155" t="inlineStr">
        <is>
          <t>⚠️  Notes: B/E Lift % uses your baseline units (C12) and retailer margins (C9/C10) from inputs above — update those to see results change. Negative scan cost = promo price still above brand’s regular invoice; brand funds nothing. BOGO B/E lift is typically 85% because the brand effectively sells 2 units but only collects revenue on 1.</t>
        </is>
      </c>
    </row>
  </sheetData>
  <mergeCells count="29">
    <mergeCell ref="D27:F27"/>
    <mergeCell ref="D36:F38"/>
    <mergeCell ref="D32:F32"/>
    <mergeCell ref="B3:F3"/>
    <mergeCell ref="D17:F17"/>
    <mergeCell ref="B21:F21"/>
    <mergeCell ref="B39:F39"/>
    <mergeCell ref="D28:F28"/>
    <mergeCell ref="B52:L52"/>
    <mergeCell ref="B2:F2"/>
    <mergeCell ref="D18:F18"/>
    <mergeCell ref="D9:F9"/>
    <mergeCell ref="D30:F30"/>
    <mergeCell ref="D25:F25"/>
    <mergeCell ref="D24:F24"/>
    <mergeCell ref="B53:L53"/>
    <mergeCell ref="D29:F29"/>
    <mergeCell ref="D23:F23"/>
    <mergeCell ref="B34:F34"/>
    <mergeCell ref="D35:F35"/>
    <mergeCell ref="D26:F26"/>
    <mergeCell ref="D10:F10"/>
    <mergeCell ref="F48:F49"/>
    <mergeCell ref="D19:F19"/>
    <mergeCell ref="D31:F31"/>
    <mergeCell ref="B5:C5"/>
    <mergeCell ref="D22:F22"/>
    <mergeCell ref="B76:L76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2026-04-23T23:12:37Z</dcterms:created>
  <dcterms:modified xmlns:dcterms="http://purl.org/dc/terms/" xmlns:xsi="http://www.w3.org/2001/XMLSchema-instance" xsi:type="dcterms:W3CDTF">2026-04-23T23:12:38Z</dcterms:modified>
</cp:coreProperties>
</file>