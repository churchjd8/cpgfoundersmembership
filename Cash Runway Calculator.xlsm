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9" codeName="{643B0D74-A683-FBA9-23B4-8A0AA6E0B6B9}"/>
  <workbookPr codeName="ThisWorkbook" defaultThemeVersion="202300"/>
  <mc:AlternateContent xmlns:mc="http://schemas.openxmlformats.org/markup-compatibility/2006">
    <mc:Choice Requires="x15">
      <x15ac:absPath xmlns:x15ac="http://schemas.microsoft.com/office/spreadsheetml/2010/11/ac" url="/Users/jefferychurch/Dropbox (Personal)/2026 Dream Makers/Josh &amp; Jeff/2026 Profit &amp; Cash Flow Webinar/"/>
    </mc:Choice>
  </mc:AlternateContent>
  <xr:revisionPtr revIDLastSave="0" documentId="13_ncr:1_{4BCBA289-7678-3948-BBDA-801AA5B84B9B}" xr6:coauthVersionLast="47" xr6:coauthVersionMax="47" xr10:uidLastSave="{00000000-0000-0000-0000-000000000000}"/>
  <bookViews>
    <workbookView xWindow="28860" yWindow="600" windowWidth="38060" windowHeight="25920" xr2:uid="{05BC7F6C-8299-4F6F-8BFD-509A41D7F70A}"/>
  </bookViews>
  <sheets>
    <sheet name="1. Calculator" sheetId="3" r:id="rId1"/>
    <sheet name="2.Detailed Cash Burn (Optional)" sheetId="2" state="hidden" r:id="rId2"/>
    <sheet name="3. P&amp;L BuildUp" sheetId="6" state="hidden" r:id="rId3"/>
    <sheet name="CalcSheet" sheetId="5" state="hidden" r:id="rId4"/>
    <sheet name="Assumption Customization" sheetId="4" r:id="rId5"/>
  </sheets>
  <definedNames>
    <definedName name="_xleta.MAX" hidden="1" xlm="1">#NAME?</definedName>
    <definedName name="forecast_startes">CalcSheet!$D$6</definedName>
    <definedName name="_xlnm.Print_Area" localSheetId="0">'1. Calculator'!$A$1:$P$1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6" i="4" l="1"/>
  <c r="F14" i="4" s="1"/>
  <c r="C20" i="3"/>
  <c r="D9" i="3"/>
  <c r="D13" i="6"/>
  <c r="E13" i="6" s="1"/>
  <c r="F13" i="6" s="1"/>
  <c r="G13" i="6" s="1"/>
  <c r="H13" i="6" s="1"/>
  <c r="I13" i="6" s="1"/>
  <c r="J13" i="6" s="1"/>
  <c r="K13" i="6" s="1"/>
  <c r="L13" i="6" s="1"/>
  <c r="M13" i="6" s="1"/>
  <c r="N13" i="6" s="1"/>
  <c r="O13" i="6" s="1"/>
  <c r="P13" i="6" s="1"/>
  <c r="Q13" i="6" s="1"/>
  <c r="R13" i="6" s="1"/>
  <c r="S13" i="6" s="1"/>
  <c r="T13" i="6" s="1"/>
  <c r="U13" i="6" s="1"/>
  <c r="V13" i="6" s="1"/>
  <c r="W13" i="6" s="1"/>
  <c r="X13" i="6" s="1"/>
  <c r="Y13" i="6" s="1"/>
  <c r="Z13" i="6" s="1"/>
  <c r="AA13" i="6" s="1"/>
  <c r="AB13" i="6" s="1"/>
  <c r="AC13" i="6" s="1"/>
  <c r="AD13" i="6" s="1"/>
  <c r="AE13" i="6" s="1"/>
  <c r="AF13" i="6" s="1"/>
  <c r="AG13" i="6" s="1"/>
  <c r="AH13" i="6" s="1"/>
  <c r="AI13" i="6" s="1"/>
  <c r="AJ13" i="6" s="1"/>
  <c r="AK13" i="6" s="1"/>
  <c r="AL13" i="6" s="1"/>
  <c r="AM13" i="6" s="1"/>
  <c r="AN13" i="6" s="1"/>
  <c r="AO13" i="6" s="1"/>
  <c r="AP13" i="6" s="1"/>
  <c r="AQ13" i="6" s="1"/>
  <c r="AR13" i="6" s="1"/>
  <c r="AS13" i="6" s="1"/>
  <c r="AT13" i="6" s="1"/>
  <c r="AU13" i="6" s="1"/>
  <c r="AV13" i="6" s="1"/>
  <c r="AW13" i="6" s="1"/>
  <c r="AX13" i="6" s="1"/>
  <c r="AY13" i="6" s="1"/>
  <c r="AZ13" i="6" s="1"/>
  <c r="BA13" i="6" s="1"/>
  <c r="BB13" i="6" s="1"/>
  <c r="BC13" i="6" s="1"/>
  <c r="BD13" i="6" s="1"/>
  <c r="BE13" i="6" s="1"/>
  <c r="BF13" i="6" s="1"/>
  <c r="BG13" i="6" s="1"/>
  <c r="BH13" i="6" s="1"/>
  <c r="BI13" i="6" s="1"/>
  <c r="BJ13" i="6" s="1"/>
  <c r="BK13" i="6" s="1"/>
  <c r="BL13" i="6" s="1"/>
  <c r="BM13" i="6" s="1"/>
  <c r="BN13" i="6" s="1"/>
  <c r="BO13" i="6" s="1"/>
  <c r="BP13" i="6" s="1"/>
  <c r="BQ13" i="6" s="1"/>
  <c r="BR13" i="6" s="1"/>
  <c r="BS13" i="6" s="1"/>
  <c r="BT13" i="6" s="1"/>
  <c r="BU13" i="6" s="1"/>
  <c r="BV13" i="6" s="1"/>
  <c r="D9" i="6"/>
  <c r="E9" i="6" s="1"/>
  <c r="F9" i="6" s="1"/>
  <c r="G9" i="6" s="1"/>
  <c r="H9" i="6" s="1"/>
  <c r="I9" i="6" s="1"/>
  <c r="J9" i="6" s="1"/>
  <c r="K9" i="6" s="1"/>
  <c r="L9" i="6" s="1"/>
  <c r="M9" i="6" s="1"/>
  <c r="N9" i="6" s="1"/>
  <c r="O9" i="6" s="1"/>
  <c r="P9" i="6" s="1"/>
  <c r="Q9" i="6" s="1"/>
  <c r="R9" i="6" s="1"/>
  <c r="S9" i="6" s="1"/>
  <c r="T9" i="6" s="1"/>
  <c r="U9" i="6" s="1"/>
  <c r="V9" i="6" s="1"/>
  <c r="W9" i="6" s="1"/>
  <c r="X9" i="6" s="1"/>
  <c r="Y9" i="6" s="1"/>
  <c r="Z9" i="6" s="1"/>
  <c r="AA9" i="6" s="1"/>
  <c r="AB9" i="6" s="1"/>
  <c r="AC9" i="6" s="1"/>
  <c r="AD9" i="6" s="1"/>
  <c r="AE9" i="6" s="1"/>
  <c r="AF9" i="6" s="1"/>
  <c r="AG9" i="6" s="1"/>
  <c r="AH9" i="6" s="1"/>
  <c r="AI9" i="6" s="1"/>
  <c r="AJ9" i="6" s="1"/>
  <c r="AK9" i="6" s="1"/>
  <c r="AL9" i="6" s="1"/>
  <c r="AM9" i="6" s="1"/>
  <c r="AN9" i="6" s="1"/>
  <c r="AO9" i="6" s="1"/>
  <c r="AP9" i="6" s="1"/>
  <c r="AQ9" i="6" s="1"/>
  <c r="AR9" i="6" s="1"/>
  <c r="AS9" i="6" s="1"/>
  <c r="AT9" i="6" s="1"/>
  <c r="AU9" i="6" s="1"/>
  <c r="AV9" i="6" s="1"/>
  <c r="AW9" i="6" s="1"/>
  <c r="AX9" i="6" s="1"/>
  <c r="AY9" i="6" s="1"/>
  <c r="AZ9" i="6" s="1"/>
  <c r="BA9" i="6" s="1"/>
  <c r="BB9" i="6" s="1"/>
  <c r="BC9" i="6" s="1"/>
  <c r="BD9" i="6" s="1"/>
  <c r="BE9" i="6" s="1"/>
  <c r="BF9" i="6" s="1"/>
  <c r="BG9" i="6" s="1"/>
  <c r="BH9" i="6" s="1"/>
  <c r="BI9" i="6" s="1"/>
  <c r="BJ9" i="6" s="1"/>
  <c r="BK9" i="6" s="1"/>
  <c r="BL9" i="6" s="1"/>
  <c r="BM9" i="6" s="1"/>
  <c r="BN9" i="6" s="1"/>
  <c r="BO9" i="6" s="1"/>
  <c r="BP9" i="6" s="1"/>
  <c r="BQ9" i="6" s="1"/>
  <c r="BR9" i="6" s="1"/>
  <c r="BS9" i="6" s="1"/>
  <c r="BT9" i="6" s="1"/>
  <c r="BU9" i="6" s="1"/>
  <c r="BV9" i="6" s="1"/>
  <c r="F13" i="4" l="1"/>
  <c r="F12" i="4"/>
  <c r="C21" i="3" s="1"/>
  <c r="BV192" i="6"/>
  <c r="BU192" i="6"/>
  <c r="BT192" i="6"/>
  <c r="BS192" i="6"/>
  <c r="BR192" i="6"/>
  <c r="BQ192" i="6"/>
  <c r="BP192" i="6"/>
  <c r="BO192" i="6"/>
  <c r="BN192" i="6"/>
  <c r="BM192" i="6"/>
  <c r="BL192" i="6"/>
  <c r="BK192" i="6"/>
  <c r="BJ192" i="6"/>
  <c r="BI192" i="6"/>
  <c r="BH192" i="6"/>
  <c r="BG192" i="6"/>
  <c r="BF192" i="6"/>
  <c r="BE192" i="6"/>
  <c r="BD192" i="6"/>
  <c r="BC192" i="6"/>
  <c r="BB192" i="6"/>
  <c r="BA192" i="6"/>
  <c r="AZ192" i="6"/>
  <c r="AY192" i="6"/>
  <c r="AX192" i="6"/>
  <c r="AW192" i="6"/>
  <c r="AV192" i="6"/>
  <c r="AU192" i="6"/>
  <c r="AT192" i="6"/>
  <c r="AS192" i="6"/>
  <c r="AR192" i="6"/>
  <c r="AQ192" i="6"/>
  <c r="AP192" i="6"/>
  <c r="AO192" i="6"/>
  <c r="AN192" i="6"/>
  <c r="AM192" i="6"/>
  <c r="AL192" i="6"/>
  <c r="AK192" i="6"/>
  <c r="AJ192" i="6"/>
  <c r="AI192" i="6"/>
  <c r="AH192" i="6"/>
  <c r="AG192" i="6"/>
  <c r="AF192" i="6"/>
  <c r="AE192" i="6"/>
  <c r="AD192" i="6"/>
  <c r="AC192" i="6"/>
  <c r="AB192" i="6"/>
  <c r="AA192" i="6"/>
  <c r="Z192" i="6"/>
  <c r="Y192" i="6"/>
  <c r="X192" i="6"/>
  <c r="W192" i="6"/>
  <c r="V192" i="6"/>
  <c r="U192" i="6"/>
  <c r="T192" i="6"/>
  <c r="S192" i="6"/>
  <c r="R192" i="6"/>
  <c r="Q192" i="6"/>
  <c r="P192" i="6"/>
  <c r="O192" i="6"/>
  <c r="N192" i="6"/>
  <c r="M192" i="6"/>
  <c r="L192" i="6"/>
  <c r="K192" i="6"/>
  <c r="J192" i="6"/>
  <c r="I192" i="6"/>
  <c r="H192" i="6"/>
  <c r="G192" i="6"/>
  <c r="F192" i="6"/>
  <c r="E192" i="6"/>
  <c r="D192" i="6"/>
  <c r="C192" i="6"/>
  <c r="BV189" i="6"/>
  <c r="BU189" i="6"/>
  <c r="BT189" i="6"/>
  <c r="BS189" i="6"/>
  <c r="BR189" i="6"/>
  <c r="BQ189" i="6"/>
  <c r="BP189" i="6"/>
  <c r="BO189" i="6"/>
  <c r="BN189" i="6"/>
  <c r="BM189" i="6"/>
  <c r="BL189" i="6"/>
  <c r="BK189" i="6"/>
  <c r="BJ189" i="6"/>
  <c r="BI189" i="6"/>
  <c r="BH189" i="6"/>
  <c r="BG189" i="6"/>
  <c r="BF189" i="6"/>
  <c r="BE189" i="6"/>
  <c r="BD189" i="6"/>
  <c r="BC189" i="6"/>
  <c r="BB189" i="6"/>
  <c r="BA189" i="6"/>
  <c r="AZ189" i="6"/>
  <c r="AY189" i="6"/>
  <c r="AX189" i="6"/>
  <c r="AW189" i="6"/>
  <c r="AV189" i="6"/>
  <c r="AU189" i="6"/>
  <c r="AT189" i="6"/>
  <c r="AS189" i="6"/>
  <c r="AR189" i="6"/>
  <c r="AQ189" i="6"/>
  <c r="AP189" i="6"/>
  <c r="AO189" i="6"/>
  <c r="AN189" i="6"/>
  <c r="AM189" i="6"/>
  <c r="AL189" i="6"/>
  <c r="AK189" i="6"/>
  <c r="AJ189" i="6"/>
  <c r="AI189" i="6"/>
  <c r="AH189" i="6"/>
  <c r="AG189" i="6"/>
  <c r="AF189" i="6"/>
  <c r="AE189" i="6"/>
  <c r="AD189" i="6"/>
  <c r="AC189" i="6"/>
  <c r="AB189" i="6"/>
  <c r="AA189" i="6"/>
  <c r="Z189" i="6"/>
  <c r="Y189" i="6"/>
  <c r="X189" i="6"/>
  <c r="W189" i="6"/>
  <c r="V189" i="6"/>
  <c r="U189" i="6"/>
  <c r="T189" i="6"/>
  <c r="S189" i="6"/>
  <c r="R189" i="6"/>
  <c r="Q189" i="6"/>
  <c r="P189" i="6"/>
  <c r="O189" i="6"/>
  <c r="N189" i="6"/>
  <c r="M189" i="6"/>
  <c r="L189" i="6"/>
  <c r="K189" i="6"/>
  <c r="J189" i="6"/>
  <c r="I189" i="6"/>
  <c r="H189" i="6"/>
  <c r="G189" i="6"/>
  <c r="F189" i="6"/>
  <c r="E189" i="6"/>
  <c r="D189" i="6"/>
  <c r="C189" i="6"/>
  <c r="BV174" i="6"/>
  <c r="BU174" i="6"/>
  <c r="BT174" i="6"/>
  <c r="BS174" i="6"/>
  <c r="BR174" i="6"/>
  <c r="BQ174" i="6"/>
  <c r="BP174" i="6"/>
  <c r="BO174" i="6"/>
  <c r="BN174" i="6"/>
  <c r="BM174" i="6"/>
  <c r="BL174" i="6"/>
  <c r="BK174" i="6"/>
  <c r="BJ174" i="6"/>
  <c r="BI174" i="6"/>
  <c r="BH174" i="6"/>
  <c r="BG174" i="6"/>
  <c r="BF174" i="6"/>
  <c r="BE174" i="6"/>
  <c r="BD174" i="6"/>
  <c r="BC174" i="6"/>
  <c r="BB174" i="6"/>
  <c r="BA174" i="6"/>
  <c r="AZ174" i="6"/>
  <c r="AY174" i="6"/>
  <c r="AX174" i="6"/>
  <c r="AW174" i="6"/>
  <c r="AV174" i="6"/>
  <c r="AU174" i="6"/>
  <c r="AT174" i="6"/>
  <c r="AS174" i="6"/>
  <c r="AR174" i="6"/>
  <c r="AQ174" i="6"/>
  <c r="AP174" i="6"/>
  <c r="AO174" i="6"/>
  <c r="AN174" i="6"/>
  <c r="AM174" i="6"/>
  <c r="AL174" i="6"/>
  <c r="AK174" i="6"/>
  <c r="AJ174" i="6"/>
  <c r="AI174" i="6"/>
  <c r="AH174" i="6"/>
  <c r="AG174" i="6"/>
  <c r="AF174" i="6"/>
  <c r="AE174" i="6"/>
  <c r="AD174" i="6"/>
  <c r="AC174" i="6"/>
  <c r="AB174" i="6"/>
  <c r="AA174" i="6"/>
  <c r="Z174" i="6"/>
  <c r="Y174" i="6"/>
  <c r="X174" i="6"/>
  <c r="W174" i="6"/>
  <c r="V174" i="6"/>
  <c r="U174" i="6"/>
  <c r="T174" i="6"/>
  <c r="S174" i="6"/>
  <c r="R174" i="6"/>
  <c r="Q174" i="6"/>
  <c r="P174" i="6"/>
  <c r="O174" i="6"/>
  <c r="N174" i="6"/>
  <c r="M174" i="6"/>
  <c r="L174" i="6"/>
  <c r="K174" i="6"/>
  <c r="J174" i="6"/>
  <c r="I174" i="6"/>
  <c r="H174" i="6"/>
  <c r="G174" i="6"/>
  <c r="F174" i="6"/>
  <c r="E174" i="6"/>
  <c r="D174" i="6"/>
  <c r="C174" i="6"/>
  <c r="BV163" i="6"/>
  <c r="BU163" i="6"/>
  <c r="BT163" i="6"/>
  <c r="BS163" i="6"/>
  <c r="BR163" i="6"/>
  <c r="BQ163" i="6"/>
  <c r="BP163" i="6"/>
  <c r="BO163" i="6"/>
  <c r="BN163" i="6"/>
  <c r="BM163" i="6"/>
  <c r="BL163" i="6"/>
  <c r="BK163" i="6"/>
  <c r="BJ163" i="6"/>
  <c r="BI163" i="6"/>
  <c r="BH163" i="6"/>
  <c r="BG163" i="6"/>
  <c r="BF163" i="6"/>
  <c r="BE163" i="6"/>
  <c r="BD163" i="6"/>
  <c r="BC163" i="6"/>
  <c r="BB163" i="6"/>
  <c r="BA163" i="6"/>
  <c r="AZ163" i="6"/>
  <c r="AY163" i="6"/>
  <c r="AX163" i="6"/>
  <c r="AW163" i="6"/>
  <c r="AV163" i="6"/>
  <c r="AU163" i="6"/>
  <c r="AT163" i="6"/>
  <c r="AS163" i="6"/>
  <c r="AR163" i="6"/>
  <c r="AQ163" i="6"/>
  <c r="AP163" i="6"/>
  <c r="AO163" i="6"/>
  <c r="AN163" i="6"/>
  <c r="AM163" i="6"/>
  <c r="AL163" i="6"/>
  <c r="AK163" i="6"/>
  <c r="AJ163" i="6"/>
  <c r="AI163" i="6"/>
  <c r="AH163" i="6"/>
  <c r="AG163" i="6"/>
  <c r="AF163" i="6"/>
  <c r="AE163" i="6"/>
  <c r="AD163" i="6"/>
  <c r="AC163" i="6"/>
  <c r="AB163" i="6"/>
  <c r="AA163" i="6"/>
  <c r="Z163" i="6"/>
  <c r="Y163" i="6"/>
  <c r="X163" i="6"/>
  <c r="W163" i="6"/>
  <c r="V163" i="6"/>
  <c r="U163" i="6"/>
  <c r="T163" i="6"/>
  <c r="S163" i="6"/>
  <c r="R163" i="6"/>
  <c r="Q163" i="6"/>
  <c r="P163" i="6"/>
  <c r="O163" i="6"/>
  <c r="N163" i="6"/>
  <c r="M163" i="6"/>
  <c r="L163" i="6"/>
  <c r="K163" i="6"/>
  <c r="J163" i="6"/>
  <c r="I163" i="6"/>
  <c r="H163" i="6"/>
  <c r="G163" i="6"/>
  <c r="F163" i="6"/>
  <c r="E163" i="6"/>
  <c r="D163" i="6"/>
  <c r="C163" i="6"/>
  <c r="BV152" i="6"/>
  <c r="BU152" i="6"/>
  <c r="BT152" i="6"/>
  <c r="BS152" i="6"/>
  <c r="BR152" i="6"/>
  <c r="BQ152" i="6"/>
  <c r="BP152" i="6"/>
  <c r="BO152" i="6"/>
  <c r="BN152" i="6"/>
  <c r="BM152" i="6"/>
  <c r="BL152" i="6"/>
  <c r="BK152" i="6"/>
  <c r="BJ152" i="6"/>
  <c r="BI152" i="6"/>
  <c r="BH152" i="6"/>
  <c r="BG152" i="6"/>
  <c r="BF152" i="6"/>
  <c r="BE152" i="6"/>
  <c r="BD152" i="6"/>
  <c r="BC152" i="6"/>
  <c r="BB152" i="6"/>
  <c r="BA152" i="6"/>
  <c r="AZ152" i="6"/>
  <c r="AY152" i="6"/>
  <c r="AX152" i="6"/>
  <c r="AW152" i="6"/>
  <c r="AV152" i="6"/>
  <c r="AU152" i="6"/>
  <c r="AT152" i="6"/>
  <c r="AS152" i="6"/>
  <c r="AR152" i="6"/>
  <c r="AQ152" i="6"/>
  <c r="AP152" i="6"/>
  <c r="AO152" i="6"/>
  <c r="AN152" i="6"/>
  <c r="AM152" i="6"/>
  <c r="AL152" i="6"/>
  <c r="AK152" i="6"/>
  <c r="AJ152" i="6"/>
  <c r="AI152" i="6"/>
  <c r="AH152" i="6"/>
  <c r="AG152" i="6"/>
  <c r="AF152" i="6"/>
  <c r="AE152" i="6"/>
  <c r="AD152" i="6"/>
  <c r="AC152" i="6"/>
  <c r="AB152" i="6"/>
  <c r="AA152" i="6"/>
  <c r="Z152" i="6"/>
  <c r="Y152" i="6"/>
  <c r="X152" i="6"/>
  <c r="W152" i="6"/>
  <c r="V152" i="6"/>
  <c r="U152" i="6"/>
  <c r="T152" i="6"/>
  <c r="S152" i="6"/>
  <c r="R152" i="6"/>
  <c r="Q152" i="6"/>
  <c r="P152" i="6"/>
  <c r="O152" i="6"/>
  <c r="N152" i="6"/>
  <c r="M152" i="6"/>
  <c r="L152" i="6"/>
  <c r="K152" i="6"/>
  <c r="J152" i="6"/>
  <c r="I152" i="6"/>
  <c r="H152" i="6"/>
  <c r="G152" i="6"/>
  <c r="F152" i="6"/>
  <c r="E152" i="6"/>
  <c r="D152" i="6"/>
  <c r="C152" i="6"/>
  <c r="BV141" i="6"/>
  <c r="BU141" i="6"/>
  <c r="BT141" i="6"/>
  <c r="BS141" i="6"/>
  <c r="BR141" i="6"/>
  <c r="BQ141" i="6"/>
  <c r="BP141" i="6"/>
  <c r="BO141" i="6"/>
  <c r="BN141" i="6"/>
  <c r="BM141" i="6"/>
  <c r="BL141" i="6"/>
  <c r="BK141" i="6"/>
  <c r="BJ141" i="6"/>
  <c r="BI141" i="6"/>
  <c r="BH141" i="6"/>
  <c r="BG141" i="6"/>
  <c r="BF141" i="6"/>
  <c r="BE141" i="6"/>
  <c r="BD141" i="6"/>
  <c r="BC141" i="6"/>
  <c r="BB141" i="6"/>
  <c r="BA141" i="6"/>
  <c r="AZ141" i="6"/>
  <c r="AY141" i="6"/>
  <c r="AX141" i="6"/>
  <c r="AW141" i="6"/>
  <c r="AV141" i="6"/>
  <c r="AU141" i="6"/>
  <c r="AT141" i="6"/>
  <c r="AS141" i="6"/>
  <c r="AR141" i="6"/>
  <c r="AQ141" i="6"/>
  <c r="AP141" i="6"/>
  <c r="AO141" i="6"/>
  <c r="AN141" i="6"/>
  <c r="AM141" i="6"/>
  <c r="AL141" i="6"/>
  <c r="AK141" i="6"/>
  <c r="AJ141" i="6"/>
  <c r="AI141" i="6"/>
  <c r="AH141" i="6"/>
  <c r="AG141" i="6"/>
  <c r="AF141" i="6"/>
  <c r="AE141" i="6"/>
  <c r="AD141" i="6"/>
  <c r="AC141" i="6"/>
  <c r="AB141" i="6"/>
  <c r="AA141" i="6"/>
  <c r="Z141" i="6"/>
  <c r="Y141" i="6"/>
  <c r="X141" i="6"/>
  <c r="W141" i="6"/>
  <c r="V141" i="6"/>
  <c r="U141" i="6"/>
  <c r="T141" i="6"/>
  <c r="S141" i="6"/>
  <c r="R141" i="6"/>
  <c r="Q141" i="6"/>
  <c r="P141" i="6"/>
  <c r="O141" i="6"/>
  <c r="N141" i="6"/>
  <c r="M141" i="6"/>
  <c r="L141" i="6"/>
  <c r="K141" i="6"/>
  <c r="J141" i="6"/>
  <c r="I141" i="6"/>
  <c r="H141" i="6"/>
  <c r="G141" i="6"/>
  <c r="F141" i="6"/>
  <c r="E141" i="6"/>
  <c r="D141" i="6"/>
  <c r="C141" i="6"/>
  <c r="BV130" i="6"/>
  <c r="BU130" i="6"/>
  <c r="BT130" i="6"/>
  <c r="BS130" i="6"/>
  <c r="BR130" i="6"/>
  <c r="BQ130" i="6"/>
  <c r="BP130" i="6"/>
  <c r="BO130" i="6"/>
  <c r="BN130" i="6"/>
  <c r="BM130" i="6"/>
  <c r="BL130" i="6"/>
  <c r="BK130" i="6"/>
  <c r="BJ130" i="6"/>
  <c r="BI130" i="6"/>
  <c r="BH130" i="6"/>
  <c r="BG130" i="6"/>
  <c r="BF130" i="6"/>
  <c r="BE130" i="6"/>
  <c r="BD130" i="6"/>
  <c r="BC130" i="6"/>
  <c r="BB130" i="6"/>
  <c r="BA130" i="6"/>
  <c r="AZ130" i="6"/>
  <c r="AY130" i="6"/>
  <c r="AX130" i="6"/>
  <c r="AW130" i="6"/>
  <c r="AV130" i="6"/>
  <c r="AU130" i="6"/>
  <c r="AT130" i="6"/>
  <c r="AS130" i="6"/>
  <c r="AR130" i="6"/>
  <c r="AQ130" i="6"/>
  <c r="AP130" i="6"/>
  <c r="AO130" i="6"/>
  <c r="AN130" i="6"/>
  <c r="AM130" i="6"/>
  <c r="AL130" i="6"/>
  <c r="AK130" i="6"/>
  <c r="AJ130" i="6"/>
  <c r="AI130" i="6"/>
  <c r="AH130" i="6"/>
  <c r="AG130" i="6"/>
  <c r="AF130" i="6"/>
  <c r="AE130" i="6"/>
  <c r="AD130" i="6"/>
  <c r="AC130" i="6"/>
  <c r="AB130" i="6"/>
  <c r="AA130" i="6"/>
  <c r="Z130" i="6"/>
  <c r="Y130" i="6"/>
  <c r="X130" i="6"/>
  <c r="W130" i="6"/>
  <c r="V130" i="6"/>
  <c r="U130" i="6"/>
  <c r="T130" i="6"/>
  <c r="S130" i="6"/>
  <c r="R130" i="6"/>
  <c r="Q130" i="6"/>
  <c r="P130" i="6"/>
  <c r="O130" i="6"/>
  <c r="N130" i="6"/>
  <c r="M130" i="6"/>
  <c r="L130" i="6"/>
  <c r="K130" i="6"/>
  <c r="J130" i="6"/>
  <c r="I130" i="6"/>
  <c r="H130" i="6"/>
  <c r="G130" i="6"/>
  <c r="F130" i="6"/>
  <c r="E130" i="6"/>
  <c r="D130" i="6"/>
  <c r="C130" i="6"/>
  <c r="BV119" i="6"/>
  <c r="BU119" i="6"/>
  <c r="BT119" i="6"/>
  <c r="BS119" i="6"/>
  <c r="BR119" i="6"/>
  <c r="BQ119" i="6"/>
  <c r="BP119" i="6"/>
  <c r="BO119" i="6"/>
  <c r="BN119" i="6"/>
  <c r="BM119" i="6"/>
  <c r="BL119" i="6"/>
  <c r="BK119" i="6"/>
  <c r="BJ119" i="6"/>
  <c r="BI119" i="6"/>
  <c r="BH119" i="6"/>
  <c r="BG119" i="6"/>
  <c r="BF119" i="6"/>
  <c r="BE119" i="6"/>
  <c r="BD119" i="6"/>
  <c r="BC119" i="6"/>
  <c r="BB119" i="6"/>
  <c r="BA119" i="6"/>
  <c r="AZ119" i="6"/>
  <c r="AY119" i="6"/>
  <c r="AX119" i="6"/>
  <c r="AW119" i="6"/>
  <c r="AV119" i="6"/>
  <c r="AU119" i="6"/>
  <c r="AT119" i="6"/>
  <c r="AS119" i="6"/>
  <c r="AR119" i="6"/>
  <c r="AQ119" i="6"/>
  <c r="AP119" i="6"/>
  <c r="AO119" i="6"/>
  <c r="AN119" i="6"/>
  <c r="AM119" i="6"/>
  <c r="AL119" i="6"/>
  <c r="AK119" i="6"/>
  <c r="AJ119" i="6"/>
  <c r="AI119" i="6"/>
  <c r="AH119" i="6"/>
  <c r="AG119" i="6"/>
  <c r="AF119" i="6"/>
  <c r="AE119" i="6"/>
  <c r="AD119" i="6"/>
  <c r="AC119" i="6"/>
  <c r="AB119" i="6"/>
  <c r="AA119" i="6"/>
  <c r="Z119" i="6"/>
  <c r="Y119" i="6"/>
  <c r="X119" i="6"/>
  <c r="W119" i="6"/>
  <c r="V119" i="6"/>
  <c r="U119" i="6"/>
  <c r="T119" i="6"/>
  <c r="S119" i="6"/>
  <c r="R119" i="6"/>
  <c r="Q119" i="6"/>
  <c r="P119" i="6"/>
  <c r="O119" i="6"/>
  <c r="N119" i="6"/>
  <c r="M119" i="6"/>
  <c r="L119" i="6"/>
  <c r="K119" i="6"/>
  <c r="J119" i="6"/>
  <c r="I119" i="6"/>
  <c r="H119" i="6"/>
  <c r="G119" i="6"/>
  <c r="F119" i="6"/>
  <c r="E119" i="6"/>
  <c r="D119" i="6"/>
  <c r="C119" i="6"/>
  <c r="D105" i="6"/>
  <c r="E105" i="6" s="1"/>
  <c r="E102" i="6" s="1"/>
  <c r="C102" i="6"/>
  <c r="BV80" i="6"/>
  <c r="BU80" i="6"/>
  <c r="BT80" i="6"/>
  <c r="BS80" i="6"/>
  <c r="BR80" i="6"/>
  <c r="BQ80" i="6"/>
  <c r="BP80" i="6"/>
  <c r="BO80" i="6"/>
  <c r="BN80" i="6"/>
  <c r="BM80" i="6"/>
  <c r="BL80" i="6"/>
  <c r="BK80" i="6"/>
  <c r="BJ80" i="6"/>
  <c r="BI80" i="6"/>
  <c r="BH80" i="6"/>
  <c r="BG80" i="6"/>
  <c r="BF80" i="6"/>
  <c r="BE80" i="6"/>
  <c r="BD80" i="6"/>
  <c r="BC80" i="6"/>
  <c r="BB80" i="6"/>
  <c r="BA80" i="6"/>
  <c r="AZ80" i="6"/>
  <c r="AY80" i="6"/>
  <c r="AX80" i="6"/>
  <c r="AW80" i="6"/>
  <c r="AV80" i="6"/>
  <c r="AU80" i="6"/>
  <c r="AT80" i="6"/>
  <c r="AS80" i="6"/>
  <c r="AR80" i="6"/>
  <c r="AQ80" i="6"/>
  <c r="AP80" i="6"/>
  <c r="AO80" i="6"/>
  <c r="AN80" i="6"/>
  <c r="AM80" i="6"/>
  <c r="AL80" i="6"/>
  <c r="AK80" i="6"/>
  <c r="AJ80" i="6"/>
  <c r="AI80" i="6"/>
  <c r="AH80" i="6"/>
  <c r="AG80" i="6"/>
  <c r="AF80" i="6"/>
  <c r="AE80" i="6"/>
  <c r="AD80" i="6"/>
  <c r="AC80" i="6"/>
  <c r="AB80" i="6"/>
  <c r="AA80" i="6"/>
  <c r="Z80" i="6"/>
  <c r="Y80" i="6"/>
  <c r="X80" i="6"/>
  <c r="W80" i="6"/>
  <c r="V80" i="6"/>
  <c r="U80" i="6"/>
  <c r="T80" i="6"/>
  <c r="S80" i="6"/>
  <c r="R80" i="6"/>
  <c r="Q80" i="6"/>
  <c r="P80" i="6"/>
  <c r="O80" i="6"/>
  <c r="N80" i="6"/>
  <c r="M80" i="6"/>
  <c r="L80" i="6"/>
  <c r="K80" i="6"/>
  <c r="J80" i="6"/>
  <c r="I80" i="6"/>
  <c r="H80" i="6"/>
  <c r="G80" i="6"/>
  <c r="F80" i="6"/>
  <c r="E80" i="6"/>
  <c r="D80" i="6"/>
  <c r="C80" i="6"/>
  <c r="C60" i="6"/>
  <c r="C40" i="6"/>
  <c r="BV39" i="6"/>
  <c r="BU39" i="6"/>
  <c r="BT39" i="6"/>
  <c r="BS39" i="6"/>
  <c r="BS79" i="6" s="1"/>
  <c r="BR39" i="6"/>
  <c r="BQ39" i="6"/>
  <c r="BQ79" i="6" s="1"/>
  <c r="BP39" i="6"/>
  <c r="BO39" i="6"/>
  <c r="BN39" i="6"/>
  <c r="BM39" i="6"/>
  <c r="BL39" i="6"/>
  <c r="BL79" i="6" s="1"/>
  <c r="BK39" i="6"/>
  <c r="BK59" i="6" s="1"/>
  <c r="BJ39" i="6"/>
  <c r="BJ59" i="6" s="1"/>
  <c r="BI39" i="6"/>
  <c r="BI59" i="6" s="1"/>
  <c r="BH39" i="6"/>
  <c r="BG39" i="6"/>
  <c r="BG79" i="6" s="1"/>
  <c r="BF39" i="6"/>
  <c r="BF79" i="6" s="1"/>
  <c r="BE39" i="6"/>
  <c r="BD39" i="6"/>
  <c r="BD59" i="6" s="1"/>
  <c r="BC39" i="6"/>
  <c r="BB39" i="6"/>
  <c r="BA39" i="6"/>
  <c r="AZ39" i="6"/>
  <c r="AZ59" i="6" s="1"/>
  <c r="AY39" i="6"/>
  <c r="AY59" i="6" s="1"/>
  <c r="AX39" i="6"/>
  <c r="AX59" i="6" s="1"/>
  <c r="AW39" i="6"/>
  <c r="AV39" i="6"/>
  <c r="AU39" i="6"/>
  <c r="AU59" i="6" s="1"/>
  <c r="AT39" i="6"/>
  <c r="AS39" i="6"/>
  <c r="AR39" i="6"/>
  <c r="AQ39" i="6"/>
  <c r="AP39" i="6"/>
  <c r="AO39" i="6"/>
  <c r="AN39" i="6"/>
  <c r="AN79" i="6" s="1"/>
  <c r="AM39" i="6"/>
  <c r="AM59" i="6" s="1"/>
  <c r="AL39" i="6"/>
  <c r="AL79" i="6" s="1"/>
  <c r="AK39" i="6"/>
  <c r="AK59" i="6" s="1"/>
  <c r="AJ39" i="6"/>
  <c r="AI39" i="6"/>
  <c r="AI59" i="6" s="1"/>
  <c r="AH39" i="6"/>
  <c r="AH59" i="6" s="1"/>
  <c r="AG39" i="6"/>
  <c r="AF39" i="6"/>
  <c r="AE39" i="6"/>
  <c r="AD39" i="6"/>
  <c r="AC39" i="6"/>
  <c r="AB39" i="6"/>
  <c r="AB59" i="6" s="1"/>
  <c r="AA39" i="6"/>
  <c r="AA59" i="6" s="1"/>
  <c r="Z39" i="6"/>
  <c r="Z59" i="6" s="1"/>
  <c r="Y39" i="6"/>
  <c r="X39" i="6"/>
  <c r="X79" i="6" s="1"/>
  <c r="W39" i="6"/>
  <c r="W59" i="6" s="1"/>
  <c r="V39" i="6"/>
  <c r="U39" i="6"/>
  <c r="T39" i="6"/>
  <c r="S39" i="6"/>
  <c r="S59" i="6" s="1"/>
  <c r="R39" i="6"/>
  <c r="R59" i="6" s="1"/>
  <c r="Q39" i="6"/>
  <c r="P39" i="6"/>
  <c r="P59" i="6" s="1"/>
  <c r="O39" i="6"/>
  <c r="N39" i="6"/>
  <c r="N79" i="6" s="1"/>
  <c r="M39" i="6"/>
  <c r="M59" i="6" s="1"/>
  <c r="L39" i="6"/>
  <c r="K39" i="6"/>
  <c r="J39" i="6"/>
  <c r="J59" i="6" s="1"/>
  <c r="I39" i="6"/>
  <c r="H39" i="6"/>
  <c r="G39" i="6"/>
  <c r="F39" i="6"/>
  <c r="E39" i="6"/>
  <c r="D39" i="6"/>
  <c r="D59" i="6" s="1"/>
  <c r="C39" i="6"/>
  <c r="BV38" i="6"/>
  <c r="BU38" i="6"/>
  <c r="BT38" i="6"/>
  <c r="BS38" i="6"/>
  <c r="BR38" i="6"/>
  <c r="BQ38" i="6"/>
  <c r="BP38" i="6"/>
  <c r="BO38" i="6"/>
  <c r="BO58" i="6" s="1"/>
  <c r="BN38" i="6"/>
  <c r="BN58" i="6" s="1"/>
  <c r="BM38" i="6"/>
  <c r="BM58" i="6" s="1"/>
  <c r="BL38" i="6"/>
  <c r="BL78" i="6" s="1"/>
  <c r="BK38" i="6"/>
  <c r="BK78" i="6" s="1"/>
  <c r="BJ38" i="6"/>
  <c r="BJ58" i="6" s="1"/>
  <c r="BI38" i="6"/>
  <c r="BI78" i="6" s="1"/>
  <c r="BH38" i="6"/>
  <c r="BH78" i="6" s="1"/>
  <c r="BG38" i="6"/>
  <c r="BG58" i="6" s="1"/>
  <c r="BF38" i="6"/>
  <c r="BE38" i="6"/>
  <c r="BD38" i="6"/>
  <c r="BC38" i="6"/>
  <c r="BB38" i="6"/>
  <c r="BA38" i="6"/>
  <c r="AZ38" i="6"/>
  <c r="AZ78" i="6" s="1"/>
  <c r="AY38" i="6"/>
  <c r="AY58" i="6" s="1"/>
  <c r="AX38" i="6"/>
  <c r="AX58" i="6" s="1"/>
  <c r="AW38" i="6"/>
  <c r="AW58" i="6" s="1"/>
  <c r="AV38" i="6"/>
  <c r="AV78" i="6" s="1"/>
  <c r="AU38" i="6"/>
  <c r="AT38" i="6"/>
  <c r="AS38" i="6"/>
  <c r="AR38" i="6"/>
  <c r="AQ38" i="6"/>
  <c r="AP38" i="6"/>
  <c r="AP58" i="6" s="1"/>
  <c r="AO38" i="6"/>
  <c r="AO58" i="6" s="1"/>
  <c r="AN38" i="6"/>
  <c r="AN78" i="6" s="1"/>
  <c r="AM38" i="6"/>
  <c r="AM58" i="6" s="1"/>
  <c r="AL38" i="6"/>
  <c r="AK38" i="6"/>
  <c r="AK78" i="6" s="1"/>
  <c r="AJ38" i="6"/>
  <c r="AJ58" i="6" s="1"/>
  <c r="AI38" i="6"/>
  <c r="AI58" i="6" s="1"/>
  <c r="AH38" i="6"/>
  <c r="AG38" i="6"/>
  <c r="AF38" i="6"/>
  <c r="AE38" i="6"/>
  <c r="AD38" i="6"/>
  <c r="AC38" i="6"/>
  <c r="AB38" i="6"/>
  <c r="AB58" i="6" s="1"/>
  <c r="AA38" i="6"/>
  <c r="AA78" i="6" s="1"/>
  <c r="Z38" i="6"/>
  <c r="Z58" i="6" s="1"/>
  <c r="Y38" i="6"/>
  <c r="Y78" i="6" s="1"/>
  <c r="X38" i="6"/>
  <c r="X58" i="6" s="1"/>
  <c r="W38" i="6"/>
  <c r="W58" i="6" s="1"/>
  <c r="V38" i="6"/>
  <c r="U38" i="6"/>
  <c r="T38" i="6"/>
  <c r="S38" i="6"/>
  <c r="R38" i="6"/>
  <c r="Q38" i="6"/>
  <c r="Q78" i="6" s="1"/>
  <c r="P38" i="6"/>
  <c r="P58" i="6" s="1"/>
  <c r="O38" i="6"/>
  <c r="O58" i="6" s="1"/>
  <c r="N38" i="6"/>
  <c r="M38" i="6"/>
  <c r="M58" i="6" s="1"/>
  <c r="L38" i="6"/>
  <c r="L78" i="6" s="1"/>
  <c r="K38" i="6"/>
  <c r="K78" i="6" s="1"/>
  <c r="J38" i="6"/>
  <c r="J58" i="6" s="1"/>
  <c r="I38" i="6"/>
  <c r="H38" i="6"/>
  <c r="G38" i="6"/>
  <c r="F38" i="6"/>
  <c r="E38" i="6"/>
  <c r="E58" i="6" s="1"/>
  <c r="D38" i="6"/>
  <c r="D78" i="6" s="1"/>
  <c r="C38" i="6"/>
  <c r="C58" i="6" s="1"/>
  <c r="BV37" i="6"/>
  <c r="BU37" i="6"/>
  <c r="BU57" i="6" s="1"/>
  <c r="BT37" i="6"/>
  <c r="BT57" i="6" s="1"/>
  <c r="BS37" i="6"/>
  <c r="BS57" i="6" s="1"/>
  <c r="BR37" i="6"/>
  <c r="BQ37" i="6"/>
  <c r="BP37" i="6"/>
  <c r="BO37" i="6"/>
  <c r="BN37" i="6"/>
  <c r="BM37" i="6"/>
  <c r="BL37" i="6"/>
  <c r="BL57" i="6" s="1"/>
  <c r="BK37" i="6"/>
  <c r="BK57" i="6" s="1"/>
  <c r="BJ37" i="6"/>
  <c r="BI37" i="6"/>
  <c r="BI77" i="6" s="1"/>
  <c r="BH37" i="6"/>
  <c r="BH77" i="6" s="1"/>
  <c r="BG37" i="6"/>
  <c r="BG77" i="6" s="1"/>
  <c r="BF37" i="6"/>
  <c r="BF57" i="6" s="1"/>
  <c r="BE37" i="6"/>
  <c r="BD37" i="6"/>
  <c r="BC37" i="6"/>
  <c r="BB37" i="6"/>
  <c r="BA37" i="6"/>
  <c r="AZ37" i="6"/>
  <c r="AZ57" i="6" s="1"/>
  <c r="AY37" i="6"/>
  <c r="AY57" i="6" s="1"/>
  <c r="AX37" i="6"/>
  <c r="AW37" i="6"/>
  <c r="AV37" i="6"/>
  <c r="AV57" i="6" s="1"/>
  <c r="AU37" i="6"/>
  <c r="AU57" i="6" s="1"/>
  <c r="AT37" i="6"/>
  <c r="AS37" i="6"/>
  <c r="AR37" i="6"/>
  <c r="AQ37" i="6"/>
  <c r="AQ57" i="6" s="1"/>
  <c r="AP37" i="6"/>
  <c r="AP57" i="6" s="1"/>
  <c r="AO37" i="6"/>
  <c r="AN37" i="6"/>
  <c r="AN77" i="6" s="1"/>
  <c r="AM37" i="6"/>
  <c r="AM77" i="6" s="1"/>
  <c r="AL37" i="6"/>
  <c r="AK37" i="6"/>
  <c r="AK57" i="6" s="1"/>
  <c r="AJ37" i="6"/>
  <c r="AI37" i="6"/>
  <c r="AI57" i="6" s="1"/>
  <c r="AH37" i="6"/>
  <c r="AH57" i="6" s="1"/>
  <c r="AG37" i="6"/>
  <c r="AF37" i="6"/>
  <c r="AF77" i="6" s="1"/>
  <c r="AE37" i="6"/>
  <c r="AD37" i="6"/>
  <c r="AC37" i="6"/>
  <c r="AB37" i="6"/>
  <c r="AB77" i="6" s="1"/>
  <c r="AA37" i="6"/>
  <c r="Z37" i="6"/>
  <c r="Z57" i="6" s="1"/>
  <c r="Y37" i="6"/>
  <c r="X37" i="6"/>
  <c r="X77" i="6" s="1"/>
  <c r="W37" i="6"/>
  <c r="V37" i="6"/>
  <c r="V77" i="6" s="1"/>
  <c r="U37" i="6"/>
  <c r="T37" i="6"/>
  <c r="S37" i="6"/>
  <c r="S57" i="6" s="1"/>
  <c r="R37" i="6"/>
  <c r="R57" i="6" s="1"/>
  <c r="Q37" i="6"/>
  <c r="Q57" i="6" s="1"/>
  <c r="P37" i="6"/>
  <c r="P57" i="6" s="1"/>
  <c r="O37" i="6"/>
  <c r="N37" i="6"/>
  <c r="M37" i="6"/>
  <c r="L37" i="6"/>
  <c r="K37" i="6"/>
  <c r="K77" i="6" s="1"/>
  <c r="J37" i="6"/>
  <c r="I37" i="6"/>
  <c r="H37" i="6"/>
  <c r="G37" i="6"/>
  <c r="F37" i="6"/>
  <c r="E37" i="6"/>
  <c r="D37" i="6"/>
  <c r="D57" i="6" s="1"/>
  <c r="C37" i="6"/>
  <c r="C57" i="6" s="1"/>
  <c r="BV36" i="6"/>
  <c r="BU36" i="6"/>
  <c r="BT36" i="6"/>
  <c r="BT76" i="6" s="1"/>
  <c r="BS36" i="6"/>
  <c r="BR36" i="6"/>
  <c r="BR56" i="6" s="1"/>
  <c r="BQ36" i="6"/>
  <c r="BP36" i="6"/>
  <c r="BO36" i="6"/>
  <c r="BO56" i="6" s="1"/>
  <c r="BN36" i="6"/>
  <c r="BM36" i="6"/>
  <c r="BL36" i="6"/>
  <c r="BL56" i="6" s="1"/>
  <c r="BK36" i="6"/>
  <c r="BK56" i="6" s="1"/>
  <c r="BJ36" i="6"/>
  <c r="BI36" i="6"/>
  <c r="BI56" i="6" s="1"/>
  <c r="BH36" i="6"/>
  <c r="BG36" i="6"/>
  <c r="BG76" i="6" s="1"/>
  <c r="BF36" i="6"/>
  <c r="BE36" i="6"/>
  <c r="BD36" i="6"/>
  <c r="BC36" i="6"/>
  <c r="BC76" i="6" s="1"/>
  <c r="BB36" i="6"/>
  <c r="BB56" i="6" s="1"/>
  <c r="BA36" i="6"/>
  <c r="BA56" i="6" s="1"/>
  <c r="AZ36" i="6"/>
  <c r="AZ56" i="6" s="1"/>
  <c r="AY36" i="6"/>
  <c r="AY76" i="6" s="1"/>
  <c r="AX36" i="6"/>
  <c r="AW36" i="6"/>
  <c r="AW76" i="6" s="1"/>
  <c r="AV36" i="6"/>
  <c r="AV56" i="6" s="1"/>
  <c r="AU36" i="6"/>
  <c r="AT36" i="6"/>
  <c r="AS36" i="6"/>
  <c r="AR36" i="6"/>
  <c r="AQ36" i="6"/>
  <c r="AP36" i="6"/>
  <c r="AO36" i="6"/>
  <c r="AN36" i="6"/>
  <c r="AN56" i="6" s="1"/>
  <c r="AM36" i="6"/>
  <c r="AM76" i="6" s="1"/>
  <c r="AL36" i="6"/>
  <c r="AL76" i="6" s="1"/>
  <c r="AK36" i="6"/>
  <c r="AK56" i="6" s="1"/>
  <c r="AJ36" i="6"/>
  <c r="AJ56" i="6" s="1"/>
  <c r="AI36" i="6"/>
  <c r="AI76" i="6" s="1"/>
  <c r="AH36" i="6"/>
  <c r="AG36" i="6"/>
  <c r="AF36" i="6"/>
  <c r="AE36" i="6"/>
  <c r="AE56" i="6" s="1"/>
  <c r="AD36" i="6"/>
  <c r="AC36" i="6"/>
  <c r="AC56" i="6" s="1"/>
  <c r="AB36" i="6"/>
  <c r="AB76" i="6" s="1"/>
  <c r="AA36" i="6"/>
  <c r="AA76" i="6" s="1"/>
  <c r="Z36" i="6"/>
  <c r="Z56" i="6" s="1"/>
  <c r="Y36" i="6"/>
  <c r="Y56" i="6" s="1"/>
  <c r="X36" i="6"/>
  <c r="X56" i="6" s="1"/>
  <c r="W36" i="6"/>
  <c r="W76" i="6" s="1"/>
  <c r="V36" i="6"/>
  <c r="U36" i="6"/>
  <c r="T36" i="6"/>
  <c r="S36" i="6"/>
  <c r="R36" i="6"/>
  <c r="Q36" i="6"/>
  <c r="P36" i="6"/>
  <c r="P56" i="6" s="1"/>
  <c r="O36" i="6"/>
  <c r="O76" i="6" s="1"/>
  <c r="N36" i="6"/>
  <c r="M36" i="6"/>
  <c r="M56" i="6" s="1"/>
  <c r="L36" i="6"/>
  <c r="L56" i="6" s="1"/>
  <c r="K36" i="6"/>
  <c r="K56" i="6" s="1"/>
  <c r="J36" i="6"/>
  <c r="J56" i="6" s="1"/>
  <c r="I36" i="6"/>
  <c r="H36" i="6"/>
  <c r="G36" i="6"/>
  <c r="F36" i="6"/>
  <c r="E36" i="6"/>
  <c r="D36" i="6"/>
  <c r="D56" i="6" s="1"/>
  <c r="C36" i="6"/>
  <c r="C56" i="6" s="1"/>
  <c r="C35" i="6"/>
  <c r="BV34" i="6"/>
  <c r="BU34" i="6"/>
  <c r="BT34" i="6"/>
  <c r="BT74" i="6" s="1"/>
  <c r="BS34" i="6"/>
  <c r="BS74" i="6" s="1"/>
  <c r="BR34" i="6"/>
  <c r="BR74" i="6" s="1"/>
  <c r="BQ34" i="6"/>
  <c r="BP34" i="6"/>
  <c r="BP74" i="6" s="1"/>
  <c r="BO34" i="6"/>
  <c r="BO54" i="6" s="1"/>
  <c r="BN34" i="6"/>
  <c r="BM34" i="6"/>
  <c r="BL34" i="6"/>
  <c r="BK34" i="6"/>
  <c r="BK54" i="6" s="1"/>
  <c r="BJ34" i="6"/>
  <c r="BJ54" i="6" s="1"/>
  <c r="BI34" i="6"/>
  <c r="BI74" i="6" s="1"/>
  <c r="BH34" i="6"/>
  <c r="BG34" i="6"/>
  <c r="BF34" i="6"/>
  <c r="BE34" i="6"/>
  <c r="BE74" i="6" s="1"/>
  <c r="BD34" i="6"/>
  <c r="BD74" i="6" s="1"/>
  <c r="BC34" i="6"/>
  <c r="BC54" i="6" s="1"/>
  <c r="BB34" i="6"/>
  <c r="BB54" i="6" s="1"/>
  <c r="BA34" i="6"/>
  <c r="AZ34" i="6"/>
  <c r="AZ74" i="6" s="1"/>
  <c r="AY34" i="6"/>
  <c r="AX34" i="6"/>
  <c r="AX54" i="6" s="1"/>
  <c r="AW34" i="6"/>
  <c r="AV34" i="6"/>
  <c r="AV54" i="6" s="1"/>
  <c r="AU34" i="6"/>
  <c r="AT34" i="6"/>
  <c r="AS34" i="6"/>
  <c r="AR34" i="6"/>
  <c r="AR54" i="6" s="1"/>
  <c r="AQ34" i="6"/>
  <c r="AP34" i="6"/>
  <c r="AO34" i="6"/>
  <c r="AO54" i="6" s="1"/>
  <c r="AN34" i="6"/>
  <c r="AM34" i="6"/>
  <c r="AL34" i="6"/>
  <c r="AK34" i="6"/>
  <c r="AK54" i="6" s="1"/>
  <c r="AJ34" i="6"/>
  <c r="AJ54" i="6" s="1"/>
  <c r="AI34" i="6"/>
  <c r="AH34" i="6"/>
  <c r="AG34" i="6"/>
  <c r="AF34" i="6"/>
  <c r="AE34" i="6"/>
  <c r="AE54" i="6" s="1"/>
  <c r="AD34" i="6"/>
  <c r="AC34" i="6"/>
  <c r="AB34" i="6"/>
  <c r="AA34" i="6"/>
  <c r="Z34" i="6"/>
  <c r="Y34" i="6"/>
  <c r="X34" i="6"/>
  <c r="X74" i="6" s="1"/>
  <c r="W34" i="6"/>
  <c r="W54" i="6" s="1"/>
  <c r="V34" i="6"/>
  <c r="V74" i="6" s="1"/>
  <c r="U34" i="6"/>
  <c r="T34" i="6"/>
  <c r="S34" i="6"/>
  <c r="R34" i="6"/>
  <c r="R54" i="6" s="1"/>
  <c r="Q34" i="6"/>
  <c r="P34" i="6"/>
  <c r="P54" i="6" s="1"/>
  <c r="O34" i="6"/>
  <c r="N34" i="6"/>
  <c r="M34" i="6"/>
  <c r="L34" i="6"/>
  <c r="L54" i="6" s="1"/>
  <c r="K34" i="6"/>
  <c r="K74" i="6" s="1"/>
  <c r="J34" i="6"/>
  <c r="J54" i="6" s="1"/>
  <c r="I34" i="6"/>
  <c r="I54" i="6" s="1"/>
  <c r="H34" i="6"/>
  <c r="H74" i="6" s="1"/>
  <c r="G34" i="6"/>
  <c r="F34" i="6"/>
  <c r="E34" i="6"/>
  <c r="D34" i="6"/>
  <c r="C34" i="6"/>
  <c r="BV33" i="6"/>
  <c r="BU33" i="6"/>
  <c r="BU53" i="6" s="1"/>
  <c r="BT33" i="6"/>
  <c r="BT53" i="6" s="1"/>
  <c r="BS33" i="6"/>
  <c r="BS73" i="6" s="1"/>
  <c r="BR33" i="6"/>
  <c r="BR73" i="6" s="1"/>
  <c r="BQ33" i="6"/>
  <c r="BQ73" i="6" s="1"/>
  <c r="BP33" i="6"/>
  <c r="BP73" i="6" s="1"/>
  <c r="BO33" i="6"/>
  <c r="BN33" i="6"/>
  <c r="BM33" i="6"/>
  <c r="BL33" i="6"/>
  <c r="BK33" i="6"/>
  <c r="BJ33" i="6"/>
  <c r="BI33" i="6"/>
  <c r="BH33" i="6"/>
  <c r="BH53" i="6" s="1"/>
  <c r="BG33" i="6"/>
  <c r="BG73" i="6" s="1"/>
  <c r="BF33" i="6"/>
  <c r="BF73" i="6" s="1"/>
  <c r="BE33" i="6"/>
  <c r="BE53" i="6" s="1"/>
  <c r="BD33" i="6"/>
  <c r="BD73" i="6" s="1"/>
  <c r="BC33" i="6"/>
  <c r="BC73" i="6" s="1"/>
  <c r="BB33" i="6"/>
  <c r="BA33" i="6"/>
  <c r="BA73" i="6" s="1"/>
  <c r="AZ33" i="6"/>
  <c r="AY33" i="6"/>
  <c r="AY73" i="6" s="1"/>
  <c r="AX33" i="6"/>
  <c r="AW33" i="6"/>
  <c r="AW53" i="6" s="1"/>
  <c r="AV33" i="6"/>
  <c r="AV73" i="6" s="1"/>
  <c r="AU33" i="6"/>
  <c r="AU53" i="6" s="1"/>
  <c r="AT33" i="6"/>
  <c r="AS33" i="6"/>
  <c r="AS53" i="6" s="1"/>
  <c r="AR33" i="6"/>
  <c r="AR73" i="6" s="1"/>
  <c r="AQ33" i="6"/>
  <c r="AQ73" i="6" s="1"/>
  <c r="AP33" i="6"/>
  <c r="AO33" i="6"/>
  <c r="AN33" i="6"/>
  <c r="AM33" i="6"/>
  <c r="AL33" i="6"/>
  <c r="AK33" i="6"/>
  <c r="AJ33" i="6"/>
  <c r="AJ73" i="6" s="1"/>
  <c r="AI33" i="6"/>
  <c r="AI53" i="6" s="1"/>
  <c r="AH33" i="6"/>
  <c r="AH53" i="6" s="1"/>
  <c r="AG33" i="6"/>
  <c r="AG53" i="6" s="1"/>
  <c r="AF33" i="6"/>
  <c r="AF53" i="6" s="1"/>
  <c r="AE33" i="6"/>
  <c r="AE53" i="6" s="1"/>
  <c r="AD33" i="6"/>
  <c r="AD53" i="6" s="1"/>
  <c r="AC33" i="6"/>
  <c r="AB33" i="6"/>
  <c r="AA33" i="6"/>
  <c r="Z33" i="6"/>
  <c r="Y33" i="6"/>
  <c r="X33" i="6"/>
  <c r="X53" i="6" s="1"/>
  <c r="W33" i="6"/>
  <c r="W53" i="6" s="1"/>
  <c r="V33" i="6"/>
  <c r="V73" i="6" s="1"/>
  <c r="U33" i="6"/>
  <c r="U73" i="6" s="1"/>
  <c r="T33" i="6"/>
  <c r="T73" i="6" s="1"/>
  <c r="S33" i="6"/>
  <c r="R33" i="6"/>
  <c r="Q33" i="6"/>
  <c r="P33" i="6"/>
  <c r="P53" i="6" s="1"/>
  <c r="O33" i="6"/>
  <c r="N33" i="6"/>
  <c r="M33" i="6"/>
  <c r="L33" i="6"/>
  <c r="L73" i="6" s="1"/>
  <c r="K33" i="6"/>
  <c r="K53" i="6" s="1"/>
  <c r="J33" i="6"/>
  <c r="I33" i="6"/>
  <c r="I53" i="6" s="1"/>
  <c r="H33" i="6"/>
  <c r="H53" i="6" s="1"/>
  <c r="G33" i="6"/>
  <c r="G53" i="6" s="1"/>
  <c r="F33" i="6"/>
  <c r="E33" i="6"/>
  <c r="E73" i="6" s="1"/>
  <c r="D33" i="6"/>
  <c r="C33" i="6"/>
  <c r="BV32" i="6"/>
  <c r="BU32" i="6"/>
  <c r="BT32" i="6"/>
  <c r="BT72" i="6" s="1"/>
  <c r="BS32" i="6"/>
  <c r="BS72" i="6" s="1"/>
  <c r="BR32" i="6"/>
  <c r="BR72" i="6" s="1"/>
  <c r="BQ32" i="6"/>
  <c r="BQ72" i="6" s="1"/>
  <c r="BP32" i="6"/>
  <c r="BP52" i="6" s="1"/>
  <c r="BO32" i="6"/>
  <c r="BO72" i="6" s="1"/>
  <c r="BN32" i="6"/>
  <c r="BN52" i="6" s="1"/>
  <c r="BM32" i="6"/>
  <c r="BM52" i="6" s="1"/>
  <c r="BL32" i="6"/>
  <c r="BL52" i="6" s="1"/>
  <c r="BK32" i="6"/>
  <c r="BK52" i="6" s="1"/>
  <c r="BJ32" i="6"/>
  <c r="BI32" i="6"/>
  <c r="BH32" i="6"/>
  <c r="BH72" i="6" s="1"/>
  <c r="BG32" i="6"/>
  <c r="BF32" i="6"/>
  <c r="BF72" i="6" s="1"/>
  <c r="BE32" i="6"/>
  <c r="BE72" i="6" s="1"/>
  <c r="BD32" i="6"/>
  <c r="BD72" i="6" s="1"/>
  <c r="BC32" i="6"/>
  <c r="BC52" i="6" s="1"/>
  <c r="BB32" i="6"/>
  <c r="BA32" i="6"/>
  <c r="AZ32" i="6"/>
  <c r="AY32" i="6"/>
  <c r="AY72" i="6" s="1"/>
  <c r="AX32" i="6"/>
  <c r="AW32" i="6"/>
  <c r="AW72" i="6" s="1"/>
  <c r="AV32" i="6"/>
  <c r="AV72" i="6" s="1"/>
  <c r="AU32" i="6"/>
  <c r="AT32" i="6"/>
  <c r="AS32" i="6"/>
  <c r="AS52" i="6" s="1"/>
  <c r="AR32" i="6"/>
  <c r="AR52" i="6" s="1"/>
  <c r="AQ32" i="6"/>
  <c r="AQ52" i="6" s="1"/>
  <c r="AP32" i="6"/>
  <c r="AP52" i="6" s="1"/>
  <c r="AO32" i="6"/>
  <c r="AO52" i="6" s="1"/>
  <c r="AN32" i="6"/>
  <c r="AM32" i="6"/>
  <c r="AL32" i="6"/>
  <c r="AK32" i="6"/>
  <c r="AJ32" i="6"/>
  <c r="AJ52" i="6" s="1"/>
  <c r="AI32" i="6"/>
  <c r="AI52" i="6" s="1"/>
  <c r="AH32" i="6"/>
  <c r="AG32" i="6"/>
  <c r="AF32" i="6"/>
  <c r="AE32" i="6"/>
  <c r="AD32" i="6"/>
  <c r="AC32" i="6"/>
  <c r="AB32" i="6"/>
  <c r="AB52" i="6" s="1"/>
  <c r="AA32" i="6"/>
  <c r="AA52" i="6" s="1"/>
  <c r="Z32" i="6"/>
  <c r="Y32" i="6"/>
  <c r="Y52" i="6" s="1"/>
  <c r="X32" i="6"/>
  <c r="X52" i="6" s="1"/>
  <c r="W32" i="6"/>
  <c r="W72" i="6" s="1"/>
  <c r="V32" i="6"/>
  <c r="V72" i="6" s="1"/>
  <c r="U32" i="6"/>
  <c r="U72" i="6" s="1"/>
  <c r="T32" i="6"/>
  <c r="S32" i="6"/>
  <c r="R32" i="6"/>
  <c r="Q32" i="6"/>
  <c r="P32" i="6"/>
  <c r="P72" i="6" s="1"/>
  <c r="O32" i="6"/>
  <c r="N32" i="6"/>
  <c r="M32" i="6"/>
  <c r="L32" i="6"/>
  <c r="L52" i="6" s="1"/>
  <c r="K32" i="6"/>
  <c r="K52" i="6" s="1"/>
  <c r="J32" i="6"/>
  <c r="J52" i="6" s="1"/>
  <c r="I32" i="6"/>
  <c r="I72" i="6" s="1"/>
  <c r="H32" i="6"/>
  <c r="G32" i="6"/>
  <c r="G52" i="6" s="1"/>
  <c r="F32" i="6"/>
  <c r="E32" i="6"/>
  <c r="E52" i="6" s="1"/>
  <c r="D32" i="6"/>
  <c r="C32" i="6"/>
  <c r="C52" i="6" s="1"/>
  <c r="C31" i="6"/>
  <c r="C51" i="6" s="1"/>
  <c r="C19" i="6"/>
  <c r="D35" i="6"/>
  <c r="D31" i="6"/>
  <c r="D51" i="6" s="1"/>
  <c r="C8" i="6"/>
  <c r="C112" i="6" s="1"/>
  <c r="D8" i="5"/>
  <c r="D14" i="5" s="1"/>
  <c r="C7" i="6"/>
  <c r="D7" i="6" s="1"/>
  <c r="E7" i="6" s="1"/>
  <c r="F7" i="6" s="1"/>
  <c r="G7" i="6" s="1"/>
  <c r="H7" i="6" s="1"/>
  <c r="I7" i="6" s="1"/>
  <c r="J7" i="6" s="1"/>
  <c r="K7" i="6" s="1"/>
  <c r="L7" i="6" s="1"/>
  <c r="M7" i="6" s="1"/>
  <c r="N7" i="6" s="1"/>
  <c r="O7" i="6" s="1"/>
  <c r="P7" i="6" s="1"/>
  <c r="Q7" i="6" s="1"/>
  <c r="R7" i="6" s="1"/>
  <c r="S7" i="6" s="1"/>
  <c r="T7" i="6" s="1"/>
  <c r="U7" i="6" s="1"/>
  <c r="V7" i="6" s="1"/>
  <c r="W7" i="6" s="1"/>
  <c r="X7" i="6" s="1"/>
  <c r="Y7" i="6" s="1"/>
  <c r="Z7" i="6" s="1"/>
  <c r="AA7" i="6" s="1"/>
  <c r="AB7" i="6" s="1"/>
  <c r="AC7" i="6" s="1"/>
  <c r="AD7" i="6" s="1"/>
  <c r="AE7" i="6" s="1"/>
  <c r="AF7" i="6" s="1"/>
  <c r="AG7" i="6" s="1"/>
  <c r="AH7" i="6" s="1"/>
  <c r="AI7" i="6" s="1"/>
  <c r="AJ7" i="6" s="1"/>
  <c r="AK7" i="6" s="1"/>
  <c r="AL7" i="6" s="1"/>
  <c r="AM7" i="6" s="1"/>
  <c r="AN7" i="6" s="1"/>
  <c r="AO7" i="6" s="1"/>
  <c r="AP7" i="6" s="1"/>
  <c r="AQ7" i="6" s="1"/>
  <c r="AR7" i="6" s="1"/>
  <c r="AS7" i="6" s="1"/>
  <c r="AT7" i="6" s="1"/>
  <c r="AU7" i="6" s="1"/>
  <c r="AV7" i="6" s="1"/>
  <c r="AW7" i="6" s="1"/>
  <c r="AX7" i="6" s="1"/>
  <c r="AY7" i="6" s="1"/>
  <c r="AZ7" i="6" s="1"/>
  <c r="BA7" i="6" s="1"/>
  <c r="BB7" i="6" s="1"/>
  <c r="BC7" i="6" s="1"/>
  <c r="BD7" i="6" s="1"/>
  <c r="BE7" i="6" s="1"/>
  <c r="BF7" i="6" s="1"/>
  <c r="BG7" i="6" s="1"/>
  <c r="BH7" i="6" s="1"/>
  <c r="BI7" i="6" s="1"/>
  <c r="BJ7" i="6" s="1"/>
  <c r="BK7" i="6" s="1"/>
  <c r="BL7" i="6" s="1"/>
  <c r="BM7" i="6" s="1"/>
  <c r="BN7" i="6" s="1"/>
  <c r="BO7" i="6" s="1"/>
  <c r="BP7" i="6" s="1"/>
  <c r="BQ7" i="6" s="1"/>
  <c r="BR7" i="6" s="1"/>
  <c r="BS7" i="6" s="1"/>
  <c r="BT7" i="6" s="1"/>
  <c r="BU7" i="6" s="1"/>
  <c r="BV7" i="6" s="1"/>
  <c r="D24" i="5" l="1"/>
  <c r="D34" i="5"/>
  <c r="BD53" i="6"/>
  <c r="BD94" i="6" s="1"/>
  <c r="BE52" i="6"/>
  <c r="BE93" i="6" s="1"/>
  <c r="BC53" i="6"/>
  <c r="BC94" i="6" s="1"/>
  <c r="BQ53" i="6"/>
  <c r="BQ94" i="6" s="1"/>
  <c r="AZ76" i="6"/>
  <c r="AZ97" i="6" s="1"/>
  <c r="D102" i="6"/>
  <c r="G72" i="6"/>
  <c r="G93" i="6" s="1"/>
  <c r="AA56" i="6"/>
  <c r="AA97" i="6" s="1"/>
  <c r="AB56" i="6"/>
  <c r="AB97" i="6" s="1"/>
  <c r="BT73" i="6"/>
  <c r="BT94" i="6" s="1"/>
  <c r="BL59" i="6"/>
  <c r="BL100" i="6" s="1"/>
  <c r="BO52" i="6"/>
  <c r="BO93" i="6" s="1"/>
  <c r="AZ58" i="6"/>
  <c r="AZ99" i="6" s="1"/>
  <c r="C30" i="6"/>
  <c r="BK58" i="6"/>
  <c r="BK99" i="6" s="1"/>
  <c r="BJ74" i="6"/>
  <c r="BJ95" i="6" s="1"/>
  <c r="Z78" i="6"/>
  <c r="Z99" i="6" s="1"/>
  <c r="AX78" i="6"/>
  <c r="AX99" i="6" s="1"/>
  <c r="AA79" i="6"/>
  <c r="AA100" i="6" s="1"/>
  <c r="AM79" i="6"/>
  <c r="AM100" i="6" s="1"/>
  <c r="AY56" i="6"/>
  <c r="AY97" i="6" s="1"/>
  <c r="BL58" i="6"/>
  <c r="BL99" i="6" s="1"/>
  <c r="D76" i="6"/>
  <c r="D97" i="6" s="1"/>
  <c r="AV53" i="6"/>
  <c r="AV94" i="6" s="1"/>
  <c r="AV58" i="6"/>
  <c r="AV99" i="6" s="1"/>
  <c r="M78" i="6"/>
  <c r="M99" i="6" s="1"/>
  <c r="BG57" i="6"/>
  <c r="BG98" i="6" s="1"/>
  <c r="BH57" i="6"/>
  <c r="BH98" i="6" s="1"/>
  <c r="BI57" i="6"/>
  <c r="BI98" i="6" s="1"/>
  <c r="AR72" i="6"/>
  <c r="AR93" i="6" s="1"/>
  <c r="BC72" i="6"/>
  <c r="BC93" i="6" s="1"/>
  <c r="AW52" i="6"/>
  <c r="AW93" i="6" s="1"/>
  <c r="BI54" i="6"/>
  <c r="BI95" i="6" s="1"/>
  <c r="BL76" i="6"/>
  <c r="BL97" i="6" s="1"/>
  <c r="AA58" i="6"/>
  <c r="AA99" i="6" s="1"/>
  <c r="I73" i="6"/>
  <c r="I94" i="6" s="1"/>
  <c r="P77" i="6"/>
  <c r="P98" i="6" s="1"/>
  <c r="V54" i="6"/>
  <c r="V95" i="6" s="1"/>
  <c r="X57" i="6"/>
  <c r="X98" i="6" s="1"/>
  <c r="M76" i="6"/>
  <c r="M97" i="6" s="1"/>
  <c r="BS53" i="6"/>
  <c r="BS94" i="6" s="1"/>
  <c r="K72" i="6"/>
  <c r="K93" i="6" s="1"/>
  <c r="W73" i="6"/>
  <c r="W94" i="6" s="1"/>
  <c r="AV74" i="6"/>
  <c r="AV95" i="6" s="1"/>
  <c r="Y76" i="6"/>
  <c r="Y97" i="6" s="1"/>
  <c r="O56" i="6"/>
  <c r="O97" i="6" s="1"/>
  <c r="AM56" i="6"/>
  <c r="AM97" i="6" s="1"/>
  <c r="Z76" i="6"/>
  <c r="Z97" i="6" s="1"/>
  <c r="D79" i="6"/>
  <c r="D100" i="6" s="1"/>
  <c r="W52" i="6"/>
  <c r="W93" i="6" s="1"/>
  <c r="J76" i="6"/>
  <c r="J97" i="6" s="1"/>
  <c r="K76" i="6"/>
  <c r="K97" i="6" s="1"/>
  <c r="AI56" i="6"/>
  <c r="AI97" i="6" s="1"/>
  <c r="BJ78" i="6"/>
  <c r="BJ99" i="6" s="1"/>
  <c r="AQ53" i="6"/>
  <c r="AQ94" i="6" s="1"/>
  <c r="BC74" i="6"/>
  <c r="BC95" i="6" s="1"/>
  <c r="J74" i="6"/>
  <c r="J95" i="6" s="1"/>
  <c r="X54" i="6"/>
  <c r="X95" i="6" s="1"/>
  <c r="Y58" i="6"/>
  <c r="Y99" i="6" s="1"/>
  <c r="L74" i="6"/>
  <c r="L95" i="6" s="1"/>
  <c r="BR53" i="6"/>
  <c r="BR94" i="6" s="1"/>
  <c r="AL59" i="6"/>
  <c r="AL100" i="6" s="1"/>
  <c r="W56" i="6"/>
  <c r="W97" i="6" s="1"/>
  <c r="K57" i="6"/>
  <c r="K98" i="6" s="1"/>
  <c r="K58" i="6"/>
  <c r="K99" i="6" s="1"/>
  <c r="AN58" i="6"/>
  <c r="AN99" i="6" s="1"/>
  <c r="AS72" i="6"/>
  <c r="AS93" i="6" s="1"/>
  <c r="BK77" i="6"/>
  <c r="BK98" i="6" s="1"/>
  <c r="P79" i="6"/>
  <c r="P100" i="6" s="1"/>
  <c r="C111" i="6"/>
  <c r="BR54" i="6"/>
  <c r="BR95" i="6" s="1"/>
  <c r="X76" i="6"/>
  <c r="X97" i="6" s="1"/>
  <c r="I52" i="6"/>
  <c r="I93" i="6" s="1"/>
  <c r="AV52" i="6"/>
  <c r="AV93" i="6" s="1"/>
  <c r="BE54" i="6"/>
  <c r="BE95" i="6" s="1"/>
  <c r="AW56" i="6"/>
  <c r="AW97" i="6" s="1"/>
  <c r="L58" i="6"/>
  <c r="L99" i="6" s="1"/>
  <c r="D75" i="6"/>
  <c r="D30" i="6"/>
  <c r="D55" i="6"/>
  <c r="H76" i="6"/>
  <c r="H56" i="6"/>
  <c r="T76" i="6"/>
  <c r="T56" i="6"/>
  <c r="AF76" i="6"/>
  <c r="AF56" i="6"/>
  <c r="AR76" i="6"/>
  <c r="AR56" i="6"/>
  <c r="BD76" i="6"/>
  <c r="BD56" i="6"/>
  <c r="BP76" i="6"/>
  <c r="BP56" i="6"/>
  <c r="H77" i="6"/>
  <c r="H57" i="6"/>
  <c r="T77" i="6"/>
  <c r="T57" i="6"/>
  <c r="AF57" i="6"/>
  <c r="AF98" i="6" s="1"/>
  <c r="AR57" i="6"/>
  <c r="AR77" i="6"/>
  <c r="BD77" i="6"/>
  <c r="BD57" i="6"/>
  <c r="BP77" i="6"/>
  <c r="BP57" i="6"/>
  <c r="H78" i="6"/>
  <c r="H58" i="6"/>
  <c r="T58" i="6"/>
  <c r="T78" i="6"/>
  <c r="AF78" i="6"/>
  <c r="AF58" i="6"/>
  <c r="AR78" i="6"/>
  <c r="AR58" i="6"/>
  <c r="BD78" i="6"/>
  <c r="BD58" i="6"/>
  <c r="BP78" i="6"/>
  <c r="BP58" i="6"/>
  <c r="H79" i="6"/>
  <c r="H59" i="6"/>
  <c r="T79" i="6"/>
  <c r="T59" i="6"/>
  <c r="AF59" i="6"/>
  <c r="AF79" i="6"/>
  <c r="AR79" i="6"/>
  <c r="AR59" i="6"/>
  <c r="BD79" i="6"/>
  <c r="BD100" i="6" s="1"/>
  <c r="BP79" i="6"/>
  <c r="BP59" i="6"/>
  <c r="I76" i="6"/>
  <c r="I56" i="6"/>
  <c r="U56" i="6"/>
  <c r="U76" i="6"/>
  <c r="AG56" i="6"/>
  <c r="AG76" i="6"/>
  <c r="AS76" i="6"/>
  <c r="AS56" i="6"/>
  <c r="BE56" i="6"/>
  <c r="BQ76" i="6"/>
  <c r="BQ56" i="6"/>
  <c r="I77" i="6"/>
  <c r="I57" i="6"/>
  <c r="U77" i="6"/>
  <c r="AG77" i="6"/>
  <c r="AG57" i="6"/>
  <c r="AS57" i="6"/>
  <c r="BE77" i="6"/>
  <c r="BQ77" i="6"/>
  <c r="BQ57" i="6"/>
  <c r="I78" i="6"/>
  <c r="U58" i="6"/>
  <c r="AG58" i="6"/>
  <c r="AG78" i="6"/>
  <c r="AS78" i="6"/>
  <c r="AS58" i="6"/>
  <c r="BE78" i="6"/>
  <c r="BE58" i="6"/>
  <c r="BQ78" i="6"/>
  <c r="BQ58" i="6"/>
  <c r="I79" i="6"/>
  <c r="U79" i="6"/>
  <c r="U59" i="6"/>
  <c r="AG79" i="6"/>
  <c r="AS59" i="6"/>
  <c r="AS79" i="6"/>
  <c r="BE59" i="6"/>
  <c r="BE79" i="6"/>
  <c r="BQ59" i="6"/>
  <c r="BQ100" i="6" s="1"/>
  <c r="AG59" i="6"/>
  <c r="U57" i="6"/>
  <c r="BE76" i="6"/>
  <c r="M72" i="6"/>
  <c r="M52" i="6"/>
  <c r="Y72" i="6"/>
  <c r="Y93" i="6" s="1"/>
  <c r="AK72" i="6"/>
  <c r="AK52" i="6"/>
  <c r="BI72" i="6"/>
  <c r="BI52" i="6"/>
  <c r="BU52" i="6"/>
  <c r="BU72" i="6"/>
  <c r="M53" i="6"/>
  <c r="M73" i="6"/>
  <c r="Y53" i="6"/>
  <c r="Y73" i="6"/>
  <c r="AK73" i="6"/>
  <c r="AK53" i="6"/>
  <c r="BI73" i="6"/>
  <c r="BI53" i="6"/>
  <c r="BU73" i="6"/>
  <c r="BU94" i="6" s="1"/>
  <c r="M74" i="6"/>
  <c r="M54" i="6"/>
  <c r="Y54" i="6"/>
  <c r="Y74" i="6"/>
  <c r="AK74" i="6"/>
  <c r="AK95" i="6" s="1"/>
  <c r="AW74" i="6"/>
  <c r="AW54" i="6"/>
  <c r="BU74" i="6"/>
  <c r="BU54" i="6"/>
  <c r="I59" i="6"/>
  <c r="D60" i="6"/>
  <c r="N72" i="6"/>
  <c r="N52" i="6"/>
  <c r="Z52" i="6"/>
  <c r="Z72" i="6"/>
  <c r="AL52" i="6"/>
  <c r="AL72" i="6"/>
  <c r="AX72" i="6"/>
  <c r="AX52" i="6"/>
  <c r="BJ72" i="6"/>
  <c r="BJ52" i="6"/>
  <c r="BV72" i="6"/>
  <c r="BV52" i="6"/>
  <c r="N53" i="6"/>
  <c r="N73" i="6"/>
  <c r="Z53" i="6"/>
  <c r="Z73" i="6"/>
  <c r="AL53" i="6"/>
  <c r="AL73" i="6"/>
  <c r="AX73" i="6"/>
  <c r="AX53" i="6"/>
  <c r="BJ73" i="6"/>
  <c r="BJ53" i="6"/>
  <c r="BV73" i="6"/>
  <c r="BV53" i="6"/>
  <c r="N74" i="6"/>
  <c r="N54" i="6"/>
  <c r="Z54" i="6"/>
  <c r="Z74" i="6"/>
  <c r="AL54" i="6"/>
  <c r="AL74" i="6"/>
  <c r="C72" i="6"/>
  <c r="C93" i="6" s="1"/>
  <c r="O72" i="6"/>
  <c r="O52" i="6"/>
  <c r="AA72" i="6"/>
  <c r="AA93" i="6" s="1"/>
  <c r="AM72" i="6"/>
  <c r="AM52" i="6"/>
  <c r="AY52" i="6"/>
  <c r="AY93" i="6" s="1"/>
  <c r="BK72" i="6"/>
  <c r="BK93" i="6" s="1"/>
  <c r="C73" i="6"/>
  <c r="C53" i="6"/>
  <c r="O73" i="6"/>
  <c r="O53" i="6"/>
  <c r="AA53" i="6"/>
  <c r="AA73" i="6"/>
  <c r="AM73" i="6"/>
  <c r="AM53" i="6"/>
  <c r="BK73" i="6"/>
  <c r="BK53" i="6"/>
  <c r="C74" i="6"/>
  <c r="C54" i="6"/>
  <c r="O74" i="6"/>
  <c r="AA74" i="6"/>
  <c r="AA54" i="6"/>
  <c r="AM74" i="6"/>
  <c r="AY74" i="6"/>
  <c r="AY54" i="6"/>
  <c r="BK74" i="6"/>
  <c r="BK95" i="6" s="1"/>
  <c r="C75" i="6"/>
  <c r="C55" i="6"/>
  <c r="AM54" i="6"/>
  <c r="U78" i="6"/>
  <c r="BE57" i="6"/>
  <c r="D72" i="6"/>
  <c r="D52" i="6"/>
  <c r="P52" i="6"/>
  <c r="P93" i="6" s="1"/>
  <c r="AB72" i="6"/>
  <c r="AB93" i="6" s="1"/>
  <c r="AN72" i="6"/>
  <c r="AN52" i="6"/>
  <c r="AZ72" i="6"/>
  <c r="AZ52" i="6"/>
  <c r="BL72" i="6"/>
  <c r="BL93" i="6" s="1"/>
  <c r="D73" i="6"/>
  <c r="D53" i="6"/>
  <c r="P73" i="6"/>
  <c r="P94" i="6" s="1"/>
  <c r="AB53" i="6"/>
  <c r="AB73" i="6"/>
  <c r="AN73" i="6"/>
  <c r="AN53" i="6"/>
  <c r="AZ73" i="6"/>
  <c r="AZ53" i="6"/>
  <c r="BL73" i="6"/>
  <c r="BL53" i="6"/>
  <c r="D74" i="6"/>
  <c r="D54" i="6"/>
  <c r="P74" i="6"/>
  <c r="P95" i="6" s="1"/>
  <c r="AB54" i="6"/>
  <c r="AB74" i="6"/>
  <c r="AN74" i="6"/>
  <c r="AZ54" i="6"/>
  <c r="AZ95" i="6" s="1"/>
  <c r="BL74" i="6"/>
  <c r="BL54" i="6"/>
  <c r="E76" i="6"/>
  <c r="E56" i="6"/>
  <c r="Q76" i="6"/>
  <c r="Q56" i="6"/>
  <c r="AC76" i="6"/>
  <c r="AC97" i="6" s="1"/>
  <c r="AO76" i="6"/>
  <c r="AO56" i="6"/>
  <c r="BA76" i="6"/>
  <c r="BA97" i="6" s="1"/>
  <c r="BM76" i="6"/>
  <c r="BM56" i="6"/>
  <c r="E77" i="6"/>
  <c r="E57" i="6"/>
  <c r="Q77" i="6"/>
  <c r="Q98" i="6" s="1"/>
  <c r="AC77" i="6"/>
  <c r="AC57" i="6"/>
  <c r="AO77" i="6"/>
  <c r="AO57" i="6"/>
  <c r="BA77" i="6"/>
  <c r="BA57" i="6"/>
  <c r="BM57" i="6"/>
  <c r="BM77" i="6"/>
  <c r="E78" i="6"/>
  <c r="E99" i="6" s="1"/>
  <c r="Q58" i="6"/>
  <c r="Q99" i="6" s="1"/>
  <c r="AC78" i="6"/>
  <c r="AC58" i="6"/>
  <c r="AO78" i="6"/>
  <c r="AO99" i="6" s="1"/>
  <c r="BA78" i="6"/>
  <c r="BA58" i="6"/>
  <c r="BM78" i="6"/>
  <c r="BM99" i="6" s="1"/>
  <c r="E79" i="6"/>
  <c r="E59" i="6"/>
  <c r="Q79" i="6"/>
  <c r="Q59" i="6"/>
  <c r="AC59" i="6"/>
  <c r="AC79" i="6"/>
  <c r="AO79" i="6"/>
  <c r="AO59" i="6"/>
  <c r="BA79" i="6"/>
  <c r="BM79" i="6"/>
  <c r="BM59" i="6"/>
  <c r="AN54" i="6"/>
  <c r="E72" i="6"/>
  <c r="E93" i="6" s="1"/>
  <c r="Q73" i="6"/>
  <c r="BA74" i="6"/>
  <c r="BA54" i="6"/>
  <c r="BB76" i="6"/>
  <c r="BB97" i="6" s="1"/>
  <c r="AP78" i="6"/>
  <c r="AP99" i="6" s="1"/>
  <c r="I58" i="6"/>
  <c r="AS77" i="6"/>
  <c r="D19" i="6"/>
  <c r="D8" i="6"/>
  <c r="D112" i="6" s="1"/>
  <c r="Q72" i="6"/>
  <c r="Q52" i="6"/>
  <c r="AC72" i="6"/>
  <c r="AC52" i="6"/>
  <c r="AO72" i="6"/>
  <c r="AO93" i="6" s="1"/>
  <c r="BA72" i="6"/>
  <c r="BA52" i="6"/>
  <c r="BM72" i="6"/>
  <c r="BM93" i="6" s="1"/>
  <c r="E53" i="6"/>
  <c r="E94" i="6" s="1"/>
  <c r="AC53" i="6"/>
  <c r="AC73" i="6"/>
  <c r="AO73" i="6"/>
  <c r="AO53" i="6"/>
  <c r="BA53" i="6"/>
  <c r="BA94" i="6" s="1"/>
  <c r="BM73" i="6"/>
  <c r="BM53" i="6"/>
  <c r="E74" i="6"/>
  <c r="E54" i="6"/>
  <c r="Q74" i="6"/>
  <c r="Q54" i="6"/>
  <c r="AC54" i="6"/>
  <c r="AC74" i="6"/>
  <c r="AO74" i="6"/>
  <c r="AO95" i="6" s="1"/>
  <c r="BM74" i="6"/>
  <c r="BM54" i="6"/>
  <c r="F76" i="6"/>
  <c r="F56" i="6"/>
  <c r="R76" i="6"/>
  <c r="R56" i="6"/>
  <c r="AD76" i="6"/>
  <c r="AD56" i="6"/>
  <c r="AP76" i="6"/>
  <c r="AP56" i="6"/>
  <c r="BN76" i="6"/>
  <c r="BN56" i="6"/>
  <c r="F77" i="6"/>
  <c r="F57" i="6"/>
  <c r="R77" i="6"/>
  <c r="R98" i="6" s="1"/>
  <c r="AD77" i="6"/>
  <c r="AD57" i="6"/>
  <c r="AP77" i="6"/>
  <c r="AP98" i="6" s="1"/>
  <c r="BB77" i="6"/>
  <c r="BB57" i="6"/>
  <c r="BN77" i="6"/>
  <c r="BN57" i="6"/>
  <c r="F78" i="6"/>
  <c r="F58" i="6"/>
  <c r="R78" i="6"/>
  <c r="R58" i="6"/>
  <c r="AD78" i="6"/>
  <c r="AD58" i="6"/>
  <c r="BB78" i="6"/>
  <c r="BB58" i="6"/>
  <c r="BN78" i="6"/>
  <c r="BN99" i="6" s="1"/>
  <c r="F79" i="6"/>
  <c r="F59" i="6"/>
  <c r="R79" i="6"/>
  <c r="R100" i="6" s="1"/>
  <c r="AD79" i="6"/>
  <c r="AD59" i="6"/>
  <c r="AP79" i="6"/>
  <c r="AP59" i="6"/>
  <c r="BB79" i="6"/>
  <c r="BB59" i="6"/>
  <c r="BN79" i="6"/>
  <c r="BN59" i="6"/>
  <c r="G56" i="6"/>
  <c r="G76" i="6"/>
  <c r="S76" i="6"/>
  <c r="S56" i="6"/>
  <c r="AE76" i="6"/>
  <c r="AE97" i="6" s="1"/>
  <c r="AQ76" i="6"/>
  <c r="AQ56" i="6"/>
  <c r="BC56" i="6"/>
  <c r="BC97" i="6" s="1"/>
  <c r="BO76" i="6"/>
  <c r="BO97" i="6" s="1"/>
  <c r="G77" i="6"/>
  <c r="G57" i="6"/>
  <c r="S77" i="6"/>
  <c r="S98" i="6" s="1"/>
  <c r="AE77" i="6"/>
  <c r="AE57" i="6"/>
  <c r="AQ77" i="6"/>
  <c r="AQ98" i="6" s="1"/>
  <c r="BC77" i="6"/>
  <c r="BC57" i="6"/>
  <c r="BO57" i="6"/>
  <c r="BO77" i="6"/>
  <c r="G78" i="6"/>
  <c r="G58" i="6"/>
  <c r="S78" i="6"/>
  <c r="S58" i="6"/>
  <c r="AE78" i="6"/>
  <c r="AE58" i="6"/>
  <c r="AQ78" i="6"/>
  <c r="AQ58" i="6"/>
  <c r="BC78" i="6"/>
  <c r="BC58" i="6"/>
  <c r="BO78" i="6"/>
  <c r="BO99" i="6" s="1"/>
  <c r="G79" i="6"/>
  <c r="G59" i="6"/>
  <c r="S79" i="6"/>
  <c r="S100" i="6" s="1"/>
  <c r="AE59" i="6"/>
  <c r="AE79" i="6"/>
  <c r="AQ79" i="6"/>
  <c r="AQ59" i="6"/>
  <c r="BC79" i="6"/>
  <c r="BC59" i="6"/>
  <c r="BO79" i="6"/>
  <c r="BO59" i="6"/>
  <c r="Q53" i="6"/>
  <c r="AY53" i="6"/>
  <c r="AY94" i="6" s="1"/>
  <c r="O54" i="6"/>
  <c r="BA59" i="6"/>
  <c r="AW73" i="6"/>
  <c r="AW94" i="6" s="1"/>
  <c r="AX74" i="6"/>
  <c r="AX95" i="6" s="1"/>
  <c r="F72" i="6"/>
  <c r="F52" i="6"/>
  <c r="R72" i="6"/>
  <c r="AD72" i="6"/>
  <c r="AD52" i="6"/>
  <c r="AP72" i="6"/>
  <c r="AP93" i="6" s="1"/>
  <c r="BB72" i="6"/>
  <c r="BN72" i="6"/>
  <c r="BN93" i="6" s="1"/>
  <c r="F73" i="6"/>
  <c r="R73" i="6"/>
  <c r="AD73" i="6"/>
  <c r="AD94" i="6" s="1"/>
  <c r="AP73" i="6"/>
  <c r="BB73" i="6"/>
  <c r="BB53" i="6"/>
  <c r="BN73" i="6"/>
  <c r="BN53" i="6"/>
  <c r="R74" i="6"/>
  <c r="R95" i="6" s="1"/>
  <c r="AD74" i="6"/>
  <c r="AD54" i="6"/>
  <c r="AP74" i="6"/>
  <c r="BB74" i="6"/>
  <c r="BB95" i="6" s="1"/>
  <c r="BN74" i="6"/>
  <c r="V76" i="6"/>
  <c r="AH76" i="6"/>
  <c r="AH56" i="6"/>
  <c r="AT76" i="6"/>
  <c r="AT56" i="6"/>
  <c r="BF76" i="6"/>
  <c r="BF56" i="6"/>
  <c r="J77" i="6"/>
  <c r="J57" i="6"/>
  <c r="AH77" i="6"/>
  <c r="AH98" i="6" s="1"/>
  <c r="BR77" i="6"/>
  <c r="J78" i="6"/>
  <c r="J99" i="6" s="1"/>
  <c r="V78" i="6"/>
  <c r="AH78" i="6"/>
  <c r="AH58" i="6"/>
  <c r="AT78" i="6"/>
  <c r="AT58" i="6"/>
  <c r="BF78" i="6"/>
  <c r="BF58" i="6"/>
  <c r="BR78" i="6"/>
  <c r="J79" i="6"/>
  <c r="J100" i="6" s="1"/>
  <c r="V79" i="6"/>
  <c r="AH79" i="6"/>
  <c r="AH100" i="6" s="1"/>
  <c r="AT79" i="6"/>
  <c r="BF59" i="6"/>
  <c r="BF100" i="6" s="1"/>
  <c r="BR79" i="6"/>
  <c r="R53" i="6"/>
  <c r="AP54" i="6"/>
  <c r="V57" i="6"/>
  <c r="V98" i="6" s="1"/>
  <c r="AT77" i="6"/>
  <c r="BR76" i="6"/>
  <c r="BR97" i="6" s="1"/>
  <c r="C113" i="6"/>
  <c r="C109" i="6"/>
  <c r="C115" i="6"/>
  <c r="C110" i="6"/>
  <c r="C114" i="6"/>
  <c r="D40" i="6"/>
  <c r="S72" i="6"/>
  <c r="S52" i="6"/>
  <c r="AE72" i="6"/>
  <c r="G73" i="6"/>
  <c r="G94" i="6" s="1"/>
  <c r="S73" i="6"/>
  <c r="AE73" i="6"/>
  <c r="AE94" i="6" s="1"/>
  <c r="BO73" i="6"/>
  <c r="BO53" i="6"/>
  <c r="G74" i="6"/>
  <c r="G54" i="6"/>
  <c r="S74" i="6"/>
  <c r="S54" i="6"/>
  <c r="AE74" i="6"/>
  <c r="AE95" i="6" s="1"/>
  <c r="AQ74" i="6"/>
  <c r="AQ54" i="6"/>
  <c r="BO74" i="6"/>
  <c r="BO95" i="6" s="1"/>
  <c r="AU76" i="6"/>
  <c r="AU56" i="6"/>
  <c r="BG56" i="6"/>
  <c r="BG97" i="6" s="1"/>
  <c r="BS76" i="6"/>
  <c r="BS56" i="6"/>
  <c r="W77" i="6"/>
  <c r="W57" i="6"/>
  <c r="AI77" i="6"/>
  <c r="AI98" i="6" s="1"/>
  <c r="AU77" i="6"/>
  <c r="AU98" i="6" s="1"/>
  <c r="BS77" i="6"/>
  <c r="BS98" i="6" s="1"/>
  <c r="W78" i="6"/>
  <c r="W99" i="6" s="1"/>
  <c r="AI78" i="6"/>
  <c r="AI99" i="6" s="1"/>
  <c r="AU78" i="6"/>
  <c r="AU58" i="6"/>
  <c r="BS78" i="6"/>
  <c r="BS58" i="6"/>
  <c r="K79" i="6"/>
  <c r="K59" i="6"/>
  <c r="W79" i="6"/>
  <c r="W100" i="6" s="1"/>
  <c r="AI79" i="6"/>
  <c r="AI100" i="6" s="1"/>
  <c r="AU79" i="6"/>
  <c r="AU100" i="6" s="1"/>
  <c r="BG59" i="6"/>
  <c r="BG100" i="6" s="1"/>
  <c r="BS59" i="6"/>
  <c r="BS100" i="6" s="1"/>
  <c r="AE52" i="6"/>
  <c r="BR52" i="6"/>
  <c r="BR93" i="6" s="1"/>
  <c r="S53" i="6"/>
  <c r="BF53" i="6"/>
  <c r="BF94" i="6" s="1"/>
  <c r="BR58" i="6"/>
  <c r="F74" i="6"/>
  <c r="F54" i="6"/>
  <c r="H72" i="6"/>
  <c r="H52" i="6"/>
  <c r="T72" i="6"/>
  <c r="T52" i="6"/>
  <c r="AF72" i="6"/>
  <c r="AF52" i="6"/>
  <c r="BD52" i="6"/>
  <c r="BD93" i="6" s="1"/>
  <c r="BP72" i="6"/>
  <c r="BP93" i="6" s="1"/>
  <c r="H73" i="6"/>
  <c r="H94" i="6" s="1"/>
  <c r="AF73" i="6"/>
  <c r="AF94" i="6" s="1"/>
  <c r="H54" i="6"/>
  <c r="H95" i="6" s="1"/>
  <c r="T74" i="6"/>
  <c r="T54" i="6"/>
  <c r="AF74" i="6"/>
  <c r="AF54" i="6"/>
  <c r="BD54" i="6"/>
  <c r="BD95" i="6" s="1"/>
  <c r="T53" i="6"/>
  <c r="T94" i="6" s="1"/>
  <c r="AP53" i="6"/>
  <c r="BG53" i="6"/>
  <c r="BG94" i="6" s="1"/>
  <c r="BN54" i="6"/>
  <c r="V56" i="6"/>
  <c r="AT57" i="6"/>
  <c r="V59" i="6"/>
  <c r="AT59" i="6"/>
  <c r="BF77" i="6"/>
  <c r="BF98" i="6" s="1"/>
  <c r="C71" i="6"/>
  <c r="C92" i="6" s="1"/>
  <c r="U52" i="6"/>
  <c r="U93" i="6" s="1"/>
  <c r="AG72" i="6"/>
  <c r="AG52" i="6"/>
  <c r="BQ52" i="6"/>
  <c r="BQ93" i="6" s="1"/>
  <c r="AG73" i="6"/>
  <c r="AG94" i="6" s="1"/>
  <c r="AS73" i="6"/>
  <c r="AS94" i="6" s="1"/>
  <c r="BE73" i="6"/>
  <c r="BE94" i="6" s="1"/>
  <c r="I74" i="6"/>
  <c r="I95" i="6" s="1"/>
  <c r="U74" i="6"/>
  <c r="U54" i="6"/>
  <c r="AG74" i="6"/>
  <c r="AG54" i="6"/>
  <c r="AS74" i="6"/>
  <c r="AS54" i="6"/>
  <c r="BQ74" i="6"/>
  <c r="BQ54" i="6"/>
  <c r="BI76" i="6"/>
  <c r="BI97" i="6" s="1"/>
  <c r="BU56" i="6"/>
  <c r="BU76" i="6"/>
  <c r="M57" i="6"/>
  <c r="Y77" i="6"/>
  <c r="Y57" i="6"/>
  <c r="AK77" i="6"/>
  <c r="AK98" i="6" s="1"/>
  <c r="AW77" i="6"/>
  <c r="AW57" i="6"/>
  <c r="BU77" i="6"/>
  <c r="BU98" i="6" s="1"/>
  <c r="AW78" i="6"/>
  <c r="AW99" i="6" s="1"/>
  <c r="BU58" i="6"/>
  <c r="BU78" i="6"/>
  <c r="M79" i="6"/>
  <c r="M100" i="6" s="1"/>
  <c r="Y79" i="6"/>
  <c r="AK79" i="6"/>
  <c r="AK100" i="6" s="1"/>
  <c r="AW79" i="6"/>
  <c r="BI79" i="6"/>
  <c r="BI100" i="6" s="1"/>
  <c r="BU79" i="6"/>
  <c r="BU59" i="6"/>
  <c r="BB52" i="6"/>
  <c r="U53" i="6"/>
  <c r="U94" i="6" s="1"/>
  <c r="M77" i="6"/>
  <c r="D71" i="6"/>
  <c r="D92" i="6" s="1"/>
  <c r="J72" i="6"/>
  <c r="J93" i="6" s="1"/>
  <c r="AH72" i="6"/>
  <c r="AH52" i="6"/>
  <c r="AT72" i="6"/>
  <c r="AT52" i="6"/>
  <c r="BF52" i="6"/>
  <c r="BF93" i="6" s="1"/>
  <c r="J73" i="6"/>
  <c r="J53" i="6"/>
  <c r="AH73" i="6"/>
  <c r="AH94" i="6" s="1"/>
  <c r="AT73" i="6"/>
  <c r="AH54" i="6"/>
  <c r="AT74" i="6"/>
  <c r="AT54" i="6"/>
  <c r="BF54" i="6"/>
  <c r="BF74" i="6"/>
  <c r="V53" i="6"/>
  <c r="V94" i="6" s="1"/>
  <c r="AR53" i="6"/>
  <c r="AR94" i="6" s="1"/>
  <c r="K54" i="6"/>
  <c r="K95" i="6" s="1"/>
  <c r="BP54" i="6"/>
  <c r="BP95" i="6" s="1"/>
  <c r="BR57" i="6"/>
  <c r="AK58" i="6"/>
  <c r="AK99" i="6" s="1"/>
  <c r="Y59" i="6"/>
  <c r="AW59" i="6"/>
  <c r="AH74" i="6"/>
  <c r="AK76" i="6"/>
  <c r="AK97" i="6" s="1"/>
  <c r="BG78" i="6"/>
  <c r="BG99" i="6" s="1"/>
  <c r="AU72" i="6"/>
  <c r="AU52" i="6"/>
  <c r="BG52" i="6"/>
  <c r="BG72" i="6"/>
  <c r="BS52" i="6"/>
  <c r="BS93" i="6" s="1"/>
  <c r="K73" i="6"/>
  <c r="K94" i="6" s="1"/>
  <c r="AI73" i="6"/>
  <c r="AI94" i="6" s="1"/>
  <c r="AU73" i="6"/>
  <c r="AU94" i="6" s="1"/>
  <c r="W74" i="6"/>
  <c r="W95" i="6" s="1"/>
  <c r="AI74" i="6"/>
  <c r="AU74" i="6"/>
  <c r="AU54" i="6"/>
  <c r="BG74" i="6"/>
  <c r="BG54" i="6"/>
  <c r="BS54" i="6"/>
  <c r="BS95" i="6" s="1"/>
  <c r="C76" i="6"/>
  <c r="C97" i="6" s="1"/>
  <c r="R52" i="6"/>
  <c r="F53" i="6"/>
  <c r="BR59" i="6"/>
  <c r="AI72" i="6"/>
  <c r="AI93" i="6" s="1"/>
  <c r="V52" i="6"/>
  <c r="V93" i="6" s="1"/>
  <c r="AT53" i="6"/>
  <c r="BP53" i="6"/>
  <c r="BP94" i="6" s="1"/>
  <c r="AI54" i="6"/>
  <c r="V58" i="6"/>
  <c r="BI58" i="6"/>
  <c r="BI99" i="6" s="1"/>
  <c r="AQ72" i="6"/>
  <c r="AQ93" i="6" s="1"/>
  <c r="AR74" i="6"/>
  <c r="AR95" i="6" s="1"/>
  <c r="X72" i="6"/>
  <c r="X93" i="6" s="1"/>
  <c r="AJ72" i="6"/>
  <c r="AJ93" i="6" s="1"/>
  <c r="X73" i="6"/>
  <c r="X94" i="6" s="1"/>
  <c r="BH73" i="6"/>
  <c r="BH94" i="6" s="1"/>
  <c r="BH74" i="6"/>
  <c r="AJ76" i="6"/>
  <c r="AJ97" i="6" s="1"/>
  <c r="AV76" i="6"/>
  <c r="AV97" i="6" s="1"/>
  <c r="BH76" i="6"/>
  <c r="L77" i="6"/>
  <c r="AJ77" i="6"/>
  <c r="AV77" i="6"/>
  <c r="AV98" i="6" s="1"/>
  <c r="BT77" i="6"/>
  <c r="BT98" i="6" s="1"/>
  <c r="X78" i="6"/>
  <c r="X99" i="6" s="1"/>
  <c r="BT58" i="6"/>
  <c r="BT78" i="6"/>
  <c r="L79" i="6"/>
  <c r="L59" i="6"/>
  <c r="X59" i="6"/>
  <c r="X100" i="6" s="1"/>
  <c r="AJ79" i="6"/>
  <c r="AJ59" i="6"/>
  <c r="AV79" i="6"/>
  <c r="AV59" i="6"/>
  <c r="BH79" i="6"/>
  <c r="BH59" i="6"/>
  <c r="BT59" i="6"/>
  <c r="BT79" i="6"/>
  <c r="AJ53" i="6"/>
  <c r="AJ94" i="6" s="1"/>
  <c r="AJ57" i="6"/>
  <c r="D58" i="6"/>
  <c r="D99" i="6" s="1"/>
  <c r="AN59" i="6"/>
  <c r="AN100" i="6" s="1"/>
  <c r="AJ74" i="6"/>
  <c r="AJ95" i="6" s="1"/>
  <c r="L76" i="6"/>
  <c r="L97" i="6" s="1"/>
  <c r="Z77" i="6"/>
  <c r="Z98" i="6" s="1"/>
  <c r="AJ78" i="6"/>
  <c r="AJ99" i="6" s="1"/>
  <c r="BV74" i="6"/>
  <c r="BV54" i="6"/>
  <c r="N76" i="6"/>
  <c r="N56" i="6"/>
  <c r="AL56" i="6"/>
  <c r="AL97" i="6" s="1"/>
  <c r="AX56" i="6"/>
  <c r="AX76" i="6"/>
  <c r="BJ76" i="6"/>
  <c r="BJ56" i="6"/>
  <c r="BV76" i="6"/>
  <c r="BV56" i="6"/>
  <c r="N77" i="6"/>
  <c r="N57" i="6"/>
  <c r="AL77" i="6"/>
  <c r="AL57" i="6"/>
  <c r="AX77" i="6"/>
  <c r="AX57" i="6"/>
  <c r="BJ77" i="6"/>
  <c r="BJ57" i="6"/>
  <c r="BV77" i="6"/>
  <c r="BV57" i="6"/>
  <c r="N78" i="6"/>
  <c r="N58" i="6"/>
  <c r="AL58" i="6"/>
  <c r="BV78" i="6"/>
  <c r="Z79" i="6"/>
  <c r="Z100" i="6" s="1"/>
  <c r="BJ79" i="6"/>
  <c r="BJ100" i="6" s="1"/>
  <c r="BV79" i="6"/>
  <c r="L53" i="6"/>
  <c r="L94" i="6" s="1"/>
  <c r="L57" i="6"/>
  <c r="AM57" i="6"/>
  <c r="AM98" i="6" s="1"/>
  <c r="N59" i="6"/>
  <c r="N100" i="6" s="1"/>
  <c r="L72" i="6"/>
  <c r="L93" i="6" s="1"/>
  <c r="AL78" i="6"/>
  <c r="BK76" i="6"/>
  <c r="BK97" i="6" s="1"/>
  <c r="O77" i="6"/>
  <c r="AA77" i="6"/>
  <c r="AY77" i="6"/>
  <c r="AY98" i="6" s="1"/>
  <c r="C78" i="6"/>
  <c r="C99" i="6" s="1"/>
  <c r="O78" i="6"/>
  <c r="O99" i="6" s="1"/>
  <c r="AY78" i="6"/>
  <c r="AY99" i="6" s="1"/>
  <c r="C79" i="6"/>
  <c r="C59" i="6"/>
  <c r="O79" i="6"/>
  <c r="AY79" i="6"/>
  <c r="AY100" i="6" s="1"/>
  <c r="BK79" i="6"/>
  <c r="BK100" i="6" s="1"/>
  <c r="BT52" i="6"/>
  <c r="BT93" i="6" s="1"/>
  <c r="BT54" i="6"/>
  <c r="BT95" i="6" s="1"/>
  <c r="BT56" i="6"/>
  <c r="BT97" i="6" s="1"/>
  <c r="AA57" i="6"/>
  <c r="AN57" i="6"/>
  <c r="AN98" i="6" s="1"/>
  <c r="O59" i="6"/>
  <c r="C77" i="6"/>
  <c r="C98" i="6" s="1"/>
  <c r="AM78" i="6"/>
  <c r="AM99" i="6" s="1"/>
  <c r="AX79" i="6"/>
  <c r="AX100" i="6" s="1"/>
  <c r="P76" i="6"/>
  <c r="P97" i="6" s="1"/>
  <c r="AN76" i="6"/>
  <c r="AN97" i="6" s="1"/>
  <c r="AZ77" i="6"/>
  <c r="AZ98" i="6" s="1"/>
  <c r="BL77" i="6"/>
  <c r="BL98" i="6" s="1"/>
  <c r="P78" i="6"/>
  <c r="P99" i="6" s="1"/>
  <c r="AB78" i="6"/>
  <c r="AB99" i="6" s="1"/>
  <c r="AB79" i="6"/>
  <c r="AB100" i="6" s="1"/>
  <c r="AZ79" i="6"/>
  <c r="AZ100" i="6" s="1"/>
  <c r="BH52" i="6"/>
  <c r="BH93" i="6" s="1"/>
  <c r="BH54" i="6"/>
  <c r="BH56" i="6"/>
  <c r="O57" i="6"/>
  <c r="AB57" i="6"/>
  <c r="AB98" i="6" s="1"/>
  <c r="BH58" i="6"/>
  <c r="BH99" i="6" s="1"/>
  <c r="BV58" i="6"/>
  <c r="BV59" i="6"/>
  <c r="D77" i="6"/>
  <c r="D98" i="6" s="1"/>
  <c r="F105" i="6"/>
  <c r="D109" i="6" l="1"/>
  <c r="BP98" i="6"/>
  <c r="BS97" i="6"/>
  <c r="C96" i="6"/>
  <c r="M95" i="6"/>
  <c r="AS99" i="6"/>
  <c r="I97" i="6"/>
  <c r="E40" i="6"/>
  <c r="N99" i="6"/>
  <c r="BV97" i="6"/>
  <c r="T95" i="6"/>
  <c r="BO94" i="6"/>
  <c r="BQ99" i="6"/>
  <c r="BU97" i="6"/>
  <c r="AD99" i="6"/>
  <c r="F97" i="6"/>
  <c r="AO97" i="6"/>
  <c r="D93" i="6"/>
  <c r="I98" i="6"/>
  <c r="BP99" i="6"/>
  <c r="BP97" i="6"/>
  <c r="AD100" i="6"/>
  <c r="F99" i="6"/>
  <c r="BN97" i="6"/>
  <c r="BL94" i="6"/>
  <c r="AM93" i="6"/>
  <c r="BV93" i="6"/>
  <c r="BI94" i="6"/>
  <c r="AK93" i="6"/>
  <c r="J94" i="6"/>
  <c r="AO100" i="6"/>
  <c r="AC99" i="6"/>
  <c r="F94" i="6"/>
  <c r="AW100" i="6"/>
  <c r="AP100" i="6"/>
  <c r="AU97" i="6"/>
  <c r="AZ94" i="6"/>
  <c r="AM94" i="6"/>
  <c r="T93" i="6"/>
  <c r="BN94" i="6"/>
  <c r="BC100" i="6"/>
  <c r="AQ99" i="6"/>
  <c r="Q95" i="6"/>
  <c r="E98" i="6"/>
  <c r="BL95" i="6"/>
  <c r="BJ94" i="6"/>
  <c r="BJ93" i="6"/>
  <c r="BU95" i="6"/>
  <c r="AT97" i="6"/>
  <c r="AE98" i="6"/>
  <c r="BB98" i="6"/>
  <c r="AD97" i="6"/>
  <c r="AC100" i="6"/>
  <c r="AN94" i="6"/>
  <c r="AN93" i="6"/>
  <c r="F93" i="6"/>
  <c r="AQ100" i="6"/>
  <c r="AE99" i="6"/>
  <c r="BM97" i="6"/>
  <c r="AF100" i="6"/>
  <c r="AL99" i="6"/>
  <c r="AV100" i="6"/>
  <c r="BF99" i="6"/>
  <c r="AD93" i="6"/>
  <c r="S97" i="6"/>
  <c r="BK94" i="6"/>
  <c r="BI93" i="6"/>
  <c r="H97" i="6"/>
  <c r="R93" i="6"/>
  <c r="BV99" i="6"/>
  <c r="BG93" i="6"/>
  <c r="S95" i="6"/>
  <c r="AE100" i="6"/>
  <c r="S99" i="6"/>
  <c r="G98" i="6"/>
  <c r="R97" i="6"/>
  <c r="BA95" i="6"/>
  <c r="AU93" i="6"/>
  <c r="BQ95" i="6"/>
  <c r="AR100" i="6"/>
  <c r="AR99" i="6"/>
  <c r="E31" i="6"/>
  <c r="AF99" i="6"/>
  <c r="O95" i="6"/>
  <c r="AL94" i="6"/>
  <c r="AF93" i="6"/>
  <c r="J98" i="6"/>
  <c r="BM100" i="6"/>
  <c r="BA99" i="6"/>
  <c r="C50" i="6"/>
  <c r="BU93" i="6"/>
  <c r="U98" i="6"/>
  <c r="T100" i="6"/>
  <c r="T99" i="6"/>
  <c r="T98" i="6"/>
  <c r="T97" i="6"/>
  <c r="BE98" i="6"/>
  <c r="V100" i="6"/>
  <c r="L98" i="6"/>
  <c r="AT98" i="6"/>
  <c r="AJ98" i="6"/>
  <c r="AX98" i="6"/>
  <c r="F95" i="6"/>
  <c r="S93" i="6"/>
  <c r="E95" i="6"/>
  <c r="AY95" i="6"/>
  <c r="AP94" i="6"/>
  <c r="Q100" i="6"/>
  <c r="O93" i="6"/>
  <c r="AL98" i="6"/>
  <c r="AW98" i="6"/>
  <c r="AG93" i="6"/>
  <c r="K100" i="6"/>
  <c r="BB100" i="6"/>
  <c r="BM94" i="6"/>
  <c r="AC93" i="6"/>
  <c r="O94" i="6"/>
  <c r="AX94" i="6"/>
  <c r="AG95" i="6"/>
  <c r="U100" i="6"/>
  <c r="BE97" i="6"/>
  <c r="AR97" i="6"/>
  <c r="BG95" i="6"/>
  <c r="BR99" i="6"/>
  <c r="BS99" i="6"/>
  <c r="BQ98" i="6"/>
  <c r="AS97" i="6"/>
  <c r="V99" i="6"/>
  <c r="AB94" i="6"/>
  <c r="AA94" i="6"/>
  <c r="BE100" i="6"/>
  <c r="N97" i="6"/>
  <c r="AC94" i="6"/>
  <c r="BR100" i="6"/>
  <c r="Q94" i="6"/>
  <c r="AK94" i="6"/>
  <c r="M94" i="6"/>
  <c r="O100" i="6"/>
  <c r="AC95" i="6"/>
  <c r="BN98" i="6"/>
  <c r="AS98" i="6"/>
  <c r="O98" i="6"/>
  <c r="N94" i="6"/>
  <c r="N93" i="6"/>
  <c r="BH97" i="6"/>
  <c r="BR98" i="6"/>
  <c r="BV94" i="6"/>
  <c r="BE99" i="6"/>
  <c r="U97" i="6"/>
  <c r="BH95" i="6"/>
  <c r="I100" i="6"/>
  <c r="H98" i="6"/>
  <c r="BJ97" i="6"/>
  <c r="AQ95" i="6"/>
  <c r="G100" i="6"/>
  <c r="Q93" i="6"/>
  <c r="AX93" i="6"/>
  <c r="AS100" i="6"/>
  <c r="AL93" i="6"/>
  <c r="AR98" i="6"/>
  <c r="C100" i="6"/>
  <c r="BV100" i="6"/>
  <c r="BJ98" i="6"/>
  <c r="L100" i="6"/>
  <c r="Y100" i="6"/>
  <c r="AH95" i="6"/>
  <c r="Y98" i="6"/>
  <c r="U95" i="6"/>
  <c r="W98" i="6"/>
  <c r="AT99" i="6"/>
  <c r="AQ97" i="6"/>
  <c r="R99" i="6"/>
  <c r="F98" i="6"/>
  <c r="BM95" i="6"/>
  <c r="AO94" i="6"/>
  <c r="D95" i="6"/>
  <c r="AG100" i="6"/>
  <c r="U99" i="6"/>
  <c r="BD98" i="6"/>
  <c r="BB94" i="6"/>
  <c r="AX97" i="6"/>
  <c r="S94" i="6"/>
  <c r="BA93" i="6"/>
  <c r="E97" i="6"/>
  <c r="BU99" i="6"/>
  <c r="M98" i="6"/>
  <c r="V97" i="6"/>
  <c r="C95" i="6"/>
  <c r="BV95" i="6"/>
  <c r="BT100" i="6"/>
  <c r="BT99" i="6"/>
  <c r="AI95" i="6"/>
  <c r="BF95" i="6"/>
  <c r="BU100" i="6"/>
  <c r="H93" i="6"/>
  <c r="AH99" i="6"/>
  <c r="AP95" i="6"/>
  <c r="BN100" i="6"/>
  <c r="F100" i="6"/>
  <c r="AP97" i="6"/>
  <c r="E100" i="6"/>
  <c r="BM98" i="6"/>
  <c r="AN95" i="6"/>
  <c r="Z95" i="6"/>
  <c r="AW95" i="6"/>
  <c r="AG98" i="6"/>
  <c r="N98" i="6"/>
  <c r="BH100" i="6"/>
  <c r="AU95" i="6"/>
  <c r="AT95" i="6"/>
  <c r="G95" i="6"/>
  <c r="BF97" i="6"/>
  <c r="AD95" i="6"/>
  <c r="BB93" i="6"/>
  <c r="G99" i="6"/>
  <c r="BA98" i="6"/>
  <c r="AB95" i="6"/>
  <c r="H100" i="6"/>
  <c r="H99" i="6"/>
  <c r="R94" i="6"/>
  <c r="AT94" i="6"/>
  <c r="AT100" i="6"/>
  <c r="AU99" i="6"/>
  <c r="G97" i="6"/>
  <c r="AL95" i="6"/>
  <c r="N95" i="6"/>
  <c r="Y94" i="6"/>
  <c r="BN95" i="6"/>
  <c r="AE93" i="6"/>
  <c r="AZ93" i="6"/>
  <c r="C94" i="6"/>
  <c r="AF97" i="6"/>
  <c r="AG97" i="6"/>
  <c r="AA98" i="6"/>
  <c r="AH93" i="6"/>
  <c r="BO98" i="6"/>
  <c r="AO98" i="6"/>
  <c r="AM95" i="6"/>
  <c r="Z94" i="6"/>
  <c r="Z93" i="6"/>
  <c r="D96" i="6"/>
  <c r="BV98" i="6"/>
  <c r="AJ100" i="6"/>
  <c r="AS95" i="6"/>
  <c r="AF95" i="6"/>
  <c r="AH97" i="6"/>
  <c r="BO100" i="6"/>
  <c r="BC99" i="6"/>
  <c r="BC98" i="6"/>
  <c r="BB99" i="6"/>
  <c r="AD98" i="6"/>
  <c r="I99" i="6"/>
  <c r="BA100" i="6"/>
  <c r="AC98" i="6"/>
  <c r="Q97" i="6"/>
  <c r="D50" i="6"/>
  <c r="AA95" i="6"/>
  <c r="Y95" i="6"/>
  <c r="M93" i="6"/>
  <c r="AG99" i="6"/>
  <c r="BQ97" i="6"/>
  <c r="BP100" i="6"/>
  <c r="BD99" i="6"/>
  <c r="BD97" i="6"/>
  <c r="D70" i="6"/>
  <c r="D94" i="6"/>
  <c r="AT93" i="6"/>
  <c r="C70" i="6"/>
  <c r="G105" i="6"/>
  <c r="F102" i="6"/>
  <c r="E19" i="6"/>
  <c r="E8" i="6"/>
  <c r="E35" i="6"/>
  <c r="E60" i="6"/>
  <c r="D115" i="6"/>
  <c r="D114" i="6"/>
  <c r="D113" i="6"/>
  <c r="D111" i="6"/>
  <c r="D110" i="6"/>
  <c r="C90" i="6" l="1"/>
  <c r="D91" i="6"/>
  <c r="D116" i="6" s="1"/>
  <c r="D185" i="6" s="1"/>
  <c r="D196" i="6" s="1"/>
  <c r="E51" i="6"/>
  <c r="E71" i="6"/>
  <c r="F31" i="6"/>
  <c r="D90" i="6"/>
  <c r="E75" i="6"/>
  <c r="E30" i="6"/>
  <c r="E55" i="6"/>
  <c r="E114" i="6"/>
  <c r="E110" i="6"/>
  <c r="E113" i="6"/>
  <c r="E111" i="6"/>
  <c r="E115" i="6"/>
  <c r="E112" i="6"/>
  <c r="E109" i="6"/>
  <c r="H105" i="6"/>
  <c r="G102" i="6"/>
  <c r="F35" i="6"/>
  <c r="F60" i="6"/>
  <c r="F40" i="6"/>
  <c r="F19" i="6"/>
  <c r="F8" i="6"/>
  <c r="C91" i="6"/>
  <c r="C116" i="6" s="1"/>
  <c r="D117" i="6" l="1"/>
  <c r="E50" i="6"/>
  <c r="E70" i="6"/>
  <c r="G31" i="6"/>
  <c r="F71" i="6"/>
  <c r="F51" i="6"/>
  <c r="E92" i="6"/>
  <c r="E96" i="6"/>
  <c r="H102" i="6"/>
  <c r="I105" i="6"/>
  <c r="C117" i="6"/>
  <c r="C185" i="6"/>
  <c r="C196" i="6" s="1"/>
  <c r="F113" i="6"/>
  <c r="F114" i="6"/>
  <c r="F110" i="6"/>
  <c r="F115" i="6"/>
  <c r="F111" i="6"/>
  <c r="F112" i="6"/>
  <c r="F75" i="6"/>
  <c r="F55" i="6"/>
  <c r="F30" i="6"/>
  <c r="G35" i="6"/>
  <c r="G8" i="6"/>
  <c r="G109" i="6" s="1"/>
  <c r="G19" i="6"/>
  <c r="G60" i="6"/>
  <c r="G40" i="6"/>
  <c r="F109" i="6"/>
  <c r="E90" i="6" l="1"/>
  <c r="F70" i="6"/>
  <c r="E91" i="6"/>
  <c r="E116" i="6" s="1"/>
  <c r="E185" i="6" s="1"/>
  <c r="E196" i="6" s="1"/>
  <c r="F92" i="6"/>
  <c r="G71" i="6"/>
  <c r="G51" i="6"/>
  <c r="F50" i="6"/>
  <c r="H31" i="6"/>
  <c r="F96" i="6"/>
  <c r="G114" i="6"/>
  <c r="G110" i="6"/>
  <c r="G111" i="6"/>
  <c r="G113" i="6"/>
  <c r="G115" i="6"/>
  <c r="G112" i="6"/>
  <c r="G75" i="6"/>
  <c r="G55" i="6"/>
  <c r="G30" i="6"/>
  <c r="J105" i="6"/>
  <c r="I102" i="6"/>
  <c r="H35" i="6"/>
  <c r="H19" i="6"/>
  <c r="H8" i="6"/>
  <c r="H60" i="6"/>
  <c r="H40" i="6"/>
  <c r="E117" i="6" l="1"/>
  <c r="F90" i="6"/>
  <c r="G70" i="6"/>
  <c r="F91" i="6"/>
  <c r="F116" i="6" s="1"/>
  <c r="F117" i="6" s="1"/>
  <c r="G92" i="6"/>
  <c r="G50" i="6"/>
  <c r="H71" i="6"/>
  <c r="H51" i="6"/>
  <c r="I31" i="6"/>
  <c r="G96" i="6"/>
  <c r="I35" i="6"/>
  <c r="I19" i="6"/>
  <c r="I60" i="6"/>
  <c r="I40" i="6"/>
  <c r="I8" i="6"/>
  <c r="H75" i="6"/>
  <c r="H55" i="6"/>
  <c r="H30" i="6"/>
  <c r="H115" i="6"/>
  <c r="H111" i="6"/>
  <c r="H114" i="6"/>
  <c r="H113" i="6"/>
  <c r="H110" i="6"/>
  <c r="H112" i="6"/>
  <c r="K105" i="6"/>
  <c r="J102" i="6"/>
  <c r="H109" i="6"/>
  <c r="G91" i="6" l="1"/>
  <c r="G116" i="6" s="1"/>
  <c r="G185" i="6" s="1"/>
  <c r="G196" i="6" s="1"/>
  <c r="G90" i="6"/>
  <c r="F185" i="6"/>
  <c r="F196" i="6" s="1"/>
  <c r="J31" i="6"/>
  <c r="H50" i="6"/>
  <c r="I71" i="6"/>
  <c r="I51" i="6"/>
  <c r="H70" i="6"/>
  <c r="H92" i="6"/>
  <c r="H96" i="6"/>
  <c r="I75" i="6"/>
  <c r="I55" i="6"/>
  <c r="I30" i="6"/>
  <c r="J35" i="6"/>
  <c r="J60" i="6"/>
  <c r="J40" i="6"/>
  <c r="J19" i="6"/>
  <c r="J8" i="6"/>
  <c r="J109" i="6" s="1"/>
  <c r="I114" i="6"/>
  <c r="I110" i="6"/>
  <c r="I115" i="6"/>
  <c r="I111" i="6"/>
  <c r="I113" i="6"/>
  <c r="I112" i="6"/>
  <c r="L105" i="6"/>
  <c r="K102" i="6"/>
  <c r="I109" i="6"/>
  <c r="H91" i="6" l="1"/>
  <c r="H116" i="6" s="1"/>
  <c r="H117" i="6" s="1"/>
  <c r="H90" i="6"/>
  <c r="G117" i="6"/>
  <c r="I92" i="6"/>
  <c r="J51" i="6"/>
  <c r="J71" i="6"/>
  <c r="I50" i="6"/>
  <c r="I70" i="6"/>
  <c r="K31" i="6"/>
  <c r="K35" i="6"/>
  <c r="K8" i="6"/>
  <c r="K60" i="6"/>
  <c r="K40" i="6"/>
  <c r="K19" i="6"/>
  <c r="I96" i="6"/>
  <c r="J55" i="6"/>
  <c r="J75" i="6"/>
  <c r="J30" i="6"/>
  <c r="J115" i="6"/>
  <c r="J114" i="6"/>
  <c r="J113" i="6"/>
  <c r="J111" i="6"/>
  <c r="J110" i="6"/>
  <c r="J112" i="6"/>
  <c r="M105" i="6"/>
  <c r="L102" i="6"/>
  <c r="H185" i="6" l="1"/>
  <c r="H196" i="6" s="1"/>
  <c r="I91" i="6"/>
  <c r="I116" i="6" s="1"/>
  <c r="I185" i="6" s="1"/>
  <c r="I196" i="6" s="1"/>
  <c r="J92" i="6"/>
  <c r="J70" i="6"/>
  <c r="J50" i="6"/>
  <c r="I90" i="6"/>
  <c r="L31" i="6"/>
  <c r="K71" i="6"/>
  <c r="K51" i="6"/>
  <c r="K115" i="6"/>
  <c r="K114" i="6"/>
  <c r="K113" i="6"/>
  <c r="K111" i="6"/>
  <c r="K110" i="6"/>
  <c r="K112" i="6"/>
  <c r="J96" i="6"/>
  <c r="K55" i="6"/>
  <c r="K75" i="6"/>
  <c r="K30" i="6"/>
  <c r="L35" i="6"/>
  <c r="L60" i="6"/>
  <c r="L40" i="6"/>
  <c r="L19" i="6"/>
  <c r="L8" i="6"/>
  <c r="K109" i="6"/>
  <c r="N105" i="6"/>
  <c r="M102" i="6"/>
  <c r="J91" i="6" l="1"/>
  <c r="J116" i="6" s="1"/>
  <c r="J185" i="6" s="1"/>
  <c r="J196" i="6" s="1"/>
  <c r="K92" i="6"/>
  <c r="K70" i="6"/>
  <c r="I117" i="6"/>
  <c r="K50" i="6"/>
  <c r="M31" i="6"/>
  <c r="L71" i="6"/>
  <c r="L51" i="6"/>
  <c r="J90" i="6"/>
  <c r="L115" i="6"/>
  <c r="L114" i="6"/>
  <c r="L113" i="6"/>
  <c r="L111" i="6"/>
  <c r="L110" i="6"/>
  <c r="L112" i="6"/>
  <c r="K96" i="6"/>
  <c r="O105" i="6"/>
  <c r="N102" i="6"/>
  <c r="M35" i="6"/>
  <c r="M40" i="6"/>
  <c r="M8" i="6"/>
  <c r="M109" i="6" s="1"/>
  <c r="M19" i="6"/>
  <c r="M60" i="6"/>
  <c r="L55" i="6"/>
  <c r="L75" i="6"/>
  <c r="L30" i="6"/>
  <c r="L109" i="6"/>
  <c r="L92" i="6" l="1"/>
  <c r="J117" i="6"/>
  <c r="K91" i="6"/>
  <c r="K116" i="6" s="1"/>
  <c r="K185" i="6" s="1"/>
  <c r="K196" i="6" s="1"/>
  <c r="L70" i="6"/>
  <c r="L50" i="6"/>
  <c r="N31" i="6"/>
  <c r="M71" i="6"/>
  <c r="M51" i="6"/>
  <c r="M92" i="6" s="1"/>
  <c r="K90" i="6"/>
  <c r="L96" i="6"/>
  <c r="P105" i="6"/>
  <c r="O102" i="6"/>
  <c r="M115" i="6"/>
  <c r="M114" i="6"/>
  <c r="M113" i="6"/>
  <c r="M111" i="6"/>
  <c r="M110" i="6"/>
  <c r="M112" i="6"/>
  <c r="N35" i="6"/>
  <c r="N8" i="6"/>
  <c r="N109" i="6" s="1"/>
  <c r="N19" i="6"/>
  <c r="N60" i="6"/>
  <c r="N40" i="6"/>
  <c r="M55" i="6"/>
  <c r="M75" i="6"/>
  <c r="M30" i="6"/>
  <c r="K117" i="6" l="1"/>
  <c r="L90" i="6"/>
  <c r="M70" i="6"/>
  <c r="L91" i="6"/>
  <c r="L116" i="6" s="1"/>
  <c r="L185" i="6" s="1"/>
  <c r="L196" i="6" s="1"/>
  <c r="M50" i="6"/>
  <c r="O31" i="6"/>
  <c r="N71" i="6"/>
  <c r="N51" i="6"/>
  <c r="N55" i="6"/>
  <c r="N75" i="6"/>
  <c r="N30" i="6"/>
  <c r="O35" i="6"/>
  <c r="O40" i="6"/>
  <c r="O60" i="6"/>
  <c r="O19" i="6"/>
  <c r="O8" i="6"/>
  <c r="Q105" i="6"/>
  <c r="P102" i="6"/>
  <c r="M96" i="6"/>
  <c r="N115" i="6"/>
  <c r="N114" i="6"/>
  <c r="N113" i="6"/>
  <c r="N111" i="6"/>
  <c r="N110" i="6"/>
  <c r="N112" i="6"/>
  <c r="N70" i="6" l="1"/>
  <c r="L117" i="6"/>
  <c r="N92" i="6"/>
  <c r="N50" i="6"/>
  <c r="M91" i="6"/>
  <c r="M116" i="6" s="1"/>
  <c r="M185" i="6" s="1"/>
  <c r="M196" i="6" s="1"/>
  <c r="M90" i="6"/>
  <c r="P31" i="6"/>
  <c r="O51" i="6"/>
  <c r="O71" i="6"/>
  <c r="O115" i="6"/>
  <c r="O114" i="6"/>
  <c r="O113" i="6"/>
  <c r="O111" i="6"/>
  <c r="O110" i="6"/>
  <c r="O112" i="6"/>
  <c r="P35" i="6"/>
  <c r="P60" i="6"/>
  <c r="P40" i="6"/>
  <c r="P19" i="6"/>
  <c r="P8" i="6"/>
  <c r="P109" i="6" s="1"/>
  <c r="O75" i="6"/>
  <c r="O55" i="6"/>
  <c r="O30" i="6"/>
  <c r="R105" i="6"/>
  <c r="Q102" i="6"/>
  <c r="O109" i="6"/>
  <c r="N96" i="6"/>
  <c r="N91" i="6" l="1"/>
  <c r="N116" i="6" s="1"/>
  <c r="N185" i="6" s="1"/>
  <c r="N196" i="6" s="1"/>
  <c r="O92" i="6"/>
  <c r="N90" i="6"/>
  <c r="M117" i="6"/>
  <c r="O50" i="6"/>
  <c r="O70" i="6"/>
  <c r="Q31" i="6"/>
  <c r="P51" i="6"/>
  <c r="P71" i="6"/>
  <c r="O96" i="6"/>
  <c r="P115" i="6"/>
  <c r="P114" i="6"/>
  <c r="P113" i="6"/>
  <c r="P111" i="6"/>
  <c r="P110" i="6"/>
  <c r="P112" i="6"/>
  <c r="P75" i="6"/>
  <c r="P55" i="6"/>
  <c r="P30" i="6"/>
  <c r="Q35" i="6"/>
  <c r="Q60" i="6"/>
  <c r="Q40" i="6"/>
  <c r="Q8" i="6"/>
  <c r="Q109" i="6" s="1"/>
  <c r="Q19" i="6"/>
  <c r="R102" i="6"/>
  <c r="S105" i="6"/>
  <c r="N117" i="6" l="1"/>
  <c r="P50" i="6"/>
  <c r="P70" i="6"/>
  <c r="O91" i="6"/>
  <c r="O116" i="6" s="1"/>
  <c r="O117" i="6" s="1"/>
  <c r="O90" i="6"/>
  <c r="P92" i="6"/>
  <c r="R31" i="6"/>
  <c r="Q71" i="6"/>
  <c r="Q51" i="6"/>
  <c r="Q115" i="6"/>
  <c r="Q114" i="6"/>
  <c r="Q113" i="6"/>
  <c r="Q111" i="6"/>
  <c r="Q110" i="6"/>
  <c r="Q112" i="6"/>
  <c r="Q75" i="6"/>
  <c r="Q55" i="6"/>
  <c r="Q30" i="6"/>
  <c r="R35" i="6"/>
  <c r="R60" i="6"/>
  <c r="R19" i="6"/>
  <c r="R8" i="6"/>
  <c r="R109" i="6" s="1"/>
  <c r="R40" i="6"/>
  <c r="T105" i="6"/>
  <c r="S102" i="6"/>
  <c r="P96" i="6"/>
  <c r="P91" i="6" l="1"/>
  <c r="P116" i="6" s="1"/>
  <c r="P185" i="6" s="1"/>
  <c r="P196" i="6" s="1"/>
  <c r="O185" i="6"/>
  <c r="O196" i="6" s="1"/>
  <c r="P90" i="6"/>
  <c r="Q92" i="6"/>
  <c r="S31" i="6"/>
  <c r="Q50" i="6"/>
  <c r="R51" i="6"/>
  <c r="R71" i="6"/>
  <c r="Q70" i="6"/>
  <c r="R75" i="6"/>
  <c r="R55" i="6"/>
  <c r="R30" i="6"/>
  <c r="S35" i="6"/>
  <c r="S8" i="6"/>
  <c r="S109" i="6" s="1"/>
  <c r="S60" i="6"/>
  <c r="S40" i="6"/>
  <c r="S19" i="6"/>
  <c r="U105" i="6"/>
  <c r="T102" i="6"/>
  <c r="Q96" i="6"/>
  <c r="R115" i="6"/>
  <c r="R114" i="6"/>
  <c r="R113" i="6"/>
  <c r="R111" i="6"/>
  <c r="R110" i="6"/>
  <c r="R112" i="6"/>
  <c r="R50" i="6" l="1"/>
  <c r="R70" i="6"/>
  <c r="P117" i="6"/>
  <c r="Q90" i="6"/>
  <c r="Q91" i="6"/>
  <c r="Q116" i="6" s="1"/>
  <c r="Q117" i="6" s="1"/>
  <c r="S71" i="6"/>
  <c r="S51" i="6"/>
  <c r="T31" i="6"/>
  <c r="R92" i="6"/>
  <c r="S115" i="6"/>
  <c r="S111" i="6"/>
  <c r="S110" i="6"/>
  <c r="S114" i="6"/>
  <c r="S113" i="6"/>
  <c r="S112" i="6"/>
  <c r="S75" i="6"/>
  <c r="S55" i="6"/>
  <c r="S30" i="6"/>
  <c r="V105" i="6"/>
  <c r="U102" i="6"/>
  <c r="T35" i="6"/>
  <c r="T8" i="6"/>
  <c r="T109" i="6" s="1"/>
  <c r="T60" i="6"/>
  <c r="T40" i="6"/>
  <c r="T19" i="6"/>
  <c r="R96" i="6"/>
  <c r="R91" i="6" l="1"/>
  <c r="R116" i="6" s="1"/>
  <c r="R185" i="6" s="1"/>
  <c r="R196" i="6" s="1"/>
  <c r="R90" i="6"/>
  <c r="S50" i="6"/>
  <c r="Q185" i="6"/>
  <c r="Q196" i="6" s="1"/>
  <c r="S70" i="6"/>
  <c r="S92" i="6"/>
  <c r="T71" i="6"/>
  <c r="T51" i="6"/>
  <c r="U31" i="6"/>
  <c r="R117" i="6"/>
  <c r="U35" i="6"/>
  <c r="U8" i="6"/>
  <c r="U40" i="6"/>
  <c r="U19" i="6"/>
  <c r="U60" i="6"/>
  <c r="W105" i="6"/>
  <c r="V102" i="6"/>
  <c r="T115" i="6"/>
  <c r="T114" i="6"/>
  <c r="T113" i="6"/>
  <c r="T111" i="6"/>
  <c r="T110" i="6"/>
  <c r="T112" i="6"/>
  <c r="T75" i="6"/>
  <c r="T55" i="6"/>
  <c r="T50" i="6" s="1"/>
  <c r="T30" i="6"/>
  <c r="S96" i="6"/>
  <c r="S90" i="6" l="1"/>
  <c r="S91" i="6"/>
  <c r="S116" i="6" s="1"/>
  <c r="S185" i="6" s="1"/>
  <c r="S196" i="6" s="1"/>
  <c r="T70" i="6"/>
  <c r="T90" i="6" s="1"/>
  <c r="T92" i="6"/>
  <c r="V31" i="6"/>
  <c r="U51" i="6"/>
  <c r="U71" i="6"/>
  <c r="T96" i="6"/>
  <c r="U115" i="6"/>
  <c r="U114" i="6"/>
  <c r="U113" i="6"/>
  <c r="U111" i="6"/>
  <c r="U110" i="6"/>
  <c r="U112" i="6"/>
  <c r="U75" i="6"/>
  <c r="U55" i="6"/>
  <c r="U30" i="6"/>
  <c r="V35" i="6"/>
  <c r="V60" i="6"/>
  <c r="V8" i="6"/>
  <c r="V19" i="6"/>
  <c r="V40" i="6"/>
  <c r="X105" i="6"/>
  <c r="W102" i="6"/>
  <c r="U109" i="6"/>
  <c r="T91" i="6" l="1"/>
  <c r="T116" i="6" s="1"/>
  <c r="T117" i="6" s="1"/>
  <c r="S117" i="6"/>
  <c r="U92" i="6"/>
  <c r="U50" i="6"/>
  <c r="W31" i="6"/>
  <c r="U70" i="6"/>
  <c r="V71" i="6"/>
  <c r="V51" i="6"/>
  <c r="U96" i="6"/>
  <c r="V115" i="6"/>
  <c r="V114" i="6"/>
  <c r="V113" i="6"/>
  <c r="V111" i="6"/>
  <c r="V110" i="6"/>
  <c r="V112" i="6"/>
  <c r="V75" i="6"/>
  <c r="V55" i="6"/>
  <c r="V30" i="6"/>
  <c r="Y105" i="6"/>
  <c r="X102" i="6"/>
  <c r="W35" i="6"/>
  <c r="W60" i="6"/>
  <c r="W8" i="6"/>
  <c r="W109" i="6" s="1"/>
  <c r="W40" i="6"/>
  <c r="W19" i="6"/>
  <c r="V109" i="6"/>
  <c r="U91" i="6" l="1"/>
  <c r="U116" i="6" s="1"/>
  <c r="U185" i="6" s="1"/>
  <c r="U196" i="6" s="1"/>
  <c r="T185" i="6"/>
  <c r="T196" i="6" s="1"/>
  <c r="U90" i="6"/>
  <c r="V92" i="6"/>
  <c r="V70" i="6"/>
  <c r="V50" i="6"/>
  <c r="X31" i="6"/>
  <c r="W51" i="6"/>
  <c r="W71" i="6"/>
  <c r="Z105" i="6"/>
  <c r="Y102" i="6"/>
  <c r="W115" i="6"/>
  <c r="W114" i="6"/>
  <c r="W113" i="6"/>
  <c r="W111" i="6"/>
  <c r="W110" i="6"/>
  <c r="W112" i="6"/>
  <c r="V96" i="6"/>
  <c r="W75" i="6"/>
  <c r="W55" i="6"/>
  <c r="W30" i="6"/>
  <c r="X35" i="6"/>
  <c r="X19" i="6"/>
  <c r="X8" i="6"/>
  <c r="X60" i="6"/>
  <c r="X40" i="6"/>
  <c r="V90" i="6" l="1"/>
  <c r="U117" i="6"/>
  <c r="V91" i="6"/>
  <c r="V116" i="6" s="1"/>
  <c r="V117" i="6" s="1"/>
  <c r="W50" i="6"/>
  <c r="W70" i="6"/>
  <c r="W92" i="6"/>
  <c r="X71" i="6"/>
  <c r="X51" i="6"/>
  <c r="Y31" i="6"/>
  <c r="X115" i="6"/>
  <c r="X114" i="6"/>
  <c r="X113" i="6"/>
  <c r="X111" i="6"/>
  <c r="X110" i="6"/>
  <c r="X112" i="6"/>
  <c r="Z102" i="6"/>
  <c r="AA105" i="6"/>
  <c r="Y35" i="6"/>
  <c r="Y8" i="6"/>
  <c r="Y109" i="6" s="1"/>
  <c r="Y19" i="6"/>
  <c r="Y60" i="6"/>
  <c r="Y40" i="6"/>
  <c r="X55" i="6"/>
  <c r="X75" i="6"/>
  <c r="X30" i="6"/>
  <c r="X109" i="6"/>
  <c r="W96" i="6"/>
  <c r="V185" i="6" l="1"/>
  <c r="V196" i="6" s="1"/>
  <c r="W91" i="6"/>
  <c r="W116" i="6" s="1"/>
  <c r="W185" i="6" s="1"/>
  <c r="W196" i="6" s="1"/>
  <c r="X70" i="6"/>
  <c r="W90" i="6"/>
  <c r="X50" i="6"/>
  <c r="X92" i="6"/>
  <c r="Z31" i="6"/>
  <c r="Y71" i="6"/>
  <c r="Y51" i="6"/>
  <c r="X96" i="6"/>
  <c r="Y115" i="6"/>
  <c r="Y114" i="6"/>
  <c r="Y113" i="6"/>
  <c r="Y111" i="6"/>
  <c r="Y110" i="6"/>
  <c r="Y112" i="6"/>
  <c r="Y55" i="6"/>
  <c r="Y75" i="6"/>
  <c r="Y30" i="6"/>
  <c r="Z35" i="6"/>
  <c r="Z19" i="6"/>
  <c r="Z40" i="6"/>
  <c r="Z8" i="6"/>
  <c r="Z109" i="6" s="1"/>
  <c r="Z60" i="6"/>
  <c r="AB105" i="6"/>
  <c r="AA102" i="6"/>
  <c r="W117" i="6" l="1"/>
  <c r="X91" i="6"/>
  <c r="X116" i="6" s="1"/>
  <c r="X117" i="6" s="1"/>
  <c r="X90" i="6"/>
  <c r="Y70" i="6"/>
  <c r="Y50" i="6"/>
  <c r="Y92" i="6"/>
  <c r="Z51" i="6"/>
  <c r="Z71" i="6"/>
  <c r="AA31" i="6"/>
  <c r="Z115" i="6"/>
  <c r="Z114" i="6"/>
  <c r="Z113" i="6"/>
  <c r="Z111" i="6"/>
  <c r="Z110" i="6"/>
  <c r="Z112" i="6"/>
  <c r="Y96" i="6"/>
  <c r="Z55" i="6"/>
  <c r="Z75" i="6"/>
  <c r="Z30" i="6"/>
  <c r="AC105" i="6"/>
  <c r="AB102" i="6"/>
  <c r="AA35" i="6"/>
  <c r="AA40" i="6"/>
  <c r="AA19" i="6"/>
  <c r="AA8" i="6"/>
  <c r="AA109" i="6" s="1"/>
  <c r="AA60" i="6"/>
  <c r="X185" i="6" l="1"/>
  <c r="X196" i="6" s="1"/>
  <c r="Z50" i="6"/>
  <c r="Z70" i="6"/>
  <c r="Y91" i="6"/>
  <c r="Y116" i="6" s="1"/>
  <c r="Y185" i="6" s="1"/>
  <c r="Y196" i="6" s="1"/>
  <c r="Y90" i="6"/>
  <c r="AB31" i="6"/>
  <c r="AA71" i="6"/>
  <c r="AA51" i="6"/>
  <c r="Z92" i="6"/>
  <c r="AB35" i="6"/>
  <c r="AB40" i="6"/>
  <c r="AB60" i="6"/>
  <c r="AB19" i="6"/>
  <c r="AB8" i="6"/>
  <c r="AB109" i="6" s="1"/>
  <c r="Z96" i="6"/>
  <c r="AA55" i="6"/>
  <c r="AA75" i="6"/>
  <c r="AA30" i="6"/>
  <c r="AC102" i="6"/>
  <c r="AD105" i="6"/>
  <c r="AA111" i="6"/>
  <c r="AA113" i="6"/>
  <c r="AA110" i="6"/>
  <c r="AA115" i="6"/>
  <c r="AA114" i="6"/>
  <c r="AA112" i="6"/>
  <c r="Y117" i="6" l="1"/>
  <c r="Z90" i="6"/>
  <c r="Z91" i="6"/>
  <c r="Z116" i="6" s="1"/>
  <c r="Z185" i="6" s="1"/>
  <c r="Z196" i="6" s="1"/>
  <c r="AA92" i="6"/>
  <c r="AA50" i="6"/>
  <c r="AA70" i="6"/>
  <c r="AC31" i="6"/>
  <c r="AB51" i="6"/>
  <c r="AB71" i="6"/>
  <c r="AD102" i="6"/>
  <c r="AE105" i="6"/>
  <c r="AC35" i="6"/>
  <c r="AC60" i="6"/>
  <c r="AC19" i="6"/>
  <c r="AC8" i="6"/>
  <c r="AC109" i="6" s="1"/>
  <c r="AC40" i="6"/>
  <c r="AB55" i="6"/>
  <c r="AB75" i="6"/>
  <c r="AB30" i="6"/>
  <c r="AA96" i="6"/>
  <c r="AB115" i="6"/>
  <c r="AB114" i="6"/>
  <c r="AB113" i="6"/>
  <c r="AB111" i="6"/>
  <c r="AB110" i="6"/>
  <c r="AB112" i="6"/>
  <c r="Z117" i="6" l="1"/>
  <c r="AA91" i="6"/>
  <c r="AA116" i="6" s="1"/>
  <c r="AA117" i="6" s="1"/>
  <c r="AA90" i="6"/>
  <c r="AB70" i="6"/>
  <c r="AB50" i="6"/>
  <c r="AB92" i="6"/>
  <c r="AD31" i="6"/>
  <c r="AC51" i="6"/>
  <c r="AC71" i="6"/>
  <c r="AD35" i="6"/>
  <c r="AD40" i="6"/>
  <c r="AD60" i="6"/>
  <c r="AD19" i="6"/>
  <c r="AD8" i="6"/>
  <c r="AD109" i="6" s="1"/>
  <c r="AF105" i="6"/>
  <c r="AE102" i="6"/>
  <c r="AC75" i="6"/>
  <c r="AC55" i="6"/>
  <c r="AC30" i="6"/>
  <c r="AB96" i="6"/>
  <c r="AC115" i="6"/>
  <c r="AC111" i="6"/>
  <c r="AC114" i="6"/>
  <c r="AC110" i="6"/>
  <c r="AC113" i="6"/>
  <c r="AC112" i="6"/>
  <c r="AB91" i="6" l="1"/>
  <c r="AB116" i="6" s="1"/>
  <c r="AB185" i="6" s="1"/>
  <c r="AB196" i="6" s="1"/>
  <c r="AA185" i="6"/>
  <c r="AA196" i="6" s="1"/>
  <c r="AB90" i="6"/>
  <c r="AC92" i="6"/>
  <c r="AC50" i="6"/>
  <c r="AC70" i="6"/>
  <c r="AD51" i="6"/>
  <c r="AD71" i="6"/>
  <c r="AE31" i="6"/>
  <c r="AF102" i="6"/>
  <c r="AG105" i="6"/>
  <c r="AD111" i="6"/>
  <c r="AD114" i="6"/>
  <c r="AD113" i="6"/>
  <c r="AD110" i="6"/>
  <c r="AD115" i="6"/>
  <c r="AD112" i="6"/>
  <c r="AC96" i="6"/>
  <c r="AD75" i="6"/>
  <c r="AD55" i="6"/>
  <c r="AD30" i="6"/>
  <c r="AE35" i="6"/>
  <c r="AE60" i="6"/>
  <c r="AE19" i="6"/>
  <c r="AE8" i="6"/>
  <c r="AE109" i="6" s="1"/>
  <c r="AE40" i="6"/>
  <c r="AC91" i="6" l="1"/>
  <c r="AC116" i="6" s="1"/>
  <c r="AC117" i="6" s="1"/>
  <c r="AD50" i="6"/>
  <c r="AB117" i="6"/>
  <c r="AC90" i="6"/>
  <c r="AD70" i="6"/>
  <c r="AF31" i="6"/>
  <c r="AE71" i="6"/>
  <c r="AE51" i="6"/>
  <c r="AD92" i="6"/>
  <c r="AD96" i="6"/>
  <c r="AH105" i="6"/>
  <c r="AG102" i="6"/>
  <c r="AF35" i="6"/>
  <c r="AF8" i="6"/>
  <c r="AF19" i="6"/>
  <c r="AF40" i="6"/>
  <c r="AF60" i="6"/>
  <c r="AE75" i="6"/>
  <c r="AE55" i="6"/>
  <c r="AE30" i="6"/>
  <c r="AE113" i="6"/>
  <c r="AE114" i="6"/>
  <c r="AE110" i="6"/>
  <c r="AE115" i="6"/>
  <c r="AE111" i="6"/>
  <c r="AE112" i="6"/>
  <c r="AC185" i="6" l="1"/>
  <c r="AC196" i="6" s="1"/>
  <c r="AD91" i="6"/>
  <c r="AD116" i="6" s="1"/>
  <c r="AD185" i="6" s="1"/>
  <c r="AD196" i="6" s="1"/>
  <c r="AD90" i="6"/>
  <c r="AE50" i="6"/>
  <c r="AE70" i="6"/>
  <c r="AE92" i="6"/>
  <c r="AG31" i="6"/>
  <c r="AF71" i="6"/>
  <c r="AF51" i="6"/>
  <c r="AE96" i="6"/>
  <c r="AF113" i="6"/>
  <c r="AF115" i="6"/>
  <c r="AF111" i="6"/>
  <c r="AF114" i="6"/>
  <c r="AF110" i="6"/>
  <c r="AF112" i="6"/>
  <c r="AF109" i="6"/>
  <c r="AI105" i="6"/>
  <c r="AH102" i="6"/>
  <c r="AF75" i="6"/>
  <c r="AF55" i="6"/>
  <c r="AF30" i="6"/>
  <c r="AG35" i="6"/>
  <c r="AG40" i="6"/>
  <c r="AG60" i="6"/>
  <c r="AG8" i="6"/>
  <c r="AG19" i="6"/>
  <c r="AD117" i="6" l="1"/>
  <c r="AE91" i="6"/>
  <c r="AE116" i="6" s="1"/>
  <c r="AE185" i="6" s="1"/>
  <c r="AE196" i="6" s="1"/>
  <c r="AE90" i="6"/>
  <c r="AF70" i="6"/>
  <c r="AF50" i="6"/>
  <c r="AF92" i="6"/>
  <c r="AH31" i="6"/>
  <c r="AG71" i="6"/>
  <c r="AG51" i="6"/>
  <c r="AG113" i="6"/>
  <c r="AG114" i="6"/>
  <c r="AG110" i="6"/>
  <c r="AG115" i="6"/>
  <c r="AG111" i="6"/>
  <c r="AG112" i="6"/>
  <c r="AG75" i="6"/>
  <c r="AG55" i="6"/>
  <c r="AG30" i="6"/>
  <c r="AH35" i="6"/>
  <c r="AH40" i="6"/>
  <c r="AH60" i="6"/>
  <c r="AH8" i="6"/>
  <c r="AH109" i="6" s="1"/>
  <c r="AH19" i="6"/>
  <c r="AG109" i="6"/>
  <c r="AJ105" i="6"/>
  <c r="AI102" i="6"/>
  <c r="AF96" i="6"/>
  <c r="AF91" i="6" l="1"/>
  <c r="AF116" i="6" s="1"/>
  <c r="AF117" i="6" s="1"/>
  <c r="AE117" i="6"/>
  <c r="AF90" i="6"/>
  <c r="AG92" i="6"/>
  <c r="AG50" i="6"/>
  <c r="AI31" i="6"/>
  <c r="AH71" i="6"/>
  <c r="AH51" i="6"/>
  <c r="AG70" i="6"/>
  <c r="AK105" i="6"/>
  <c r="AJ102" i="6"/>
  <c r="AI35" i="6"/>
  <c r="AI8" i="6"/>
  <c r="AI60" i="6"/>
  <c r="AI40" i="6"/>
  <c r="AI19" i="6"/>
  <c r="AG96" i="6"/>
  <c r="AH115" i="6"/>
  <c r="AH114" i="6"/>
  <c r="AH113" i="6"/>
  <c r="AH111" i="6"/>
  <c r="AH110" i="6"/>
  <c r="AH112" i="6"/>
  <c r="AH75" i="6"/>
  <c r="AH55" i="6"/>
  <c r="AH30" i="6"/>
  <c r="AF185" i="6" l="1"/>
  <c r="AF196" i="6" s="1"/>
  <c r="AG90" i="6"/>
  <c r="AG91" i="6"/>
  <c r="AG116" i="6" s="1"/>
  <c r="AG117" i="6" s="1"/>
  <c r="AH92" i="6"/>
  <c r="AH50" i="6"/>
  <c r="AH70" i="6"/>
  <c r="AJ31" i="6"/>
  <c r="AI51" i="6"/>
  <c r="AI71" i="6"/>
  <c r="AH96" i="6"/>
  <c r="AI115" i="6"/>
  <c r="AI114" i="6"/>
  <c r="AI113" i="6"/>
  <c r="AI111" i="6"/>
  <c r="AI110" i="6"/>
  <c r="AI112" i="6"/>
  <c r="AI75" i="6"/>
  <c r="AI55" i="6"/>
  <c r="AI30" i="6"/>
  <c r="AJ35" i="6"/>
  <c r="AJ8" i="6"/>
  <c r="AJ109" i="6" s="1"/>
  <c r="AJ19" i="6"/>
  <c r="AJ60" i="6"/>
  <c r="AJ40" i="6"/>
  <c r="AI109" i="6"/>
  <c r="AL105" i="6"/>
  <c r="AK102" i="6"/>
  <c r="AG185" i="6" l="1"/>
  <c r="AG196" i="6" s="1"/>
  <c r="AH91" i="6"/>
  <c r="AH116" i="6" s="1"/>
  <c r="AH185" i="6" s="1"/>
  <c r="AH196" i="6" s="1"/>
  <c r="AH90" i="6"/>
  <c r="AI70" i="6"/>
  <c r="AI92" i="6"/>
  <c r="AI50" i="6"/>
  <c r="AK31" i="6"/>
  <c r="AJ71" i="6"/>
  <c r="AJ51" i="6"/>
  <c r="AM105" i="6"/>
  <c r="AL102" i="6"/>
  <c r="AI96" i="6"/>
  <c r="AJ115" i="6"/>
  <c r="AJ114" i="6"/>
  <c r="AJ113" i="6"/>
  <c r="AJ111" i="6"/>
  <c r="AJ110" i="6"/>
  <c r="AJ112" i="6"/>
  <c r="AJ55" i="6"/>
  <c r="AJ75" i="6"/>
  <c r="AJ30" i="6"/>
  <c r="AK35" i="6"/>
  <c r="AK40" i="6"/>
  <c r="AK19" i="6"/>
  <c r="AK60" i="6"/>
  <c r="AK8" i="6"/>
  <c r="AH117" i="6" l="1"/>
  <c r="AI91" i="6"/>
  <c r="AI116" i="6" s="1"/>
  <c r="AI185" i="6" s="1"/>
  <c r="AI196" i="6" s="1"/>
  <c r="AJ50" i="6"/>
  <c r="AI90" i="6"/>
  <c r="AJ92" i="6"/>
  <c r="AJ70" i="6"/>
  <c r="AK51" i="6"/>
  <c r="AK71" i="6"/>
  <c r="AL31" i="6"/>
  <c r="AJ96" i="6"/>
  <c r="AL35" i="6"/>
  <c r="AL8" i="6"/>
  <c r="AL40" i="6"/>
  <c r="AL60" i="6"/>
  <c r="AL19" i="6"/>
  <c r="AN105" i="6"/>
  <c r="AM102" i="6"/>
  <c r="AK75" i="6"/>
  <c r="AK55" i="6"/>
  <c r="AK30" i="6"/>
  <c r="AK115" i="6"/>
  <c r="AK114" i="6"/>
  <c r="AK113" i="6"/>
  <c r="AK111" i="6"/>
  <c r="AK110" i="6"/>
  <c r="AK112" i="6"/>
  <c r="AK109" i="6"/>
  <c r="AK50" i="6" l="1"/>
  <c r="AI117" i="6"/>
  <c r="AJ91" i="6"/>
  <c r="AJ116" i="6" s="1"/>
  <c r="AJ117" i="6" s="1"/>
  <c r="AJ90" i="6"/>
  <c r="AK70" i="6"/>
  <c r="AL51" i="6"/>
  <c r="AL71" i="6"/>
  <c r="AM31" i="6"/>
  <c r="AK92" i="6"/>
  <c r="AK96" i="6"/>
  <c r="AL115" i="6"/>
  <c r="AL114" i="6"/>
  <c r="AL113" i="6"/>
  <c r="AL111" i="6"/>
  <c r="AL110" i="6"/>
  <c r="AL112" i="6"/>
  <c r="AO105" i="6"/>
  <c r="AN102" i="6"/>
  <c r="AM35" i="6"/>
  <c r="AM60" i="6"/>
  <c r="AM8" i="6"/>
  <c r="AM40" i="6"/>
  <c r="AM19" i="6"/>
  <c r="AL109" i="6"/>
  <c r="AL55" i="6"/>
  <c r="AL75" i="6"/>
  <c r="AL30" i="6"/>
  <c r="AK91" i="6" l="1"/>
  <c r="AK116" i="6" s="1"/>
  <c r="AK90" i="6"/>
  <c r="AJ185" i="6"/>
  <c r="AJ196" i="6" s="1"/>
  <c r="AL50" i="6"/>
  <c r="AL70" i="6"/>
  <c r="AL92" i="6"/>
  <c r="AN31" i="6"/>
  <c r="AM71" i="6"/>
  <c r="AM51" i="6"/>
  <c r="AM115" i="6"/>
  <c r="AM114" i="6"/>
  <c r="AM113" i="6"/>
  <c r="AM111" i="6"/>
  <c r="AM110" i="6"/>
  <c r="AM112" i="6"/>
  <c r="AL96" i="6"/>
  <c r="AM109" i="6"/>
  <c r="AP105" i="6"/>
  <c r="AO102" i="6"/>
  <c r="AK185" i="6"/>
  <c r="AK196" i="6" s="1"/>
  <c r="AK117" i="6"/>
  <c r="AN35" i="6"/>
  <c r="AN8" i="6"/>
  <c r="AN40" i="6"/>
  <c r="AN19" i="6"/>
  <c r="AN60" i="6"/>
  <c r="AM55" i="6"/>
  <c r="AM75" i="6"/>
  <c r="AM30" i="6"/>
  <c r="AM92" i="6" l="1"/>
  <c r="AL90" i="6"/>
  <c r="AL91" i="6"/>
  <c r="AL116" i="6" s="1"/>
  <c r="AL185" i="6" s="1"/>
  <c r="AL196" i="6" s="1"/>
  <c r="AM70" i="6"/>
  <c r="AM50" i="6"/>
  <c r="AO31" i="6"/>
  <c r="AN51" i="6"/>
  <c r="AN71" i="6"/>
  <c r="AM96" i="6"/>
  <c r="AN115" i="6"/>
  <c r="AN114" i="6"/>
  <c r="AN113" i="6"/>
  <c r="AN111" i="6"/>
  <c r="AN110" i="6"/>
  <c r="AN112" i="6"/>
  <c r="AO35" i="6"/>
  <c r="AO40" i="6"/>
  <c r="AO60" i="6"/>
  <c r="AO19" i="6"/>
  <c r="AO8" i="6"/>
  <c r="AO109" i="6" s="1"/>
  <c r="AN55" i="6"/>
  <c r="AN75" i="6"/>
  <c r="AN30" i="6"/>
  <c r="AP102" i="6"/>
  <c r="AQ105" i="6"/>
  <c r="AN109" i="6"/>
  <c r="AN50" i="6" l="1"/>
  <c r="AL117" i="6"/>
  <c r="AM90" i="6"/>
  <c r="AN70" i="6"/>
  <c r="AM91" i="6"/>
  <c r="AM116" i="6" s="1"/>
  <c r="AM185" i="6" s="1"/>
  <c r="AM196" i="6" s="1"/>
  <c r="AN92" i="6"/>
  <c r="AO51" i="6"/>
  <c r="AO71" i="6"/>
  <c r="AP31" i="6"/>
  <c r="AO55" i="6"/>
  <c r="AO75" i="6"/>
  <c r="AO30" i="6"/>
  <c r="AP35" i="6"/>
  <c r="AP40" i="6"/>
  <c r="AP8" i="6"/>
  <c r="AP109" i="6" s="1"/>
  <c r="AP19" i="6"/>
  <c r="AP60" i="6"/>
  <c r="AN96" i="6"/>
  <c r="AO115" i="6"/>
  <c r="AO114" i="6"/>
  <c r="AO113" i="6"/>
  <c r="AO111" i="6"/>
  <c r="AO110" i="6"/>
  <c r="AO112" i="6"/>
  <c r="AR105" i="6"/>
  <c r="AQ102" i="6"/>
  <c r="AN91" i="6" l="1"/>
  <c r="AN116" i="6" s="1"/>
  <c r="AN185" i="6" s="1"/>
  <c r="AN196" i="6" s="1"/>
  <c r="AO70" i="6"/>
  <c r="AO50" i="6"/>
  <c r="AN90" i="6"/>
  <c r="AM117" i="6"/>
  <c r="AQ31" i="6"/>
  <c r="AP71" i="6"/>
  <c r="AP51" i="6"/>
  <c r="AO92" i="6"/>
  <c r="AQ35" i="6"/>
  <c r="AQ19" i="6"/>
  <c r="AQ40" i="6"/>
  <c r="AQ60" i="6"/>
  <c r="AQ8" i="6"/>
  <c r="AQ109" i="6" s="1"/>
  <c r="AP75" i="6"/>
  <c r="AP55" i="6"/>
  <c r="AP30" i="6"/>
  <c r="AS105" i="6"/>
  <c r="AR102" i="6"/>
  <c r="AO96" i="6"/>
  <c r="AP115" i="6"/>
  <c r="AP114" i="6"/>
  <c r="AP113" i="6"/>
  <c r="AP111" i="6"/>
  <c r="AP110" i="6"/>
  <c r="AP112" i="6"/>
  <c r="AN117" i="6" l="1"/>
  <c r="AO91" i="6"/>
  <c r="AO116" i="6" s="1"/>
  <c r="AO185" i="6" s="1"/>
  <c r="AO196" i="6" s="1"/>
  <c r="AO90" i="6"/>
  <c r="AP92" i="6"/>
  <c r="AP50" i="6"/>
  <c r="AP70" i="6"/>
  <c r="AQ51" i="6"/>
  <c r="AQ71" i="6"/>
  <c r="AR31" i="6"/>
  <c r="AO117" i="6"/>
  <c r="AP96" i="6"/>
  <c r="AQ114" i="6"/>
  <c r="AQ110" i="6"/>
  <c r="AQ115" i="6"/>
  <c r="AQ113" i="6"/>
  <c r="AQ111" i="6"/>
  <c r="AQ112" i="6"/>
  <c r="AT105" i="6"/>
  <c r="AS102" i="6"/>
  <c r="AR35" i="6"/>
  <c r="AR60" i="6"/>
  <c r="AR8" i="6"/>
  <c r="AR19" i="6"/>
  <c r="AR40" i="6"/>
  <c r="AQ75" i="6"/>
  <c r="AQ55" i="6"/>
  <c r="AQ30" i="6"/>
  <c r="AP90" i="6" l="1"/>
  <c r="AQ50" i="6"/>
  <c r="AP91" i="6"/>
  <c r="AP116" i="6" s="1"/>
  <c r="AQ70" i="6"/>
  <c r="AR51" i="6"/>
  <c r="AR71" i="6"/>
  <c r="AS31" i="6"/>
  <c r="AQ92" i="6"/>
  <c r="AQ96" i="6"/>
  <c r="AU105" i="6"/>
  <c r="AT102" i="6"/>
  <c r="AR115" i="6"/>
  <c r="AR114" i="6"/>
  <c r="AR113" i="6"/>
  <c r="AR111" i="6"/>
  <c r="AR110" i="6"/>
  <c r="AR112" i="6"/>
  <c r="AS35" i="6"/>
  <c r="AS60" i="6"/>
  <c r="AS19" i="6"/>
  <c r="AS8" i="6"/>
  <c r="AS109" i="6" s="1"/>
  <c r="AS40" i="6"/>
  <c r="AR75" i="6"/>
  <c r="AR55" i="6"/>
  <c r="AR30" i="6"/>
  <c r="AR109" i="6"/>
  <c r="AQ91" i="6" l="1"/>
  <c r="AQ116" i="6" s="1"/>
  <c r="AQ185" i="6" s="1"/>
  <c r="AQ196" i="6" s="1"/>
  <c r="AR70" i="6"/>
  <c r="AQ90" i="6"/>
  <c r="AP185" i="6"/>
  <c r="AP196" i="6" s="1"/>
  <c r="AP117" i="6"/>
  <c r="AR50" i="6"/>
  <c r="AT31" i="6"/>
  <c r="AS51" i="6"/>
  <c r="AS71" i="6"/>
  <c r="AR92" i="6"/>
  <c r="AR96" i="6"/>
  <c r="AS75" i="6"/>
  <c r="AS55" i="6"/>
  <c r="AS30" i="6"/>
  <c r="AT35" i="6"/>
  <c r="AT19" i="6"/>
  <c r="AT8" i="6"/>
  <c r="AT109" i="6" s="1"/>
  <c r="AT40" i="6"/>
  <c r="AT60" i="6"/>
  <c r="AV105" i="6"/>
  <c r="AU102" i="6"/>
  <c r="AS115" i="6"/>
  <c r="AS114" i="6"/>
  <c r="AS113" i="6"/>
  <c r="AS111" i="6"/>
  <c r="AS110" i="6"/>
  <c r="AS112" i="6"/>
  <c r="AR90" i="6" l="1"/>
  <c r="AQ117" i="6"/>
  <c r="AR91" i="6"/>
  <c r="AR116" i="6" s="1"/>
  <c r="AR185" i="6" s="1"/>
  <c r="AR196" i="6" s="1"/>
  <c r="AS50" i="6"/>
  <c r="AS70" i="6"/>
  <c r="AS92" i="6"/>
  <c r="AT71" i="6"/>
  <c r="AT51" i="6"/>
  <c r="AU31" i="6"/>
  <c r="AT115" i="6"/>
  <c r="AT114" i="6"/>
  <c r="AT113" i="6"/>
  <c r="AT111" i="6"/>
  <c r="AT110" i="6"/>
  <c r="AT112" i="6"/>
  <c r="AT75" i="6"/>
  <c r="AT55" i="6"/>
  <c r="AT30" i="6"/>
  <c r="AU35" i="6"/>
  <c r="AU8" i="6"/>
  <c r="AU109" i="6" s="1"/>
  <c r="AU40" i="6"/>
  <c r="AU19" i="6"/>
  <c r="AU60" i="6"/>
  <c r="AW105" i="6"/>
  <c r="AV102" i="6"/>
  <c r="AS96" i="6"/>
  <c r="AR117" i="6" l="1"/>
  <c r="AS90" i="6"/>
  <c r="AS91" i="6"/>
  <c r="AS116" i="6" s="1"/>
  <c r="AS185" i="6" s="1"/>
  <c r="AS196" i="6" s="1"/>
  <c r="AT92" i="6"/>
  <c r="AT50" i="6"/>
  <c r="AT70" i="6"/>
  <c r="AU71" i="6"/>
  <c r="AU51" i="6"/>
  <c r="AV31" i="6"/>
  <c r="AT96" i="6"/>
  <c r="AU115" i="6"/>
  <c r="AU114" i="6"/>
  <c r="AU113" i="6"/>
  <c r="AU111" i="6"/>
  <c r="AU110" i="6"/>
  <c r="AU112" i="6"/>
  <c r="AU75" i="6"/>
  <c r="AU55" i="6"/>
  <c r="AU30" i="6"/>
  <c r="AV35" i="6"/>
  <c r="AV40" i="6"/>
  <c r="AV8" i="6"/>
  <c r="AV19" i="6"/>
  <c r="AV60" i="6"/>
  <c r="AX105" i="6"/>
  <c r="AW102" i="6"/>
  <c r="AS117" i="6" l="1"/>
  <c r="AU92" i="6"/>
  <c r="AU70" i="6"/>
  <c r="AT91" i="6"/>
  <c r="AT116" i="6" s="1"/>
  <c r="AT185" i="6" s="1"/>
  <c r="AT196" i="6" s="1"/>
  <c r="AT90" i="6"/>
  <c r="AU50" i="6"/>
  <c r="AV71" i="6"/>
  <c r="AV51" i="6"/>
  <c r="AW31" i="6"/>
  <c r="AV75" i="6"/>
  <c r="AV55" i="6"/>
  <c r="AV30" i="6"/>
  <c r="AV115" i="6"/>
  <c r="AV114" i="6"/>
  <c r="AV113" i="6"/>
  <c r="AV111" i="6"/>
  <c r="AV110" i="6"/>
  <c r="AV112" i="6"/>
  <c r="AW35" i="6"/>
  <c r="AW40" i="6"/>
  <c r="AW60" i="6"/>
  <c r="AW19" i="6"/>
  <c r="AW8" i="6"/>
  <c r="AW109" i="6" s="1"/>
  <c r="AV109" i="6"/>
  <c r="AX102" i="6"/>
  <c r="AY105" i="6"/>
  <c r="AU96" i="6"/>
  <c r="AV50" i="6" l="1"/>
  <c r="AT117" i="6"/>
  <c r="AU90" i="6"/>
  <c r="AV70" i="6"/>
  <c r="AV92" i="6"/>
  <c r="AU91" i="6"/>
  <c r="AU116" i="6" s="1"/>
  <c r="AX31" i="6"/>
  <c r="AW71" i="6"/>
  <c r="AW51" i="6"/>
  <c r="AW115" i="6"/>
  <c r="AW114" i="6"/>
  <c r="AW113" i="6"/>
  <c r="AW111" i="6"/>
  <c r="AW110" i="6"/>
  <c r="AW112" i="6"/>
  <c r="AW75" i="6"/>
  <c r="AW55" i="6"/>
  <c r="AW30" i="6"/>
  <c r="AX35" i="6"/>
  <c r="AX40" i="6"/>
  <c r="AX19" i="6"/>
  <c r="AX8" i="6"/>
  <c r="AX109" i="6" s="1"/>
  <c r="AX60" i="6"/>
  <c r="AZ105" i="6"/>
  <c r="AY102" i="6"/>
  <c r="AV96" i="6"/>
  <c r="AV91" i="6" l="1"/>
  <c r="AV116" i="6" s="1"/>
  <c r="AV185" i="6" s="1"/>
  <c r="AV196" i="6" s="1"/>
  <c r="AV90" i="6"/>
  <c r="AW70" i="6"/>
  <c r="AW50" i="6"/>
  <c r="AU185" i="6"/>
  <c r="AU196" i="6" s="1"/>
  <c r="AU117" i="6"/>
  <c r="AW92" i="6"/>
  <c r="AY31" i="6"/>
  <c r="AX71" i="6"/>
  <c r="AX51" i="6"/>
  <c r="AW96" i="6"/>
  <c r="AY35" i="6"/>
  <c r="AY8" i="6"/>
  <c r="AY109" i="6" s="1"/>
  <c r="AY19" i="6"/>
  <c r="AY40" i="6"/>
  <c r="AY60" i="6"/>
  <c r="AZ102" i="6"/>
  <c r="BA105" i="6"/>
  <c r="AX55" i="6"/>
  <c r="AX75" i="6"/>
  <c r="AX30" i="6"/>
  <c r="AX115" i="6"/>
  <c r="AX114" i="6"/>
  <c r="AX113" i="6"/>
  <c r="AX111" i="6"/>
  <c r="AX110" i="6"/>
  <c r="AX112" i="6"/>
  <c r="AV117" i="6" l="1"/>
  <c r="AW90" i="6"/>
  <c r="AW91" i="6"/>
  <c r="AW116" i="6" s="1"/>
  <c r="AW185" i="6" s="1"/>
  <c r="AW196" i="6" s="1"/>
  <c r="AX92" i="6"/>
  <c r="AZ31" i="6"/>
  <c r="AY71" i="6"/>
  <c r="AY51" i="6"/>
  <c r="AX70" i="6"/>
  <c r="AX50" i="6"/>
  <c r="AX96" i="6"/>
  <c r="AY113" i="6"/>
  <c r="AY114" i="6"/>
  <c r="AY110" i="6"/>
  <c r="AY115" i="6"/>
  <c r="AY111" i="6"/>
  <c r="AY112" i="6"/>
  <c r="AY75" i="6"/>
  <c r="AY55" i="6"/>
  <c r="AY30" i="6"/>
  <c r="AZ35" i="6"/>
  <c r="AZ60" i="6"/>
  <c r="AZ40" i="6"/>
  <c r="AZ8" i="6"/>
  <c r="AZ109" i="6" s="1"/>
  <c r="AZ19" i="6"/>
  <c r="BB105" i="6"/>
  <c r="BA102" i="6"/>
  <c r="AW117" i="6" l="1"/>
  <c r="AX91" i="6"/>
  <c r="AX116" i="6" s="1"/>
  <c r="AX117" i="6" s="1"/>
  <c r="AY50" i="6"/>
  <c r="AY70" i="6"/>
  <c r="AX90" i="6"/>
  <c r="AY92" i="6"/>
  <c r="BA31" i="6"/>
  <c r="AZ51" i="6"/>
  <c r="AZ71" i="6"/>
  <c r="AY96" i="6"/>
  <c r="AZ115" i="6"/>
  <c r="AZ114" i="6"/>
  <c r="AZ113" i="6"/>
  <c r="AZ111" i="6"/>
  <c r="AZ110" i="6"/>
  <c r="AZ112" i="6"/>
  <c r="BA35" i="6"/>
  <c r="BA8" i="6"/>
  <c r="BA60" i="6"/>
  <c r="BA40" i="6"/>
  <c r="BA19" i="6"/>
  <c r="BB102" i="6"/>
  <c r="BC105" i="6"/>
  <c r="AZ55" i="6"/>
  <c r="AZ75" i="6"/>
  <c r="AZ30" i="6"/>
  <c r="AX185" i="6" l="1"/>
  <c r="AX196" i="6" s="1"/>
  <c r="AY90" i="6"/>
  <c r="AZ50" i="6"/>
  <c r="AZ92" i="6"/>
  <c r="AY91" i="6"/>
  <c r="AY116" i="6" s="1"/>
  <c r="AZ70" i="6"/>
  <c r="BB31" i="6"/>
  <c r="BA71" i="6"/>
  <c r="BA51" i="6"/>
  <c r="AZ96" i="6"/>
  <c r="BC102" i="6"/>
  <c r="BD105" i="6"/>
  <c r="BA55" i="6"/>
  <c r="BA75" i="6"/>
  <c r="BA30" i="6"/>
  <c r="BA114" i="6"/>
  <c r="BA110" i="6"/>
  <c r="BA115" i="6"/>
  <c r="BA111" i="6"/>
  <c r="BA113" i="6"/>
  <c r="BA112" i="6"/>
  <c r="BB35" i="6"/>
  <c r="BB40" i="6"/>
  <c r="BB8" i="6"/>
  <c r="BB19" i="6"/>
  <c r="BB60" i="6"/>
  <c r="BA109" i="6"/>
  <c r="BA92" i="6" l="1"/>
  <c r="AZ91" i="6"/>
  <c r="AZ116" i="6" s="1"/>
  <c r="AZ185" i="6" s="1"/>
  <c r="AZ196" i="6" s="1"/>
  <c r="AZ90" i="6"/>
  <c r="BC31" i="6"/>
  <c r="BB71" i="6"/>
  <c r="BB51" i="6"/>
  <c r="BA70" i="6"/>
  <c r="BA50" i="6"/>
  <c r="AY185" i="6"/>
  <c r="AY196" i="6" s="1"/>
  <c r="AY117" i="6"/>
  <c r="BB75" i="6"/>
  <c r="BB55" i="6"/>
  <c r="BB30" i="6"/>
  <c r="BA96" i="6"/>
  <c r="BD102" i="6"/>
  <c r="BE105" i="6"/>
  <c r="BC35" i="6"/>
  <c r="BC8" i="6"/>
  <c r="BC109" i="6" s="1"/>
  <c r="BC19" i="6"/>
  <c r="BC40" i="6"/>
  <c r="BC60" i="6"/>
  <c r="BB115" i="6"/>
  <c r="BB111" i="6"/>
  <c r="BB114" i="6"/>
  <c r="BB113" i="6"/>
  <c r="BB110" i="6"/>
  <c r="BB112" i="6"/>
  <c r="BB109" i="6"/>
  <c r="BB70" i="6" l="1"/>
  <c r="AZ117" i="6"/>
  <c r="BA90" i="6"/>
  <c r="BA91" i="6"/>
  <c r="BA116" i="6" s="1"/>
  <c r="BA185" i="6" s="1"/>
  <c r="BA196" i="6" s="1"/>
  <c r="BB92" i="6"/>
  <c r="BD31" i="6"/>
  <c r="BB50" i="6"/>
  <c r="BC51" i="6"/>
  <c r="BC71" i="6"/>
  <c r="BF105" i="6"/>
  <c r="BE102" i="6"/>
  <c r="BC114" i="6"/>
  <c r="BC110" i="6"/>
  <c r="BC115" i="6"/>
  <c r="BC111" i="6"/>
  <c r="BC113" i="6"/>
  <c r="BC112" i="6"/>
  <c r="BD35" i="6"/>
  <c r="BD60" i="6"/>
  <c r="BD8" i="6"/>
  <c r="BD19" i="6"/>
  <c r="BD40" i="6"/>
  <c r="BB96" i="6"/>
  <c r="BC55" i="6"/>
  <c r="BC75" i="6"/>
  <c r="BC30" i="6"/>
  <c r="BB90" i="6" l="1"/>
  <c r="BB91" i="6"/>
  <c r="BB116" i="6" s="1"/>
  <c r="BA117" i="6"/>
  <c r="BC70" i="6"/>
  <c r="BC50" i="6"/>
  <c r="BC92" i="6"/>
  <c r="BD71" i="6"/>
  <c r="BD51" i="6"/>
  <c r="BE31" i="6"/>
  <c r="BD115" i="6"/>
  <c r="BD111" i="6"/>
  <c r="BD114" i="6"/>
  <c r="BD113" i="6"/>
  <c r="BD110" i="6"/>
  <c r="BD112" i="6"/>
  <c r="BE35" i="6"/>
  <c r="BE19" i="6"/>
  <c r="BE40" i="6"/>
  <c r="BE8" i="6"/>
  <c r="BE60" i="6"/>
  <c r="BC96" i="6"/>
  <c r="BB185" i="6"/>
  <c r="BB196" i="6" s="1"/>
  <c r="BB117" i="6"/>
  <c r="BG105" i="6"/>
  <c r="BF102" i="6"/>
  <c r="BD55" i="6"/>
  <c r="BD75" i="6"/>
  <c r="BD30" i="6"/>
  <c r="BD109" i="6"/>
  <c r="BC91" i="6" l="1"/>
  <c r="BC116" i="6" s="1"/>
  <c r="BC117" i="6" s="1"/>
  <c r="BC90" i="6"/>
  <c r="BD92" i="6"/>
  <c r="BD70" i="6"/>
  <c r="BD50" i="6"/>
  <c r="BE71" i="6"/>
  <c r="BE51" i="6"/>
  <c r="BF31" i="6"/>
  <c r="BE111" i="6"/>
  <c r="BE110" i="6"/>
  <c r="BE115" i="6"/>
  <c r="BE113" i="6"/>
  <c r="BE114" i="6"/>
  <c r="BE112" i="6"/>
  <c r="BD96" i="6"/>
  <c r="BF35" i="6"/>
  <c r="BF8" i="6"/>
  <c r="BF109" i="6" s="1"/>
  <c r="BF40" i="6"/>
  <c r="BF60" i="6"/>
  <c r="BF19" i="6"/>
  <c r="BE55" i="6"/>
  <c r="BE75" i="6"/>
  <c r="BE30" i="6"/>
  <c r="BH105" i="6"/>
  <c r="BG102" i="6"/>
  <c r="BE109" i="6"/>
  <c r="BD91" i="6" l="1"/>
  <c r="BD116" i="6" s="1"/>
  <c r="BD185" i="6" s="1"/>
  <c r="BD196" i="6" s="1"/>
  <c r="BD90" i="6"/>
  <c r="BC185" i="6"/>
  <c r="BC196" i="6" s="1"/>
  <c r="BE50" i="6"/>
  <c r="BE92" i="6"/>
  <c r="BE70" i="6"/>
  <c r="BF71" i="6"/>
  <c r="BF51" i="6"/>
  <c r="BG31" i="6"/>
  <c r="BE96" i="6"/>
  <c r="BF75" i="6"/>
  <c r="BF55" i="6"/>
  <c r="BF30" i="6"/>
  <c r="BI105" i="6"/>
  <c r="BH102" i="6"/>
  <c r="BF115" i="6"/>
  <c r="BF114" i="6"/>
  <c r="BF113" i="6"/>
  <c r="BF111" i="6"/>
  <c r="BF110" i="6"/>
  <c r="BF112" i="6"/>
  <c r="BG35" i="6"/>
  <c r="BG19" i="6"/>
  <c r="BG60" i="6"/>
  <c r="BG40" i="6"/>
  <c r="BG8" i="6"/>
  <c r="BD117" i="6" l="1"/>
  <c r="BF50" i="6"/>
  <c r="BE90" i="6"/>
  <c r="BE91" i="6"/>
  <c r="BE116" i="6" s="1"/>
  <c r="BE185" i="6" s="1"/>
  <c r="BE196" i="6" s="1"/>
  <c r="BF70" i="6"/>
  <c r="BF90" i="6" s="1"/>
  <c r="BF92" i="6"/>
  <c r="BG71" i="6"/>
  <c r="BG51" i="6"/>
  <c r="BH31" i="6"/>
  <c r="BF96" i="6"/>
  <c r="BG115" i="6"/>
  <c r="BG114" i="6"/>
  <c r="BG113" i="6"/>
  <c r="BG111" i="6"/>
  <c r="BG110" i="6"/>
  <c r="BG112" i="6"/>
  <c r="BG75" i="6"/>
  <c r="BG55" i="6"/>
  <c r="BG30" i="6"/>
  <c r="BJ105" i="6"/>
  <c r="BI102" i="6"/>
  <c r="BH35" i="6"/>
  <c r="BH60" i="6"/>
  <c r="BH19" i="6"/>
  <c r="BH40" i="6"/>
  <c r="BH8" i="6"/>
  <c r="BG109" i="6"/>
  <c r="BF91" i="6" l="1"/>
  <c r="BF116" i="6" s="1"/>
  <c r="BE117" i="6"/>
  <c r="BG50" i="6"/>
  <c r="BG70" i="6"/>
  <c r="BG92" i="6"/>
  <c r="BI31" i="6"/>
  <c r="BH51" i="6"/>
  <c r="BH71" i="6"/>
  <c r="BF185" i="6"/>
  <c r="BF196" i="6" s="1"/>
  <c r="BF117" i="6"/>
  <c r="BG96" i="6"/>
  <c r="BI35" i="6"/>
  <c r="BI8" i="6"/>
  <c r="BI60" i="6"/>
  <c r="BI19" i="6"/>
  <c r="BI40" i="6"/>
  <c r="BH75" i="6"/>
  <c r="BH55" i="6"/>
  <c r="BH30" i="6"/>
  <c r="BH115" i="6"/>
  <c r="BH114" i="6"/>
  <c r="BH113" i="6"/>
  <c r="BH111" i="6"/>
  <c r="BH110" i="6"/>
  <c r="BH112" i="6"/>
  <c r="BK105" i="6"/>
  <c r="BJ102" i="6"/>
  <c r="BH109" i="6"/>
  <c r="BG90" i="6" l="1"/>
  <c r="BG91" i="6"/>
  <c r="BG116" i="6" s="1"/>
  <c r="BG117" i="6" s="1"/>
  <c r="BH50" i="6"/>
  <c r="BH70" i="6"/>
  <c r="BH92" i="6"/>
  <c r="BJ31" i="6"/>
  <c r="BI71" i="6"/>
  <c r="BI51" i="6"/>
  <c r="BI115" i="6"/>
  <c r="BI114" i="6"/>
  <c r="BI113" i="6"/>
  <c r="BI111" i="6"/>
  <c r="BI110" i="6"/>
  <c r="BI112" i="6"/>
  <c r="BI75" i="6"/>
  <c r="BI55" i="6"/>
  <c r="BI30" i="6"/>
  <c r="BH96" i="6"/>
  <c r="BJ35" i="6"/>
  <c r="BJ40" i="6"/>
  <c r="BJ60" i="6"/>
  <c r="BJ8" i="6"/>
  <c r="BJ19" i="6"/>
  <c r="BL105" i="6"/>
  <c r="BK102" i="6"/>
  <c r="BI109" i="6"/>
  <c r="BG185" i="6" l="1"/>
  <c r="BG196" i="6" s="1"/>
  <c r="BH91" i="6"/>
  <c r="BH116" i="6" s="1"/>
  <c r="BH185" i="6" s="1"/>
  <c r="BH196" i="6" s="1"/>
  <c r="BH90" i="6"/>
  <c r="BI70" i="6"/>
  <c r="BI92" i="6"/>
  <c r="BK31" i="6"/>
  <c r="BI50" i="6"/>
  <c r="BJ71" i="6"/>
  <c r="BJ51" i="6"/>
  <c r="BI96" i="6"/>
  <c r="BK35" i="6"/>
  <c r="BK19" i="6"/>
  <c r="BK8" i="6"/>
  <c r="BK109" i="6" s="1"/>
  <c r="BK40" i="6"/>
  <c r="BK60" i="6"/>
  <c r="BJ115" i="6"/>
  <c r="BJ114" i="6"/>
  <c r="BJ113" i="6"/>
  <c r="BJ111" i="6"/>
  <c r="BJ110" i="6"/>
  <c r="BJ112" i="6"/>
  <c r="BJ55" i="6"/>
  <c r="BJ75" i="6"/>
  <c r="BJ30" i="6"/>
  <c r="BM105" i="6"/>
  <c r="BL102" i="6"/>
  <c r="BJ109" i="6"/>
  <c r="BH117" i="6" l="1"/>
  <c r="BJ92" i="6"/>
  <c r="BI90" i="6"/>
  <c r="BI91" i="6"/>
  <c r="BI116" i="6" s="1"/>
  <c r="BI117" i="6" s="1"/>
  <c r="BJ70" i="6"/>
  <c r="BJ50" i="6"/>
  <c r="BK71" i="6"/>
  <c r="BK51" i="6"/>
  <c r="BL31" i="6"/>
  <c r="BJ96" i="6"/>
  <c r="BN105" i="6"/>
  <c r="BM102" i="6"/>
  <c r="BK75" i="6"/>
  <c r="BK55" i="6"/>
  <c r="BK30" i="6"/>
  <c r="BL35" i="6"/>
  <c r="BL60" i="6"/>
  <c r="BL8" i="6"/>
  <c r="BL109" i="6" s="1"/>
  <c r="BL40" i="6"/>
  <c r="BL19" i="6"/>
  <c r="BK115" i="6"/>
  <c r="BK114" i="6"/>
  <c r="BK113" i="6"/>
  <c r="BK111" i="6"/>
  <c r="BK110" i="6"/>
  <c r="BK112" i="6"/>
  <c r="BJ91" i="6" l="1"/>
  <c r="BJ116" i="6" s="1"/>
  <c r="BJ185" i="6" s="1"/>
  <c r="BJ196" i="6" s="1"/>
  <c r="BI185" i="6"/>
  <c r="BI196" i="6" s="1"/>
  <c r="BK70" i="6"/>
  <c r="BK92" i="6"/>
  <c r="BL51" i="6"/>
  <c r="BL71" i="6"/>
  <c r="BM31" i="6"/>
  <c r="BK50" i="6"/>
  <c r="BJ90" i="6"/>
  <c r="BM35" i="6"/>
  <c r="BM8" i="6"/>
  <c r="BM109" i="6" s="1"/>
  <c r="BM40" i="6"/>
  <c r="BM19" i="6"/>
  <c r="BM60" i="6"/>
  <c r="BL75" i="6"/>
  <c r="BL55" i="6"/>
  <c r="BL30" i="6"/>
  <c r="BL115" i="6"/>
  <c r="BL114" i="6"/>
  <c r="BL113" i="6"/>
  <c r="BL111" i="6"/>
  <c r="BL110" i="6"/>
  <c r="BL112" i="6"/>
  <c r="BK96" i="6"/>
  <c r="BN102" i="6"/>
  <c r="BO105" i="6"/>
  <c r="BJ117" i="6" l="1"/>
  <c r="BL70" i="6"/>
  <c r="BL50" i="6"/>
  <c r="BK91" i="6"/>
  <c r="BK116" i="6" s="1"/>
  <c r="BK185" i="6" s="1"/>
  <c r="BK196" i="6" s="1"/>
  <c r="BK90" i="6"/>
  <c r="BM51" i="6"/>
  <c r="BM71" i="6"/>
  <c r="BN31" i="6"/>
  <c r="BL92" i="6"/>
  <c r="BM115" i="6"/>
  <c r="BM114" i="6"/>
  <c r="BM113" i="6"/>
  <c r="BM111" i="6"/>
  <c r="BM110" i="6"/>
  <c r="BM112" i="6"/>
  <c r="BM75" i="6"/>
  <c r="BM55" i="6"/>
  <c r="BM30" i="6"/>
  <c r="BL96" i="6"/>
  <c r="BP105" i="6"/>
  <c r="BO102" i="6"/>
  <c r="BN35" i="6"/>
  <c r="BN19" i="6"/>
  <c r="BN60" i="6"/>
  <c r="BN40" i="6"/>
  <c r="BN8" i="6"/>
  <c r="BL91" i="6" l="1"/>
  <c r="BL116" i="6" s="1"/>
  <c r="BL185" i="6" s="1"/>
  <c r="BL196" i="6" s="1"/>
  <c r="BK117" i="6"/>
  <c r="BM50" i="6"/>
  <c r="BL90" i="6"/>
  <c r="BM70" i="6"/>
  <c r="BM90" i="6" s="1"/>
  <c r="BN51" i="6"/>
  <c r="BN71" i="6"/>
  <c r="BO31" i="6"/>
  <c r="BM92" i="6"/>
  <c r="BM96" i="6"/>
  <c r="BN115" i="6"/>
  <c r="BN114" i="6"/>
  <c r="BN113" i="6"/>
  <c r="BN111" i="6"/>
  <c r="BN110" i="6"/>
  <c r="BN112" i="6"/>
  <c r="BN75" i="6"/>
  <c r="BN55" i="6"/>
  <c r="BN30" i="6"/>
  <c r="BQ105" i="6"/>
  <c r="BP102" i="6"/>
  <c r="BO35" i="6"/>
  <c r="BO19" i="6"/>
  <c r="BO60" i="6"/>
  <c r="BO8" i="6"/>
  <c r="BO109" i="6" s="1"/>
  <c r="BO40" i="6"/>
  <c r="BN109" i="6"/>
  <c r="BL117" i="6" l="1"/>
  <c r="BM91" i="6"/>
  <c r="BM116" i="6" s="1"/>
  <c r="BM185" i="6" s="1"/>
  <c r="BM196" i="6" s="1"/>
  <c r="BN92" i="6"/>
  <c r="BN50" i="6"/>
  <c r="BN70" i="6"/>
  <c r="BP31" i="6"/>
  <c r="BO71" i="6"/>
  <c r="BO51" i="6"/>
  <c r="BR105" i="6"/>
  <c r="BQ102" i="6"/>
  <c r="BO115" i="6"/>
  <c r="BO111" i="6"/>
  <c r="BO114" i="6"/>
  <c r="BO110" i="6"/>
  <c r="BO113" i="6"/>
  <c r="BO112" i="6"/>
  <c r="BP35" i="6"/>
  <c r="BP40" i="6"/>
  <c r="BP19" i="6"/>
  <c r="BP8" i="6"/>
  <c r="BP60" i="6"/>
  <c r="BO55" i="6"/>
  <c r="BO75" i="6"/>
  <c r="BO30" i="6"/>
  <c r="BN96" i="6"/>
  <c r="BM117" i="6" l="1"/>
  <c r="BO70" i="6"/>
  <c r="BN91" i="6"/>
  <c r="BN116" i="6" s="1"/>
  <c r="BN185" i="6" s="1"/>
  <c r="BN196" i="6" s="1"/>
  <c r="BO92" i="6"/>
  <c r="BN90" i="6"/>
  <c r="BP71" i="6"/>
  <c r="BP51" i="6"/>
  <c r="BQ31" i="6"/>
  <c r="BO50" i="6"/>
  <c r="BQ35" i="6"/>
  <c r="BQ19" i="6"/>
  <c r="BQ8" i="6"/>
  <c r="BQ109" i="6" s="1"/>
  <c r="BQ60" i="6"/>
  <c r="BQ40" i="6"/>
  <c r="BP115" i="6"/>
  <c r="BP114" i="6"/>
  <c r="BP113" i="6"/>
  <c r="BP111" i="6"/>
  <c r="BP110" i="6"/>
  <c r="BP112" i="6"/>
  <c r="BP75" i="6"/>
  <c r="BP55" i="6"/>
  <c r="BP30" i="6"/>
  <c r="BP109" i="6"/>
  <c r="BO96" i="6"/>
  <c r="BS105" i="6"/>
  <c r="BR102" i="6"/>
  <c r="BO91" i="6" l="1"/>
  <c r="BO116" i="6" s="1"/>
  <c r="BO117" i="6" s="1"/>
  <c r="BP70" i="6"/>
  <c r="BN117" i="6"/>
  <c r="BP92" i="6"/>
  <c r="BQ51" i="6"/>
  <c r="BQ71" i="6"/>
  <c r="BR31" i="6"/>
  <c r="BO90" i="6"/>
  <c r="BP50" i="6"/>
  <c r="BT105" i="6"/>
  <c r="BS102" i="6"/>
  <c r="BQ115" i="6"/>
  <c r="BQ114" i="6"/>
  <c r="BQ113" i="6"/>
  <c r="BQ111" i="6"/>
  <c r="BQ110" i="6"/>
  <c r="BQ112" i="6"/>
  <c r="BP96" i="6"/>
  <c r="BR35" i="6"/>
  <c r="BR60" i="6"/>
  <c r="BR8" i="6"/>
  <c r="BR40" i="6"/>
  <c r="BR19" i="6"/>
  <c r="BQ75" i="6"/>
  <c r="BQ55" i="6"/>
  <c r="BQ30" i="6"/>
  <c r="BO185" i="6" l="1"/>
  <c r="BO196" i="6" s="1"/>
  <c r="BP91" i="6"/>
  <c r="BP116" i="6" s="1"/>
  <c r="BP185" i="6" s="1"/>
  <c r="BP196" i="6" s="1"/>
  <c r="BP90" i="6"/>
  <c r="BQ92" i="6"/>
  <c r="BQ50" i="6"/>
  <c r="BQ70" i="6"/>
  <c r="BS31" i="6"/>
  <c r="BR71" i="6"/>
  <c r="BR51" i="6"/>
  <c r="BR75" i="6"/>
  <c r="BR55" i="6"/>
  <c r="BR30" i="6"/>
  <c r="BU105" i="6"/>
  <c r="BT102" i="6"/>
  <c r="BQ96" i="6"/>
  <c r="BR115" i="6"/>
  <c r="BR114" i="6"/>
  <c r="BR113" i="6"/>
  <c r="BR111" i="6"/>
  <c r="BR110" i="6"/>
  <c r="BR112" i="6"/>
  <c r="BP117" i="6"/>
  <c r="BS35" i="6"/>
  <c r="BS19" i="6"/>
  <c r="BS60" i="6"/>
  <c r="BS8" i="6"/>
  <c r="BS40" i="6"/>
  <c r="BR109" i="6"/>
  <c r="BR50" i="6" l="1"/>
  <c r="BQ91" i="6"/>
  <c r="BQ116" i="6" s="1"/>
  <c r="BQ185" i="6" s="1"/>
  <c r="BQ196" i="6" s="1"/>
  <c r="BQ90" i="6"/>
  <c r="BR70" i="6"/>
  <c r="BR92" i="6"/>
  <c r="BT31" i="6"/>
  <c r="BS51" i="6"/>
  <c r="BS71" i="6"/>
  <c r="BR96" i="6"/>
  <c r="BS115" i="6"/>
  <c r="BS114" i="6"/>
  <c r="BS113" i="6"/>
  <c r="BS111" i="6"/>
  <c r="BS110" i="6"/>
  <c r="BS112" i="6"/>
  <c r="BT35" i="6"/>
  <c r="BT19" i="6"/>
  <c r="BT8" i="6"/>
  <c r="BT60" i="6"/>
  <c r="BT40" i="6"/>
  <c r="BV105" i="6"/>
  <c r="BU102" i="6"/>
  <c r="BS75" i="6"/>
  <c r="BS55" i="6"/>
  <c r="BS30" i="6"/>
  <c r="BS109" i="6"/>
  <c r="BR90" i="6" l="1"/>
  <c r="BQ117" i="6"/>
  <c r="BS92" i="6"/>
  <c r="BR91" i="6"/>
  <c r="BR116" i="6" s="1"/>
  <c r="BR185" i="6" s="1"/>
  <c r="BR196" i="6" s="1"/>
  <c r="BS50" i="6"/>
  <c r="BS70" i="6"/>
  <c r="BT71" i="6"/>
  <c r="BT51" i="6"/>
  <c r="BV31" i="6"/>
  <c r="BV51" i="6" s="1"/>
  <c r="BU31" i="6"/>
  <c r="BS96" i="6"/>
  <c r="BT75" i="6"/>
  <c r="BT55" i="6"/>
  <c r="BT30" i="6"/>
  <c r="BV102" i="6"/>
  <c r="BT115" i="6"/>
  <c r="BT114" i="6"/>
  <c r="BT113" i="6"/>
  <c r="BT111" i="6"/>
  <c r="BT110" i="6"/>
  <c r="BT112" i="6"/>
  <c r="BU35" i="6"/>
  <c r="BU8" i="6"/>
  <c r="BU60" i="6"/>
  <c r="BU40" i="6"/>
  <c r="BU19" i="6"/>
  <c r="BT109" i="6"/>
  <c r="BS91" i="6" l="1"/>
  <c r="BS116" i="6" s="1"/>
  <c r="BS185" i="6" s="1"/>
  <c r="BS196" i="6" s="1"/>
  <c r="BT50" i="6"/>
  <c r="BT70" i="6"/>
  <c r="BR117" i="6"/>
  <c r="BS90" i="6"/>
  <c r="BU71" i="6"/>
  <c r="BU51" i="6"/>
  <c r="BV71" i="6"/>
  <c r="BV92" i="6" s="1"/>
  <c r="BT92" i="6"/>
  <c r="BV35" i="6"/>
  <c r="BV40" i="6"/>
  <c r="BV60" i="6"/>
  <c r="BV19" i="6"/>
  <c r="BV8" i="6"/>
  <c r="BU115" i="6"/>
  <c r="BU114" i="6"/>
  <c r="BU113" i="6"/>
  <c r="BU111" i="6"/>
  <c r="BU110" i="6"/>
  <c r="BU112" i="6"/>
  <c r="BU75" i="6"/>
  <c r="BU55" i="6"/>
  <c r="BU30" i="6"/>
  <c r="BT96" i="6"/>
  <c r="BU109" i="6"/>
  <c r="BU50" i="6" l="1"/>
  <c r="BT91" i="6"/>
  <c r="BT116" i="6" s="1"/>
  <c r="BT117" i="6" s="1"/>
  <c r="BT90" i="6"/>
  <c r="BS117" i="6"/>
  <c r="BU70" i="6"/>
  <c r="BU90" i="6" s="1"/>
  <c r="BU92" i="6"/>
  <c r="BT185" i="6"/>
  <c r="BT196" i="6" s="1"/>
  <c r="BV75" i="6"/>
  <c r="BV70" i="6" s="1"/>
  <c r="BV55" i="6"/>
  <c r="BV50" i="6" s="1"/>
  <c r="BV30" i="6"/>
  <c r="BU96" i="6"/>
  <c r="BV115" i="6"/>
  <c r="BV114" i="6"/>
  <c r="BV113" i="6"/>
  <c r="BV111" i="6"/>
  <c r="BV110" i="6"/>
  <c r="BV112" i="6"/>
  <c r="BV109" i="6"/>
  <c r="BU91" i="6" l="1"/>
  <c r="BU116" i="6" s="1"/>
  <c r="BU185" i="6" s="1"/>
  <c r="BU196" i="6" s="1"/>
  <c r="BV91" i="6"/>
  <c r="BV116" i="6" s="1"/>
  <c r="BV117" i="6" s="1"/>
  <c r="BV90" i="6"/>
  <c r="BV96" i="6"/>
  <c r="BU117" i="6" l="1"/>
  <c r="BV185" i="6"/>
  <c r="BV196" i="6" s="1"/>
  <c r="C30" i="3" l="1"/>
  <c r="C13" i="3"/>
  <c r="C15" i="3" s="1"/>
  <c r="R9" i="5" l="1"/>
  <c r="R35" i="5" s="1"/>
  <c r="P9" i="5"/>
  <c r="P35" i="5" s="1"/>
  <c r="Q9" i="5"/>
  <c r="Q35" i="5" s="1"/>
  <c r="AA9" i="5"/>
  <c r="AA35" i="5" s="1"/>
  <c r="T9" i="5"/>
  <c r="T35" i="5" s="1"/>
  <c r="S9" i="5"/>
  <c r="S35" i="5" s="1"/>
  <c r="Z9" i="5"/>
  <c r="Z35" i="5" s="1"/>
  <c r="Y9" i="5"/>
  <c r="Y35" i="5" s="1"/>
  <c r="V9" i="5"/>
  <c r="V35" i="5" s="1"/>
  <c r="X9" i="5"/>
  <c r="X35" i="5" s="1"/>
  <c r="W9" i="5"/>
  <c r="W35" i="5" s="1"/>
  <c r="U9" i="5"/>
  <c r="U35" i="5" s="1"/>
  <c r="D10" i="2"/>
  <c r="C16" i="3"/>
  <c r="C14" i="3"/>
  <c r="V15" i="5" l="1"/>
  <c r="V25" i="5"/>
  <c r="S15" i="5"/>
  <c r="S25" i="5"/>
  <c r="T15" i="5"/>
  <c r="T25" i="5"/>
  <c r="AA15" i="5"/>
  <c r="AA25" i="5"/>
  <c r="Q15" i="5"/>
  <c r="Q25" i="5"/>
  <c r="U15" i="5"/>
  <c r="U25" i="5"/>
  <c r="X15" i="5"/>
  <c r="X25" i="5"/>
  <c r="Y15" i="5"/>
  <c r="Y25" i="5"/>
  <c r="P15" i="5"/>
  <c r="P25" i="5"/>
  <c r="W15" i="5"/>
  <c r="W25" i="5"/>
  <c r="Z15" i="5"/>
  <c r="Z25" i="5"/>
  <c r="R15" i="5"/>
  <c r="R25" i="5"/>
  <c r="F9" i="5"/>
  <c r="F35" i="5" s="1"/>
  <c r="H9" i="5"/>
  <c r="H35" i="5" s="1"/>
  <c r="E9" i="5"/>
  <c r="E35" i="5" s="1"/>
  <c r="D9" i="5"/>
  <c r="O9" i="5"/>
  <c r="O35" i="5" s="1"/>
  <c r="I9" i="5"/>
  <c r="G9" i="5"/>
  <c r="G35" i="5" s="1"/>
  <c r="N9" i="5"/>
  <c r="N35" i="5" s="1"/>
  <c r="M9" i="5"/>
  <c r="M35" i="5" s="1"/>
  <c r="J9" i="5"/>
  <c r="J35" i="5" s="1"/>
  <c r="L9" i="5"/>
  <c r="K9" i="5"/>
  <c r="K35" i="5" s="1"/>
  <c r="BN9" i="5"/>
  <c r="BN35" i="5" s="1"/>
  <c r="BB9" i="5"/>
  <c r="BB35" i="5" s="1"/>
  <c r="AP9" i="5"/>
  <c r="AP35" i="5" s="1"/>
  <c r="AD9" i="5"/>
  <c r="AD35" i="5" s="1"/>
  <c r="AZ9" i="5"/>
  <c r="AZ35" i="5" s="1"/>
  <c r="BE9" i="5"/>
  <c r="BE35" i="5" s="1"/>
  <c r="AF9" i="5"/>
  <c r="AF35" i="5" s="1"/>
  <c r="BC9" i="5"/>
  <c r="BC35" i="5" s="1"/>
  <c r="BM9" i="5"/>
  <c r="BM35" i="5" s="1"/>
  <c r="BA9" i="5"/>
  <c r="BA35" i="5" s="1"/>
  <c r="AO9" i="5"/>
  <c r="AO35" i="5" s="1"/>
  <c r="AC9" i="5"/>
  <c r="AC35" i="5" s="1"/>
  <c r="AN9" i="5"/>
  <c r="AN35" i="5" s="1"/>
  <c r="AB9" i="5"/>
  <c r="AB35" i="5" s="1"/>
  <c r="BW9" i="5"/>
  <c r="BW35" i="5" s="1"/>
  <c r="BK9" i="5"/>
  <c r="BK35" i="5" s="1"/>
  <c r="AY9" i="5"/>
  <c r="AY35" i="5" s="1"/>
  <c r="AM9" i="5"/>
  <c r="AM35" i="5" s="1"/>
  <c r="BR9" i="5"/>
  <c r="BR35" i="5" s="1"/>
  <c r="AS9" i="5"/>
  <c r="AS35" i="5" s="1"/>
  <c r="AQ9" i="5"/>
  <c r="AQ35" i="5" s="1"/>
  <c r="BL9" i="5"/>
  <c r="BL35" i="5" s="1"/>
  <c r="BV9" i="5"/>
  <c r="BV35" i="5" s="1"/>
  <c r="BJ9" i="5"/>
  <c r="BJ35" i="5" s="1"/>
  <c r="AX9" i="5"/>
  <c r="AX35" i="5" s="1"/>
  <c r="AL9" i="5"/>
  <c r="AL35" i="5" s="1"/>
  <c r="BU9" i="5"/>
  <c r="BU35" i="5" s="1"/>
  <c r="BI9" i="5"/>
  <c r="BI35" i="5" s="1"/>
  <c r="AW9" i="5"/>
  <c r="AW35" i="5" s="1"/>
  <c r="AK9" i="5"/>
  <c r="AK35" i="5" s="1"/>
  <c r="BT9" i="5"/>
  <c r="BT35" i="5" s="1"/>
  <c r="AH9" i="5"/>
  <c r="AH35" i="5" s="1"/>
  <c r="BQ9" i="5"/>
  <c r="BQ35" i="5" s="1"/>
  <c r="AR9" i="5"/>
  <c r="AR35" i="5" s="1"/>
  <c r="BH9" i="5"/>
  <c r="BH35" i="5" s="1"/>
  <c r="AV9" i="5"/>
  <c r="AV35" i="5" s="1"/>
  <c r="AJ9" i="5"/>
  <c r="AJ35" i="5" s="1"/>
  <c r="BF9" i="5"/>
  <c r="BF35" i="5" s="1"/>
  <c r="AG9" i="5"/>
  <c r="AG35" i="5" s="1"/>
  <c r="BP9" i="5"/>
  <c r="BP35" i="5" s="1"/>
  <c r="BO9" i="5"/>
  <c r="BO35" i="5" s="1"/>
  <c r="BS9" i="5"/>
  <c r="BS35" i="5" s="1"/>
  <c r="BG9" i="5"/>
  <c r="BG35" i="5" s="1"/>
  <c r="AU9" i="5"/>
  <c r="AU35" i="5" s="1"/>
  <c r="AI9" i="5"/>
  <c r="AI35" i="5" s="1"/>
  <c r="AT9" i="5"/>
  <c r="AT35" i="5" s="1"/>
  <c r="BD9" i="5"/>
  <c r="BD35" i="5" s="1"/>
  <c r="AE9" i="5"/>
  <c r="AE35" i="5" s="1"/>
  <c r="E10" i="2"/>
  <c r="E5" i="5" s="1"/>
  <c r="D5" i="5"/>
  <c r="L15" i="5" l="1"/>
  <c r="L35" i="5"/>
  <c r="I25" i="5"/>
  <c r="I35" i="5"/>
  <c r="D25" i="5"/>
  <c r="D35" i="5"/>
  <c r="K15" i="5"/>
  <c r="K25" i="5"/>
  <c r="L25" i="5"/>
  <c r="BJ15" i="5"/>
  <c r="BJ25" i="5"/>
  <c r="AO15" i="5"/>
  <c r="AO25" i="5"/>
  <c r="BA15" i="5"/>
  <c r="BA25" i="5"/>
  <c r="BQ15" i="5"/>
  <c r="BQ25" i="5"/>
  <c r="AH15" i="5"/>
  <c r="AH25" i="5"/>
  <c r="BT15" i="5"/>
  <c r="BT25" i="5"/>
  <c r="BR15" i="5"/>
  <c r="BR25" i="5"/>
  <c r="AF15" i="5"/>
  <c r="AF25" i="5"/>
  <c r="G15" i="5"/>
  <c r="G25" i="5"/>
  <c r="BV15" i="5"/>
  <c r="BV25" i="5"/>
  <c r="BL15" i="5"/>
  <c r="BL25" i="5"/>
  <c r="M15" i="5"/>
  <c r="M25" i="5"/>
  <c r="BC15" i="5"/>
  <c r="BC25" i="5"/>
  <c r="AM15" i="5"/>
  <c r="AM25" i="5"/>
  <c r="I15" i="5"/>
  <c r="AE15" i="5"/>
  <c r="AE25" i="5"/>
  <c r="AC15" i="5"/>
  <c r="AC25" i="5"/>
  <c r="AR15" i="5"/>
  <c r="AR25" i="5"/>
  <c r="BM15" i="5"/>
  <c r="BM25" i="5"/>
  <c r="AS15" i="5"/>
  <c r="AS25" i="5"/>
  <c r="BS15" i="5"/>
  <c r="BS25" i="5"/>
  <c r="BE15" i="5"/>
  <c r="BE25" i="5"/>
  <c r="BO15" i="5"/>
  <c r="BO25" i="5"/>
  <c r="AW15" i="5"/>
  <c r="AW25" i="5"/>
  <c r="AY15" i="5"/>
  <c r="AY25" i="5"/>
  <c r="AZ15" i="5"/>
  <c r="AZ25" i="5"/>
  <c r="O15" i="5"/>
  <c r="O25" i="5"/>
  <c r="AV15" i="5"/>
  <c r="AV25" i="5"/>
  <c r="BH15" i="5"/>
  <c r="BH25" i="5"/>
  <c r="AT15" i="5"/>
  <c r="AT25" i="5"/>
  <c r="AQ15" i="5"/>
  <c r="AQ25" i="5"/>
  <c r="AU15" i="5"/>
  <c r="AU25" i="5"/>
  <c r="N15" i="5"/>
  <c r="N25" i="5"/>
  <c r="BG15" i="5"/>
  <c r="BG25" i="5"/>
  <c r="AK15" i="5"/>
  <c r="AK25" i="5"/>
  <c r="BP15" i="5"/>
  <c r="BP25" i="5"/>
  <c r="BI15" i="5"/>
  <c r="BI25" i="5"/>
  <c r="BK15" i="5"/>
  <c r="BK25" i="5"/>
  <c r="AD15" i="5"/>
  <c r="AD25" i="5"/>
  <c r="BF15" i="5"/>
  <c r="BF25" i="5"/>
  <c r="BD15" i="5"/>
  <c r="BD25" i="5"/>
  <c r="J15" i="5"/>
  <c r="J25" i="5"/>
  <c r="AI15" i="5"/>
  <c r="AI25" i="5"/>
  <c r="AG15" i="5"/>
  <c r="AG25" i="5"/>
  <c r="BU15" i="5"/>
  <c r="BU25" i="5"/>
  <c r="BW15" i="5"/>
  <c r="BW25" i="5"/>
  <c r="AP15" i="5"/>
  <c r="AP25" i="5"/>
  <c r="E15" i="5"/>
  <c r="E25" i="5"/>
  <c r="AL15" i="5"/>
  <c r="AL25" i="5"/>
  <c r="AB15" i="5"/>
  <c r="AB25" i="5"/>
  <c r="BB15" i="5"/>
  <c r="BB25" i="5"/>
  <c r="H15" i="5"/>
  <c r="H25" i="5"/>
  <c r="AJ15" i="5"/>
  <c r="AJ25" i="5"/>
  <c r="AX15" i="5"/>
  <c r="AX25" i="5"/>
  <c r="AN15" i="5"/>
  <c r="AN25" i="5"/>
  <c r="BN15" i="5"/>
  <c r="BN25" i="5"/>
  <c r="F15" i="5"/>
  <c r="F25" i="5"/>
  <c r="D15" i="5"/>
  <c r="D10" i="5"/>
  <c r="F10" i="2"/>
  <c r="F5" i="5" s="1"/>
  <c r="D11" i="5" l="1"/>
  <c r="E8" i="5"/>
  <c r="G10" i="2"/>
  <c r="G5" i="5" s="1"/>
  <c r="E10" i="5" l="1"/>
  <c r="H10" i="2"/>
  <c r="H5" i="5" s="1"/>
  <c r="F8" i="5" l="1"/>
  <c r="E11" i="5"/>
  <c r="F10" i="5"/>
  <c r="F11" i="5" s="1"/>
  <c r="I10" i="2"/>
  <c r="I5" i="5" s="1"/>
  <c r="G8" i="5" l="1"/>
  <c r="G10" i="5" s="1"/>
  <c r="J10" i="2"/>
  <c r="J5" i="5" s="1"/>
  <c r="G11" i="5" l="1"/>
  <c r="H8" i="5"/>
  <c r="H10" i="5" s="1"/>
  <c r="H11" i="5" s="1"/>
  <c r="K10" i="2"/>
  <c r="K5" i="5" s="1"/>
  <c r="I8" i="5" l="1"/>
  <c r="I10" i="5" s="1"/>
  <c r="L10" i="2"/>
  <c r="L5" i="5" s="1"/>
  <c r="I11" i="5" l="1"/>
  <c r="J8" i="5"/>
  <c r="J10" i="5" s="1"/>
  <c r="J11" i="5" s="1"/>
  <c r="M10" i="2"/>
  <c r="M5" i="5" s="1"/>
  <c r="K8" i="5" l="1"/>
  <c r="K10" i="5" s="1"/>
  <c r="N10" i="2"/>
  <c r="N5" i="5" s="1"/>
  <c r="L8" i="5" l="1"/>
  <c r="L10" i="5" s="1"/>
  <c r="K11" i="5"/>
  <c r="O10" i="2"/>
  <c r="O5" i="5" s="1"/>
  <c r="M8" i="5" l="1"/>
  <c r="M10" i="5" s="1"/>
  <c r="M11" i="5" s="1"/>
  <c r="L11" i="5"/>
  <c r="P10" i="2"/>
  <c r="P5" i="5" s="1"/>
  <c r="N8" i="5" l="1"/>
  <c r="N10" i="5" s="1"/>
  <c r="Q10" i="2"/>
  <c r="Q5" i="5" s="1"/>
  <c r="O8" i="5" l="1"/>
  <c r="O10" i="5" s="1"/>
  <c r="O11" i="5" s="1"/>
  <c r="N11" i="5"/>
  <c r="R10" i="2"/>
  <c r="R5" i="5" s="1"/>
  <c r="P8" i="5" l="1"/>
  <c r="P10" i="5" s="1"/>
  <c r="S10" i="2"/>
  <c r="S5" i="5" s="1"/>
  <c r="Q8" i="5" l="1"/>
  <c r="Q10" i="5" s="1"/>
  <c r="P11" i="5"/>
  <c r="T10" i="2"/>
  <c r="T5" i="5" s="1"/>
  <c r="R8" i="5" l="1"/>
  <c r="R10" i="5" s="1"/>
  <c r="Q11" i="5"/>
  <c r="U10" i="2"/>
  <c r="S8" i="5" l="1"/>
  <c r="S10" i="5" s="1"/>
  <c r="R11" i="5"/>
  <c r="V10" i="2"/>
  <c r="U5" i="5"/>
  <c r="T8" i="5" l="1"/>
  <c r="T10" i="5" s="1"/>
  <c r="S11" i="5"/>
  <c r="W10" i="2"/>
  <c r="V5" i="5"/>
  <c r="U8" i="5" l="1"/>
  <c r="U10" i="5" s="1"/>
  <c r="T11" i="5"/>
  <c r="X10" i="2"/>
  <c r="W5" i="5"/>
  <c r="V8" i="5" l="1"/>
  <c r="V10" i="5" s="1"/>
  <c r="U11" i="5"/>
  <c r="Y10" i="2"/>
  <c r="X5" i="5"/>
  <c r="W8" i="5" l="1"/>
  <c r="W10" i="5" s="1"/>
  <c r="V11" i="5"/>
  <c r="Z10" i="2"/>
  <c r="Y5" i="5"/>
  <c r="X8" i="5" l="1"/>
  <c r="X10" i="5" s="1"/>
  <c r="X11" i="5" s="1"/>
  <c r="W11" i="5"/>
  <c r="AA10" i="2"/>
  <c r="Z5" i="5"/>
  <c r="Y8" i="5" l="1"/>
  <c r="Y10" i="5" s="1"/>
  <c r="AB10" i="2"/>
  <c r="AA5" i="5"/>
  <c r="Y11" i="5" l="1"/>
  <c r="Z8" i="5"/>
  <c r="Z10" i="5" s="1"/>
  <c r="AC10" i="2"/>
  <c r="AB5" i="5"/>
  <c r="AA8" i="5" l="1"/>
  <c r="AA10" i="5" s="1"/>
  <c r="Z11" i="5"/>
  <c r="AD10" i="2"/>
  <c r="AC5" i="5"/>
  <c r="AA11" i="5" l="1"/>
  <c r="AB8" i="5"/>
  <c r="AB10" i="5" s="1"/>
  <c r="AB11" i="5" s="1"/>
  <c r="AE10" i="2"/>
  <c r="AD5" i="5"/>
  <c r="AC8" i="5" l="1"/>
  <c r="AC10" i="5" s="1"/>
  <c r="AF10" i="2"/>
  <c r="AE5" i="5"/>
  <c r="AD8" i="5" l="1"/>
  <c r="AD10" i="5" s="1"/>
  <c r="AC11" i="5"/>
  <c r="AG10" i="2"/>
  <c r="AF5" i="5"/>
  <c r="AE8" i="5" l="1"/>
  <c r="AE10" i="5" s="1"/>
  <c r="AD11" i="5"/>
  <c r="AH10" i="2"/>
  <c r="AG5" i="5"/>
  <c r="AE11" i="5" l="1"/>
  <c r="AF8" i="5"/>
  <c r="AF10" i="5" s="1"/>
  <c r="AF11" i="5" s="1"/>
  <c r="AI10" i="2"/>
  <c r="AH5" i="5"/>
  <c r="AG8" i="5" l="1"/>
  <c r="AJ10" i="2"/>
  <c r="AI5" i="5"/>
  <c r="AG10" i="5" l="1"/>
  <c r="AK10" i="2"/>
  <c r="AJ5" i="5"/>
  <c r="AG11" i="5" l="1"/>
  <c r="AH8" i="5"/>
  <c r="AL10" i="2"/>
  <c r="AK5" i="5"/>
  <c r="AH10" i="5" l="1"/>
  <c r="AM10" i="2"/>
  <c r="AL5" i="5"/>
  <c r="AH11" i="5" l="1"/>
  <c r="AI8" i="5"/>
  <c r="AM5" i="5"/>
  <c r="AN10" i="2"/>
  <c r="AI10" i="5" l="1"/>
  <c r="AI11" i="5" s="1"/>
  <c r="AN5" i="5"/>
  <c r="AO10" i="2"/>
  <c r="AJ8" i="5" l="1"/>
  <c r="AO5" i="5"/>
  <c r="AP10" i="2"/>
  <c r="AJ10" i="5" l="1"/>
  <c r="AJ11" i="5" s="1"/>
  <c r="AP5" i="5"/>
  <c r="AQ10" i="2"/>
  <c r="AK8" i="5" l="1"/>
  <c r="AQ5" i="5"/>
  <c r="AR10" i="2"/>
  <c r="AK10" i="5" l="1"/>
  <c r="AK11" i="5" s="1"/>
  <c r="AR5" i="5"/>
  <c r="AS10" i="2"/>
  <c r="AL8" i="5" l="1"/>
  <c r="AS5" i="5"/>
  <c r="AT10" i="2"/>
  <c r="AL10" i="5" l="1"/>
  <c r="AL11" i="5" s="1"/>
  <c r="AT5" i="5"/>
  <c r="AU10" i="2"/>
  <c r="AM8" i="5" l="1"/>
  <c r="AU5" i="5"/>
  <c r="AV10" i="2"/>
  <c r="AM10" i="5" l="1"/>
  <c r="AV5" i="5"/>
  <c r="AW10" i="2"/>
  <c r="AM11" i="5" l="1"/>
  <c r="C24" i="3"/>
  <c r="AN8" i="5"/>
  <c r="AW5" i="5"/>
  <c r="AX10" i="2"/>
  <c r="AN10" i="5" l="1"/>
  <c r="AN11" i="5" s="1"/>
  <c r="AX5" i="5"/>
  <c r="AY10" i="2"/>
  <c r="AO8" i="5" l="1"/>
  <c r="AY5" i="5"/>
  <c r="AZ10" i="2"/>
  <c r="AO10" i="5" l="1"/>
  <c r="AO11" i="5" s="1"/>
  <c r="AZ5" i="5"/>
  <c r="BA10" i="2"/>
  <c r="AP8" i="5" l="1"/>
  <c r="BA5" i="5"/>
  <c r="BB10" i="2"/>
  <c r="AP10" i="5" l="1"/>
  <c r="AP11" i="5" s="1"/>
  <c r="BB5" i="5"/>
  <c r="BC10" i="2"/>
  <c r="AQ8" i="5" l="1"/>
  <c r="BC5" i="5"/>
  <c r="BD10" i="2"/>
  <c r="AQ10" i="5" l="1"/>
  <c r="AQ11" i="5" s="1"/>
  <c r="BD5" i="5"/>
  <c r="BE10" i="2"/>
  <c r="AR8" i="5" l="1"/>
  <c r="BE5" i="5"/>
  <c r="BF10" i="2"/>
  <c r="AR10" i="5" l="1"/>
  <c r="AR11" i="5" s="1"/>
  <c r="BF5" i="5"/>
  <c r="BG10" i="2"/>
  <c r="AS8" i="5" l="1"/>
  <c r="BG5" i="5"/>
  <c r="BH10" i="2"/>
  <c r="AS10" i="5" l="1"/>
  <c r="AS11" i="5" s="1"/>
  <c r="BH5" i="5"/>
  <c r="BI10" i="2"/>
  <c r="AT8" i="5" l="1"/>
  <c r="BI5" i="5"/>
  <c r="BJ10" i="2"/>
  <c r="AT10" i="5" l="1"/>
  <c r="AT11" i="5" s="1"/>
  <c r="BJ5" i="5"/>
  <c r="BK10" i="2"/>
  <c r="AU8" i="5" l="1"/>
  <c r="BK5" i="5"/>
  <c r="BL10" i="2"/>
  <c r="AU10" i="5" l="1"/>
  <c r="AU11" i="5" s="1"/>
  <c r="BL5" i="5"/>
  <c r="BM10" i="2"/>
  <c r="AV8" i="5" l="1"/>
  <c r="BM5" i="5"/>
  <c r="BN10" i="2"/>
  <c r="AV10" i="5" l="1"/>
  <c r="AV11" i="5" s="1"/>
  <c r="BN5" i="5"/>
  <c r="BO10" i="2"/>
  <c r="AW8" i="5" l="1"/>
  <c r="BO5" i="5"/>
  <c r="BP10" i="2"/>
  <c r="AW10" i="5" l="1"/>
  <c r="AW11" i="5" s="1"/>
  <c r="BP5" i="5"/>
  <c r="BQ10" i="2"/>
  <c r="AX8" i="5" l="1"/>
  <c r="BQ5" i="5"/>
  <c r="BR10" i="2"/>
  <c r="AX10" i="5" l="1"/>
  <c r="AX11" i="5" s="1"/>
  <c r="BR5" i="5"/>
  <c r="BS10" i="2"/>
  <c r="AY8" i="5" l="1"/>
  <c r="BS5" i="5"/>
  <c r="BT10" i="2"/>
  <c r="AY10" i="5" l="1"/>
  <c r="AY11" i="5" s="1"/>
  <c r="BT5" i="5"/>
  <c r="BU10" i="2"/>
  <c r="AZ8" i="5" l="1"/>
  <c r="BU5" i="5"/>
  <c r="BV10" i="2"/>
  <c r="AZ10" i="5" l="1"/>
  <c r="AZ11" i="5" s="1"/>
  <c r="BV5" i="5"/>
  <c r="BW10" i="2"/>
  <c r="BW5" i="5" s="1"/>
  <c r="BA8" i="5" l="1"/>
  <c r="BA10" i="5" l="1"/>
  <c r="BA11" i="5" s="1"/>
  <c r="BB8" i="5" l="1"/>
  <c r="BB10" i="5" l="1"/>
  <c r="BB11" i="5" s="1"/>
  <c r="BC8" i="5" l="1"/>
  <c r="BC10" i="5" l="1"/>
  <c r="BC11" i="5" s="1"/>
  <c r="BD8" i="5" l="1"/>
  <c r="BD10" i="5" l="1"/>
  <c r="BD11" i="5" s="1"/>
  <c r="BE8" i="5" l="1"/>
  <c r="BE10" i="5" l="1"/>
  <c r="BE11" i="5" s="1"/>
  <c r="BF8" i="5" l="1"/>
  <c r="BF10" i="5" l="1"/>
  <c r="BF11" i="5" s="1"/>
  <c r="BG8" i="5" l="1"/>
  <c r="BG10" i="5" l="1"/>
  <c r="BG11" i="5" s="1"/>
  <c r="BH8" i="5" l="1"/>
  <c r="BH10" i="5" l="1"/>
  <c r="BH11" i="5" s="1"/>
  <c r="BI8" i="5" l="1"/>
  <c r="BI10" i="5" l="1"/>
  <c r="BI11" i="5" s="1"/>
  <c r="BJ8" i="5" l="1"/>
  <c r="BJ10" i="5" l="1"/>
  <c r="BJ11" i="5" s="1"/>
  <c r="BK8" i="5" l="1"/>
  <c r="BK10" i="5" l="1"/>
  <c r="BK11" i="5" s="1"/>
  <c r="BL8" i="5" l="1"/>
  <c r="BL10" i="5" l="1"/>
  <c r="BL11" i="5" s="1"/>
  <c r="BM8" i="5" l="1"/>
  <c r="BM10" i="5" l="1"/>
  <c r="BM11" i="5" s="1"/>
  <c r="BN8" i="5" l="1"/>
  <c r="BN10" i="5" l="1"/>
  <c r="BN11" i="5" s="1"/>
  <c r="BO8" i="5" l="1"/>
  <c r="BO10" i="5" l="1"/>
  <c r="BO11" i="5" s="1"/>
  <c r="BP8" i="5" l="1"/>
  <c r="BP10" i="5" l="1"/>
  <c r="BP11" i="5" s="1"/>
  <c r="BQ8" i="5" l="1"/>
  <c r="BQ10" i="5" l="1"/>
  <c r="BQ11" i="5" s="1"/>
  <c r="BR8" i="5" l="1"/>
  <c r="BR10" i="5" l="1"/>
  <c r="BR11" i="5" s="1"/>
  <c r="BS8" i="5" l="1"/>
  <c r="BS10" i="5" l="1"/>
  <c r="BS11" i="5" s="1"/>
  <c r="BT8" i="5" l="1"/>
  <c r="BT10" i="5" l="1"/>
  <c r="BT11" i="5" s="1"/>
  <c r="BU8" i="5" l="1"/>
  <c r="BU10" i="5" l="1"/>
  <c r="BU11" i="5" s="1"/>
  <c r="BV8" i="5" l="1"/>
  <c r="BV10" i="5" l="1"/>
  <c r="BV11" i="5" s="1"/>
  <c r="BW8" i="5" l="1"/>
  <c r="BW10" i="5" l="1"/>
  <c r="BW11" i="5" l="1"/>
  <c r="C19" i="3" l="1"/>
  <c r="C22" i="3" s="1"/>
  <c r="C23" i="3" l="1"/>
  <c r="BW16" i="5"/>
  <c r="AH16" i="5"/>
  <c r="AA16" i="5"/>
  <c r="R16" i="5"/>
  <c r="BI16" i="5"/>
  <c r="BS16" i="5"/>
  <c r="BP16" i="5"/>
  <c r="BL16" i="5"/>
  <c r="AS16" i="5"/>
  <c r="BG16" i="5"/>
  <c r="BB16" i="5"/>
  <c r="AU16" i="5"/>
  <c r="J16" i="5"/>
  <c r="AP16" i="5"/>
  <c r="AC16" i="5"/>
  <c r="BK16" i="5"/>
  <c r="BU16" i="5"/>
  <c r="D16" i="5"/>
  <c r="D17" i="5" s="1"/>
  <c r="D20" i="5" s="1"/>
  <c r="P16" i="5"/>
  <c r="X16" i="5"/>
  <c r="U16" i="5"/>
  <c r="AW16" i="5"/>
  <c r="E16" i="5"/>
  <c r="I16" i="5"/>
  <c r="AM16" i="5"/>
  <c r="BA16" i="5"/>
  <c r="Z16" i="5"/>
  <c r="AE16" i="5"/>
  <c r="AX16" i="5"/>
  <c r="Q16" i="5"/>
  <c r="W16" i="5"/>
  <c r="M16" i="5"/>
  <c r="AB16" i="5"/>
  <c r="AF16" i="5"/>
  <c r="AR16" i="5"/>
  <c r="AK16" i="5"/>
  <c r="AT16" i="5"/>
  <c r="AN16" i="5"/>
  <c r="BT16" i="5"/>
  <c r="AI16" i="5"/>
  <c r="G16" i="5"/>
  <c r="BO16" i="5"/>
  <c r="BQ16" i="5"/>
  <c r="BC16" i="5"/>
  <c r="BN16" i="5"/>
  <c r="AD16" i="5"/>
  <c r="F16" i="5"/>
  <c r="BM16" i="5"/>
  <c r="AY16" i="5"/>
  <c r="S16" i="5"/>
  <c r="O16" i="5"/>
  <c r="BF16" i="5"/>
  <c r="BJ16" i="5"/>
  <c r="BD16" i="5"/>
  <c r="BE16" i="5"/>
  <c r="T16" i="5"/>
  <c r="AJ16" i="5"/>
  <c r="BH16" i="5"/>
  <c r="AL16" i="5"/>
  <c r="V16" i="5"/>
  <c r="N16" i="5"/>
  <c r="BV16" i="5"/>
  <c r="AO16" i="5"/>
  <c r="BR16" i="5"/>
  <c r="AZ16" i="5"/>
  <c r="K16" i="5"/>
  <c r="AG16" i="5"/>
  <c r="AV16" i="5"/>
  <c r="Y16" i="5"/>
  <c r="AQ16" i="5"/>
  <c r="D18" i="5" l="1"/>
  <c r="D19" i="5"/>
  <c r="E14" i="5"/>
  <c r="E17" i="5" l="1"/>
  <c r="E20" i="5" s="1"/>
  <c r="F14" i="5" l="1"/>
  <c r="F17" i="5" s="1"/>
  <c r="F20" i="5" s="1"/>
  <c r="E18" i="5"/>
  <c r="E19" i="5"/>
  <c r="F19" i="5" l="1"/>
  <c r="G14" i="5"/>
  <c r="G17" i="5" s="1"/>
  <c r="G20" i="5" s="1"/>
  <c r="F18" i="5"/>
  <c r="G19" i="5" l="1"/>
  <c r="H14" i="5"/>
  <c r="G18" i="5"/>
  <c r="AA5" i="3"/>
  <c r="C31" i="3" l="1"/>
  <c r="C33" i="3" s="1"/>
  <c r="H16" i="5"/>
  <c r="H17" i="5" s="1"/>
  <c r="H20" i="5" s="1"/>
  <c r="L16" i="5"/>
  <c r="C29" i="3"/>
  <c r="C32" i="3" l="1"/>
  <c r="H19" i="5"/>
  <c r="I14" i="5"/>
  <c r="H18" i="5"/>
  <c r="I17" i="5" l="1"/>
  <c r="I20" i="5" s="1"/>
  <c r="J14" i="5" l="1"/>
  <c r="J17" i="5" s="1"/>
  <c r="I19" i="5"/>
  <c r="I18" i="5"/>
  <c r="J20" i="5" l="1"/>
  <c r="J18" i="5"/>
  <c r="J19" i="5"/>
  <c r="K14" i="5"/>
  <c r="K17" i="5" l="1"/>
  <c r="K20" i="5" l="1"/>
  <c r="K18" i="5"/>
  <c r="L14" i="5"/>
  <c r="K19" i="5"/>
  <c r="L17" i="5" l="1"/>
  <c r="L20" i="5" l="1"/>
  <c r="M14" i="5"/>
  <c r="L19" i="5"/>
  <c r="L18" i="5"/>
  <c r="M17" i="5" l="1"/>
  <c r="M20" i="5" l="1"/>
  <c r="M19" i="5"/>
  <c r="N14" i="5"/>
  <c r="M18" i="5"/>
  <c r="N17" i="5" l="1"/>
  <c r="N20" i="5" l="1"/>
  <c r="N19" i="5"/>
  <c r="O14" i="5"/>
  <c r="N18" i="5"/>
  <c r="O17" i="5" l="1"/>
  <c r="O20" i="5" l="1"/>
  <c r="O18" i="5"/>
  <c r="P14" i="5"/>
  <c r="O19" i="5"/>
  <c r="P17" i="5" l="1"/>
  <c r="P20" i="5" l="1"/>
  <c r="Q14" i="5"/>
  <c r="P18" i="5"/>
  <c r="P19" i="5"/>
  <c r="Q17" i="5" l="1"/>
  <c r="Q20" i="5" l="1"/>
  <c r="Q19" i="5"/>
  <c r="R14" i="5"/>
  <c r="Q18" i="5"/>
  <c r="R17" i="5" l="1"/>
  <c r="R20" i="5" l="1"/>
  <c r="R18" i="5"/>
  <c r="R19" i="5"/>
  <c r="S14" i="5"/>
  <c r="S17" i="5" l="1"/>
  <c r="S20" i="5" l="1"/>
  <c r="T14" i="5"/>
  <c r="S19" i="5"/>
  <c r="S18" i="5"/>
  <c r="T17" i="5" l="1"/>
  <c r="T20" i="5" l="1"/>
  <c r="T18" i="5"/>
  <c r="U14" i="5"/>
  <c r="T19" i="5"/>
  <c r="U17" i="5" l="1"/>
  <c r="U20" i="5" l="1"/>
  <c r="V14" i="5"/>
  <c r="U19" i="5"/>
  <c r="U18" i="5"/>
  <c r="V17" i="5" l="1"/>
  <c r="V20" i="5" l="1"/>
  <c r="V18" i="5"/>
  <c r="V19" i="5"/>
  <c r="W14" i="5"/>
  <c r="W17" i="5" l="1"/>
  <c r="W20" i="5" l="1"/>
  <c r="X14" i="5"/>
  <c r="W19" i="5"/>
  <c r="W18" i="5"/>
  <c r="X17" i="5" l="1"/>
  <c r="X20" i="5" l="1"/>
  <c r="X18" i="5"/>
  <c r="X19" i="5"/>
  <c r="Y14" i="5"/>
  <c r="Y17" i="5" l="1"/>
  <c r="Y20" i="5" l="1"/>
  <c r="Y18" i="5"/>
  <c r="Y19" i="5"/>
  <c r="Z14" i="5"/>
  <c r="Z17" i="5" l="1"/>
  <c r="Z20" i="5" l="1"/>
  <c r="AA14" i="5"/>
  <c r="Z18" i="5"/>
  <c r="Z19" i="5"/>
  <c r="AA17" i="5" l="1"/>
  <c r="AA20" i="5" l="1"/>
  <c r="AA18" i="5"/>
  <c r="AA19" i="5"/>
  <c r="AB14" i="5"/>
  <c r="AB17" i="5" l="1"/>
  <c r="AB20" i="5" l="1"/>
  <c r="AC14" i="5"/>
  <c r="AB18" i="5"/>
  <c r="AB19" i="5"/>
  <c r="AC17" i="5" l="1"/>
  <c r="AC20" i="5" l="1"/>
  <c r="AC19" i="5"/>
  <c r="AC18" i="5"/>
  <c r="AD14" i="5"/>
  <c r="AD17" i="5" l="1"/>
  <c r="AD20" i="5" l="1"/>
  <c r="AD19" i="5"/>
  <c r="AE14" i="5"/>
  <c r="AD18" i="5"/>
  <c r="AE17" i="5" l="1"/>
  <c r="AE20" i="5" l="1"/>
  <c r="AF14" i="5"/>
  <c r="AE18" i="5"/>
  <c r="AE19" i="5"/>
  <c r="AF17" i="5" l="1"/>
  <c r="AF20" i="5" l="1"/>
  <c r="AG14" i="5"/>
  <c r="AF18" i="5"/>
  <c r="AF19" i="5"/>
  <c r="AG17" i="5" l="1"/>
  <c r="AG20" i="5" l="1"/>
  <c r="AG18" i="5"/>
  <c r="AG19" i="5"/>
  <c r="AH14" i="5"/>
  <c r="AH17" i="5" l="1"/>
  <c r="AH20" i="5" l="1"/>
  <c r="AH18" i="5"/>
  <c r="AH19" i="5"/>
  <c r="AI14" i="5"/>
  <c r="AI17" i="5" l="1"/>
  <c r="AI20" i="5" l="1"/>
  <c r="AI18" i="5"/>
  <c r="AI19" i="5"/>
  <c r="AJ14" i="5"/>
  <c r="AJ17" i="5" l="1"/>
  <c r="AJ20" i="5" l="1"/>
  <c r="AK14" i="5"/>
  <c r="AJ19" i="5"/>
  <c r="AJ18" i="5"/>
  <c r="AK17" i="5" l="1"/>
  <c r="AK20" i="5" l="1"/>
  <c r="AK18" i="5"/>
  <c r="AL14" i="5"/>
  <c r="AK19" i="5"/>
  <c r="AL17" i="5" l="1"/>
  <c r="AL20" i="5" l="1"/>
  <c r="AL18" i="5"/>
  <c r="AM14" i="5"/>
  <c r="AL19" i="5"/>
  <c r="AM17" i="5" l="1"/>
  <c r="AM20" i="5" l="1"/>
  <c r="AN14" i="5"/>
  <c r="AM19" i="5"/>
  <c r="AM18" i="5"/>
  <c r="AN17" i="5" l="1"/>
  <c r="AN20" i="5" l="1"/>
  <c r="AN19" i="5"/>
  <c r="AN18" i="5"/>
  <c r="AO14" i="5"/>
  <c r="AO17" i="5" l="1"/>
  <c r="AO20" i="5" l="1"/>
  <c r="AO19" i="5"/>
  <c r="AP14" i="5"/>
  <c r="AO18" i="5"/>
  <c r="AP17" i="5" l="1"/>
  <c r="AP20" i="5" l="1"/>
  <c r="AP18" i="5"/>
  <c r="AQ14" i="5"/>
  <c r="AP19" i="5"/>
  <c r="AQ17" i="5" l="1"/>
  <c r="AQ20" i="5" l="1"/>
  <c r="AQ19" i="5"/>
  <c r="AQ18" i="5"/>
  <c r="AR14" i="5"/>
  <c r="AR17" i="5" l="1"/>
  <c r="AR20" i="5" l="1"/>
  <c r="AR18" i="5"/>
  <c r="AS14" i="5"/>
  <c r="AR19" i="5"/>
  <c r="AS17" i="5" l="1"/>
  <c r="AS20" i="5" l="1"/>
  <c r="AS18" i="5"/>
  <c r="AT14" i="5"/>
  <c r="AS19" i="5"/>
  <c r="AT17" i="5" l="1"/>
  <c r="AT20" i="5" l="1"/>
  <c r="AU14" i="5"/>
  <c r="AT18" i="5"/>
  <c r="AT19" i="5"/>
  <c r="AU17" i="5" l="1"/>
  <c r="AU20" i="5" l="1"/>
  <c r="AU18" i="5"/>
  <c r="AU19" i="5"/>
  <c r="AV14" i="5"/>
  <c r="AV17" i="5" l="1"/>
  <c r="AV20" i="5" l="1"/>
  <c r="AV18" i="5"/>
  <c r="AV19" i="5"/>
  <c r="AW14" i="5"/>
  <c r="AW17" i="5" l="1"/>
  <c r="AW20" i="5" l="1"/>
  <c r="AW19" i="5"/>
  <c r="AW18" i="5"/>
  <c r="AX14" i="5"/>
  <c r="AX17" i="5" l="1"/>
  <c r="AX20" i="5" l="1"/>
  <c r="AX18" i="5"/>
  <c r="AY14" i="5"/>
  <c r="AX19" i="5"/>
  <c r="AY17" i="5" l="1"/>
  <c r="AY20" i="5" l="1"/>
  <c r="AZ14" i="5"/>
  <c r="AY18" i="5"/>
  <c r="AY19" i="5"/>
  <c r="AZ17" i="5" l="1"/>
  <c r="AZ20" i="5" l="1"/>
  <c r="AZ18" i="5"/>
  <c r="AZ19" i="5"/>
  <c r="BA14" i="5"/>
  <c r="BA17" i="5" l="1"/>
  <c r="BA20" i="5" l="1"/>
  <c r="BA18" i="5"/>
  <c r="BA19" i="5"/>
  <c r="BB14" i="5"/>
  <c r="BB17" i="5" l="1"/>
  <c r="BB20" i="5" l="1"/>
  <c r="BC14" i="5"/>
  <c r="BB19" i="5"/>
  <c r="BB18" i="5"/>
  <c r="BC17" i="5" l="1"/>
  <c r="BC20" i="5" l="1"/>
  <c r="BC19" i="5"/>
  <c r="BD14" i="5"/>
  <c r="BC18" i="5"/>
  <c r="BD17" i="5" l="1"/>
  <c r="BD20" i="5" l="1"/>
  <c r="BD19" i="5"/>
  <c r="BE14" i="5"/>
  <c r="BD18" i="5"/>
  <c r="BE17" i="5" l="1"/>
  <c r="BE20" i="5" l="1"/>
  <c r="BE18" i="5"/>
  <c r="BE19" i="5"/>
  <c r="BF14" i="5"/>
  <c r="BF17" i="5" l="1"/>
  <c r="BF20" i="5" l="1"/>
  <c r="BG14" i="5"/>
  <c r="BF19" i="5"/>
  <c r="BF18" i="5"/>
  <c r="BG17" i="5" l="1"/>
  <c r="BG20" i="5" l="1"/>
  <c r="BG19" i="5"/>
  <c r="BH14" i="5"/>
  <c r="BG18" i="5"/>
  <c r="BH17" i="5" l="1"/>
  <c r="BH20" i="5" l="1"/>
  <c r="BH18" i="5"/>
  <c r="BH19" i="5"/>
  <c r="BI14" i="5"/>
  <c r="BI17" i="5" l="1"/>
  <c r="BI20" i="5" l="1"/>
  <c r="BI18" i="5"/>
  <c r="BJ14" i="5"/>
  <c r="BI19" i="5"/>
  <c r="BJ17" i="5" l="1"/>
  <c r="BJ20" i="5" l="1"/>
  <c r="BJ18" i="5"/>
  <c r="BJ19" i="5"/>
  <c r="BK14" i="5"/>
  <c r="BK17" i="5" l="1"/>
  <c r="BK20" i="5" l="1"/>
  <c r="BK19" i="5"/>
  <c r="BL14" i="5"/>
  <c r="BK18" i="5"/>
  <c r="BL17" i="5" l="1"/>
  <c r="BL20" i="5" l="1"/>
  <c r="BL19" i="5"/>
  <c r="BM14" i="5"/>
  <c r="BL18" i="5"/>
  <c r="BM17" i="5" l="1"/>
  <c r="BM20" i="5" l="1"/>
  <c r="BM19" i="5"/>
  <c r="BN14" i="5"/>
  <c r="BM18" i="5"/>
  <c r="BN17" i="5" l="1"/>
  <c r="BN20" i="5" l="1"/>
  <c r="BO14" i="5"/>
  <c r="BN18" i="5"/>
  <c r="BN19" i="5"/>
  <c r="BO17" i="5" l="1"/>
  <c r="BO20" i="5" l="1"/>
  <c r="BO18" i="5"/>
  <c r="BO19" i="5"/>
  <c r="BP14" i="5"/>
  <c r="BP17" i="5" l="1"/>
  <c r="BP20" i="5" l="1"/>
  <c r="BP18" i="5"/>
  <c r="BQ14" i="5"/>
  <c r="BP19" i="5"/>
  <c r="BQ17" i="5" l="1"/>
  <c r="BQ20" i="5" l="1"/>
  <c r="BQ19" i="5"/>
  <c r="BR14" i="5"/>
  <c r="BQ18" i="5"/>
  <c r="BR17" i="5" l="1"/>
  <c r="BR20" i="5" l="1"/>
  <c r="BR18" i="5"/>
  <c r="BR19" i="5"/>
  <c r="BS14" i="5"/>
  <c r="BS17" i="5" l="1"/>
  <c r="BS20" i="5" l="1"/>
  <c r="BS18" i="5"/>
  <c r="BS19" i="5"/>
  <c r="BT14" i="5"/>
  <c r="BT17" i="5" l="1"/>
  <c r="BT20" i="5" l="1"/>
  <c r="BT19" i="5"/>
  <c r="BT18" i="5"/>
  <c r="BU14" i="5"/>
  <c r="BU17" i="5" l="1"/>
  <c r="BU20" i="5" l="1"/>
  <c r="BV14" i="5"/>
  <c r="BU18" i="5"/>
  <c r="BU19" i="5"/>
  <c r="BV17" i="5" l="1"/>
  <c r="BV20" i="5" l="1"/>
  <c r="BW14" i="5"/>
  <c r="BV18" i="5"/>
  <c r="BV19" i="5"/>
  <c r="BW17" i="5" l="1"/>
  <c r="BW20" i="5" l="1"/>
  <c r="BW19" i="5"/>
  <c r="BW18" i="5"/>
  <c r="C34" i="3" l="1"/>
  <c r="C38" i="3" s="1"/>
  <c r="C39" i="3" l="1"/>
  <c r="AT26" i="5"/>
  <c r="AI26" i="5"/>
  <c r="AR26" i="5"/>
  <c r="AC26" i="5"/>
  <c r="BQ26" i="5"/>
  <c r="BW26" i="5"/>
  <c r="AE26" i="5"/>
  <c r="AD26" i="5"/>
  <c r="X26" i="5"/>
  <c r="AO26" i="5"/>
  <c r="BO26" i="5"/>
  <c r="AH26" i="5"/>
  <c r="H26" i="5"/>
  <c r="BH26" i="5"/>
  <c r="BT26" i="5"/>
  <c r="BN26" i="5"/>
  <c r="J26" i="5"/>
  <c r="AV26" i="5"/>
  <c r="AF26" i="5"/>
  <c r="BD26" i="5"/>
  <c r="M26" i="5"/>
  <c r="AS26" i="5"/>
  <c r="AX26" i="5"/>
  <c r="BR26" i="5"/>
  <c r="G26" i="5"/>
  <c r="AM26" i="5"/>
  <c r="L26" i="5"/>
  <c r="AA26" i="5"/>
  <c r="BB26" i="5"/>
  <c r="U26" i="5"/>
  <c r="D26" i="5"/>
  <c r="D27" i="5" s="1"/>
  <c r="Y26" i="5"/>
  <c r="K26" i="5"/>
  <c r="BA26" i="5"/>
  <c r="BU26" i="5"/>
  <c r="AY26" i="5"/>
  <c r="T26" i="5"/>
  <c r="F26" i="5"/>
  <c r="AL26" i="5"/>
  <c r="BJ26" i="5"/>
  <c r="BK26" i="5"/>
  <c r="O26" i="5"/>
  <c r="P26" i="5"/>
  <c r="V26" i="5"/>
  <c r="I26" i="5"/>
  <c r="AU26" i="5"/>
  <c r="AN26" i="5"/>
  <c r="Z26" i="5"/>
  <c r="AZ26" i="5"/>
  <c r="Q26" i="5"/>
  <c r="BM26" i="5"/>
  <c r="BS26" i="5"/>
  <c r="BI26" i="5"/>
  <c r="E26" i="5"/>
  <c r="BF26" i="5"/>
  <c r="BE26" i="5"/>
  <c r="BV26" i="5"/>
  <c r="AB26" i="5"/>
  <c r="AJ26" i="5"/>
  <c r="BC26" i="5"/>
  <c r="R26" i="5"/>
  <c r="W26" i="5"/>
  <c r="S26" i="5"/>
  <c r="BP26" i="5"/>
  <c r="AP26" i="5"/>
  <c r="BG26" i="5"/>
  <c r="AW26" i="5"/>
  <c r="AK26" i="5"/>
  <c r="AG26" i="5"/>
  <c r="AQ26" i="5"/>
  <c r="BL26" i="5"/>
  <c r="N26" i="5"/>
  <c r="D30" i="5" l="1"/>
  <c r="D29" i="5"/>
  <c r="D28" i="5"/>
  <c r="E24" i="5"/>
  <c r="E27" i="5" s="1"/>
  <c r="E30" i="5" l="1"/>
  <c r="F24" i="5"/>
  <c r="F27" i="5" s="1"/>
  <c r="E28" i="5"/>
  <c r="E29" i="5"/>
  <c r="F30" i="5" l="1"/>
  <c r="F29" i="5"/>
  <c r="G24" i="5"/>
  <c r="G27" i="5" s="1"/>
  <c r="F28" i="5"/>
  <c r="G30" i="5" l="1"/>
  <c r="H24" i="5"/>
  <c r="H27" i="5" s="1"/>
  <c r="G29" i="5"/>
  <c r="G28" i="5"/>
  <c r="H30" i="5" l="1"/>
  <c r="I24" i="5"/>
  <c r="I27" i="5" s="1"/>
  <c r="H29" i="5"/>
  <c r="H28" i="5"/>
  <c r="I30" i="5" l="1"/>
  <c r="I28" i="5"/>
  <c r="I29" i="5"/>
  <c r="J24" i="5"/>
  <c r="J27" i="5" s="1"/>
  <c r="J30" i="5" l="1"/>
  <c r="J28" i="5"/>
  <c r="K24" i="5"/>
  <c r="K27" i="5" s="1"/>
  <c r="J29" i="5"/>
  <c r="K30" i="5" l="1"/>
  <c r="K28" i="5"/>
  <c r="K29" i="5"/>
  <c r="L24" i="5"/>
  <c r="L27" i="5" s="1"/>
  <c r="L30" i="5" l="1"/>
  <c r="L28" i="5"/>
  <c r="L29" i="5"/>
  <c r="M24" i="5"/>
  <c r="M27" i="5" s="1"/>
  <c r="M30" i="5" l="1"/>
  <c r="M29" i="5"/>
  <c r="M28" i="5"/>
  <c r="N24" i="5"/>
  <c r="N27" i="5" s="1"/>
  <c r="N30" i="5" l="1"/>
  <c r="N28" i="5"/>
  <c r="O24" i="5"/>
  <c r="O27" i="5" s="1"/>
  <c r="N29" i="5"/>
  <c r="O30" i="5" l="1"/>
  <c r="O28" i="5"/>
  <c r="O29" i="5"/>
  <c r="P24" i="5"/>
  <c r="P27" i="5" s="1"/>
  <c r="P30" i="5" l="1"/>
  <c r="P29" i="5"/>
  <c r="P28" i="5"/>
  <c r="Q24" i="5"/>
  <c r="Q27" i="5" s="1"/>
  <c r="Q30" i="5" l="1"/>
  <c r="Q29" i="5"/>
  <c r="R24" i="5"/>
  <c r="R27" i="5" s="1"/>
  <c r="Q28" i="5"/>
  <c r="R30" i="5" l="1"/>
  <c r="R29" i="5"/>
  <c r="S24" i="5"/>
  <c r="S27" i="5" s="1"/>
  <c r="R28" i="5"/>
  <c r="S30" i="5" l="1"/>
  <c r="S28" i="5"/>
  <c r="S29" i="5"/>
  <c r="T24" i="5"/>
  <c r="T27" i="5" s="1"/>
  <c r="T30" i="5" l="1"/>
  <c r="T28" i="5"/>
  <c r="T29" i="5"/>
  <c r="U24" i="5"/>
  <c r="U27" i="5" s="1"/>
  <c r="U30" i="5" l="1"/>
  <c r="U28" i="5"/>
  <c r="V24" i="5"/>
  <c r="V27" i="5" s="1"/>
  <c r="U29" i="5"/>
  <c r="V30" i="5" l="1"/>
  <c r="W24" i="5"/>
  <c r="W27" i="5" s="1"/>
  <c r="V28" i="5"/>
  <c r="V29" i="5"/>
  <c r="W30" i="5" l="1"/>
  <c r="W28" i="5"/>
  <c r="X24" i="5"/>
  <c r="X27" i="5" s="1"/>
  <c r="W29" i="5"/>
  <c r="X30" i="5" l="1"/>
  <c r="Y24" i="5"/>
  <c r="Y27" i="5" s="1"/>
  <c r="X29" i="5"/>
  <c r="X28" i="5"/>
  <c r="Y30" i="5" l="1"/>
  <c r="Y28" i="5"/>
  <c r="Z24" i="5"/>
  <c r="Z27" i="5" s="1"/>
  <c r="Y29" i="5"/>
  <c r="Z30" i="5" l="1"/>
  <c r="AA24" i="5"/>
  <c r="AA27" i="5" s="1"/>
  <c r="Z29" i="5"/>
  <c r="Z28" i="5"/>
  <c r="AA30" i="5" l="1"/>
  <c r="AB24" i="5"/>
  <c r="AB27" i="5" s="1"/>
  <c r="AA28" i="5"/>
  <c r="AA29" i="5"/>
  <c r="AB30" i="5" l="1"/>
  <c r="AB28" i="5"/>
  <c r="AC24" i="5"/>
  <c r="AC27" i="5" s="1"/>
  <c r="AB29" i="5"/>
  <c r="AC30" i="5" l="1"/>
  <c r="AD24" i="5"/>
  <c r="AD27" i="5" s="1"/>
  <c r="AC28" i="5"/>
  <c r="AC29" i="5"/>
  <c r="AD30" i="5" l="1"/>
  <c r="AD29" i="5"/>
  <c r="AD28" i="5"/>
  <c r="AE24" i="5"/>
  <c r="AE27" i="5" s="1"/>
  <c r="AE30" i="5" l="1"/>
  <c r="AE29" i="5"/>
  <c r="AF24" i="5"/>
  <c r="AF27" i="5" s="1"/>
  <c r="AE28" i="5"/>
  <c r="AF30" i="5" l="1"/>
  <c r="AF28" i="5"/>
  <c r="AF29" i="5"/>
  <c r="AG24" i="5"/>
  <c r="AG27" i="5" s="1"/>
  <c r="AG30" i="5" l="1"/>
  <c r="AG28" i="5"/>
  <c r="AH24" i="5"/>
  <c r="AH27" i="5" s="1"/>
  <c r="AG29" i="5"/>
  <c r="AH30" i="5" l="1"/>
  <c r="AI24" i="5"/>
  <c r="AI27" i="5" s="1"/>
  <c r="AH28" i="5"/>
  <c r="AH29" i="5"/>
  <c r="AI30" i="5" l="1"/>
  <c r="AI28" i="5"/>
  <c r="AI29" i="5"/>
  <c r="AJ24" i="5"/>
  <c r="AJ27" i="5" s="1"/>
  <c r="AJ30" i="5" l="1"/>
  <c r="AK24" i="5"/>
  <c r="AK27" i="5" s="1"/>
  <c r="AJ28" i="5"/>
  <c r="AJ29" i="5"/>
  <c r="AK30" i="5" l="1"/>
  <c r="AK29" i="5"/>
  <c r="AL24" i="5"/>
  <c r="AL27" i="5" s="1"/>
  <c r="AK28" i="5"/>
  <c r="AL30" i="5" l="1"/>
  <c r="AL28" i="5"/>
  <c r="AL29" i="5"/>
  <c r="AM24" i="5"/>
  <c r="AM27" i="5" s="1"/>
  <c r="AM30" i="5" l="1"/>
  <c r="AM29" i="5"/>
  <c r="AN24" i="5"/>
  <c r="AN27" i="5" s="1"/>
  <c r="AM28" i="5"/>
  <c r="AN30" i="5" l="1"/>
  <c r="AN29" i="5"/>
  <c r="AN28" i="5"/>
  <c r="AO24" i="5"/>
  <c r="AO27" i="5" s="1"/>
  <c r="AO30" i="5" l="1"/>
  <c r="AP24" i="5"/>
  <c r="AP27" i="5" s="1"/>
  <c r="AO28" i="5"/>
  <c r="AO29" i="5"/>
  <c r="AP30" i="5" l="1"/>
  <c r="AP28" i="5"/>
  <c r="AP29" i="5"/>
  <c r="AQ24" i="5"/>
  <c r="AQ27" i="5" s="1"/>
  <c r="AQ30" i="5" l="1"/>
  <c r="AR24" i="5"/>
  <c r="AR27" i="5" s="1"/>
  <c r="AQ28" i="5"/>
  <c r="AQ29" i="5"/>
  <c r="AR30" i="5" l="1"/>
  <c r="AR29" i="5"/>
  <c r="AS24" i="5"/>
  <c r="AS27" i="5" s="1"/>
  <c r="AR28" i="5"/>
  <c r="AS30" i="5" l="1"/>
  <c r="AS28" i="5"/>
  <c r="AT24" i="5"/>
  <c r="AT27" i="5" s="1"/>
  <c r="AS29" i="5"/>
  <c r="AT30" i="5" l="1"/>
  <c r="AU24" i="5"/>
  <c r="AU27" i="5" s="1"/>
  <c r="AT28" i="5"/>
  <c r="AT29" i="5"/>
  <c r="AU30" i="5" l="1"/>
  <c r="AU29" i="5"/>
  <c r="AU28" i="5"/>
  <c r="AV24" i="5"/>
  <c r="AV27" i="5" s="1"/>
  <c r="AV30" i="5" l="1"/>
  <c r="AW24" i="5"/>
  <c r="AW27" i="5" s="1"/>
  <c r="AV28" i="5"/>
  <c r="AV29" i="5"/>
  <c r="AW30" i="5" l="1"/>
  <c r="AW28" i="5"/>
  <c r="AW29" i="5"/>
  <c r="AX24" i="5"/>
  <c r="AX27" i="5" s="1"/>
  <c r="AX30" i="5" l="1"/>
  <c r="AX29" i="5"/>
  <c r="AY24" i="5"/>
  <c r="AY27" i="5" s="1"/>
  <c r="AX28" i="5"/>
  <c r="AY30" i="5" l="1"/>
  <c r="AY29" i="5"/>
  <c r="AZ24" i="5"/>
  <c r="AZ27" i="5" s="1"/>
  <c r="AY28" i="5"/>
  <c r="AZ30" i="5" l="1"/>
  <c r="AZ28" i="5"/>
  <c r="AZ29" i="5"/>
  <c r="BA24" i="5"/>
  <c r="BA27" i="5" s="1"/>
  <c r="BA30" i="5" l="1"/>
  <c r="BA28" i="5"/>
  <c r="BB24" i="5"/>
  <c r="BB27" i="5" s="1"/>
  <c r="BA29" i="5"/>
  <c r="BB30" i="5" l="1"/>
  <c r="BB28" i="5"/>
  <c r="BB29" i="5"/>
  <c r="BC24" i="5"/>
  <c r="BC27" i="5" s="1"/>
  <c r="BC30" i="5" l="1"/>
  <c r="BD24" i="5"/>
  <c r="BD27" i="5" s="1"/>
  <c r="BC29" i="5"/>
  <c r="BC28" i="5"/>
  <c r="BD30" i="5" l="1"/>
  <c r="BE24" i="5"/>
  <c r="BE27" i="5" s="1"/>
  <c r="BD29" i="5"/>
  <c r="BD28" i="5"/>
  <c r="BE30" i="5" l="1"/>
  <c r="BE28" i="5"/>
  <c r="BE29" i="5"/>
  <c r="BF24" i="5"/>
  <c r="BF27" i="5" s="1"/>
  <c r="BF30" i="5" l="1"/>
  <c r="BF29" i="5"/>
  <c r="BG24" i="5"/>
  <c r="BG27" i="5" s="1"/>
  <c r="BF28" i="5"/>
  <c r="BG30" i="5" l="1"/>
  <c r="BG28" i="5"/>
  <c r="BG29" i="5"/>
  <c r="BH24" i="5"/>
  <c r="BH27" i="5" s="1"/>
  <c r="BH30" i="5" l="1"/>
  <c r="BH29" i="5"/>
  <c r="BI24" i="5"/>
  <c r="BI27" i="5" s="1"/>
  <c r="BH28" i="5"/>
  <c r="BI30" i="5" l="1"/>
  <c r="BI29" i="5"/>
  <c r="BI28" i="5"/>
  <c r="BJ24" i="5"/>
  <c r="BJ27" i="5" s="1"/>
  <c r="BJ30" i="5" l="1"/>
  <c r="BK24" i="5"/>
  <c r="BK27" i="5" s="1"/>
  <c r="BJ29" i="5"/>
  <c r="BJ28" i="5"/>
  <c r="BK30" i="5" l="1"/>
  <c r="BK29" i="5"/>
  <c r="BL24" i="5"/>
  <c r="BL27" i="5" s="1"/>
  <c r="BK28" i="5"/>
  <c r="BL30" i="5" l="1"/>
  <c r="BL28" i="5"/>
  <c r="BL29" i="5"/>
  <c r="BM24" i="5"/>
  <c r="BM27" i="5" s="1"/>
  <c r="BM30" i="5" l="1"/>
  <c r="BN24" i="5"/>
  <c r="BN27" i="5" s="1"/>
  <c r="BM29" i="5"/>
  <c r="BM28" i="5"/>
  <c r="BN30" i="5" l="1"/>
  <c r="BN28" i="5"/>
  <c r="BN29" i="5"/>
  <c r="BO24" i="5"/>
  <c r="BO27" i="5" s="1"/>
  <c r="BO30" i="5" l="1"/>
  <c r="BP24" i="5"/>
  <c r="BP27" i="5" s="1"/>
  <c r="BO29" i="5"/>
  <c r="BO28" i="5"/>
  <c r="BP30" i="5" l="1"/>
  <c r="BP28" i="5"/>
  <c r="BQ24" i="5"/>
  <c r="BQ27" i="5" s="1"/>
  <c r="BP29" i="5"/>
  <c r="BQ30" i="5" l="1"/>
  <c r="BQ28" i="5"/>
  <c r="BQ29" i="5"/>
  <c r="BR24" i="5"/>
  <c r="BR27" i="5" s="1"/>
  <c r="BR30" i="5" l="1"/>
  <c r="BS24" i="5"/>
  <c r="BS27" i="5" s="1"/>
  <c r="BR29" i="5"/>
  <c r="BR28" i="5"/>
  <c r="BS30" i="5" l="1"/>
  <c r="BT24" i="5"/>
  <c r="BT27" i="5" s="1"/>
  <c r="BS28" i="5"/>
  <c r="BS29" i="5"/>
  <c r="BT30" i="5" l="1"/>
  <c r="BT28" i="5"/>
  <c r="BT29" i="5"/>
  <c r="BU24" i="5"/>
  <c r="BU27" i="5" s="1"/>
  <c r="BU30" i="5" l="1"/>
  <c r="BU28" i="5"/>
  <c r="BV24" i="5"/>
  <c r="BV27" i="5" s="1"/>
  <c r="BU29" i="5"/>
  <c r="BV30" i="5" l="1"/>
  <c r="BV28" i="5"/>
  <c r="BW24" i="5"/>
  <c r="BW27" i="5" s="1"/>
  <c r="BV29" i="5"/>
  <c r="BW30" i="5" l="1"/>
  <c r="BW28" i="5"/>
  <c r="BW29" i="5"/>
  <c r="C43" i="3" l="1"/>
  <c r="C44" i="3"/>
  <c r="C49" i="3" l="1"/>
  <c r="C48" i="3"/>
  <c r="H36" i="5" l="1"/>
  <c r="BW36" i="5"/>
  <c r="BK36" i="5"/>
  <c r="AY36" i="5"/>
  <c r="AG36" i="5"/>
  <c r="AQ36" i="5"/>
  <c r="BG36" i="5"/>
  <c r="AA36" i="5"/>
  <c r="BD36" i="5"/>
  <c r="W36" i="5"/>
  <c r="BU36" i="5"/>
  <c r="BI36" i="5"/>
  <c r="AW36" i="5"/>
  <c r="AX36" i="5"/>
  <c r="O36" i="5"/>
  <c r="D36" i="5"/>
  <c r="D37" i="5" s="1"/>
  <c r="E34" i="5" s="1"/>
  <c r="AS36" i="5"/>
  <c r="AP36" i="5"/>
  <c r="BE36" i="5"/>
  <c r="AE36" i="5"/>
  <c r="F36" i="5"/>
  <c r="BB36" i="5"/>
  <c r="BL36" i="5"/>
  <c r="R36" i="5"/>
  <c r="U36" i="5"/>
  <c r="L36" i="5"/>
  <c r="Y36" i="5"/>
  <c r="AF36" i="5"/>
  <c r="M36" i="5"/>
  <c r="BT36" i="5"/>
  <c r="AV36" i="5"/>
  <c r="I36" i="5"/>
  <c r="AB36" i="5"/>
  <c r="G36" i="5"/>
  <c r="Q36" i="5"/>
  <c r="AJ36" i="5"/>
  <c r="AH36" i="5"/>
  <c r="BA36" i="5"/>
  <c r="AO36" i="5"/>
  <c r="AC36" i="5"/>
  <c r="N36" i="5"/>
  <c r="BC36" i="5"/>
  <c r="BN36" i="5"/>
  <c r="BF36" i="5"/>
  <c r="AT36" i="5"/>
  <c r="AK36" i="5"/>
  <c r="BV36" i="5"/>
  <c r="Z36" i="5"/>
  <c r="AM36" i="5"/>
  <c r="BO36" i="5"/>
  <c r="BM36" i="5"/>
  <c r="J36" i="5"/>
  <c r="E36" i="5"/>
  <c r="T36" i="5"/>
  <c r="AD36" i="5"/>
  <c r="S36" i="5"/>
  <c r="AU36" i="5"/>
  <c r="X36" i="5"/>
  <c r="BR36" i="5"/>
  <c r="AN36" i="5"/>
  <c r="BS36" i="5"/>
  <c r="AL36" i="5"/>
  <c r="AI36" i="5"/>
  <c r="BH36" i="5"/>
  <c r="AZ36" i="5"/>
  <c r="BQ36" i="5"/>
  <c r="AR36" i="5"/>
  <c r="P36" i="5"/>
  <c r="K36" i="5"/>
  <c r="BP36" i="5"/>
  <c r="V36" i="5"/>
  <c r="BJ36" i="5"/>
  <c r="E37" i="5" l="1"/>
  <c r="E39" i="5" s="1"/>
  <c r="D38" i="5"/>
  <c r="D40" i="5"/>
  <c r="D39" i="5"/>
  <c r="E38" i="5" l="1"/>
  <c r="E40" i="5"/>
  <c r="F34" i="5"/>
  <c r="F37" i="5" s="1"/>
  <c r="F39" i="5" s="1"/>
  <c r="F40" i="5" l="1"/>
  <c r="F38" i="5"/>
  <c r="G34" i="5"/>
  <c r="G37" i="5" s="1"/>
  <c r="G38" i="5" s="1"/>
  <c r="G40" i="5" l="1"/>
  <c r="G39" i="5"/>
  <c r="H34" i="5"/>
  <c r="H37" i="5" s="1"/>
  <c r="I34" i="5" s="1"/>
  <c r="I37" i="5" s="1"/>
  <c r="H38" i="5" l="1"/>
  <c r="H39" i="5"/>
  <c r="H40" i="5"/>
  <c r="J34" i="5"/>
  <c r="J37" i="5" s="1"/>
  <c r="I39" i="5"/>
  <c r="I40" i="5"/>
  <c r="I38" i="5"/>
  <c r="K34" i="5" l="1"/>
  <c r="K37" i="5" s="1"/>
  <c r="J40" i="5"/>
  <c r="J39" i="5"/>
  <c r="J38" i="5"/>
  <c r="K38" i="5" l="1"/>
  <c r="K39" i="5"/>
  <c r="K40" i="5"/>
  <c r="L34" i="5"/>
  <c r="L37" i="5" s="1"/>
  <c r="M34" i="5" l="1"/>
  <c r="M37" i="5" s="1"/>
  <c r="L40" i="5"/>
  <c r="L39" i="5"/>
  <c r="L38" i="5"/>
  <c r="N34" i="5" l="1"/>
  <c r="N37" i="5" s="1"/>
  <c r="M39" i="5"/>
  <c r="M38" i="5"/>
  <c r="M40" i="5"/>
  <c r="O34" i="5" l="1"/>
  <c r="O37" i="5" s="1"/>
  <c r="N39" i="5"/>
  <c r="N38" i="5"/>
  <c r="N40" i="5"/>
  <c r="O40" i="5" l="1"/>
  <c r="P34" i="5"/>
  <c r="P37" i="5" s="1"/>
  <c r="O39" i="5"/>
  <c r="O38" i="5"/>
  <c r="P39" i="5" l="1"/>
  <c r="P38" i="5"/>
  <c r="P40" i="5"/>
  <c r="Q34" i="5"/>
  <c r="Q37" i="5" s="1"/>
  <c r="Q40" i="5" l="1"/>
  <c r="Q38" i="5"/>
  <c r="Q39" i="5"/>
  <c r="R34" i="5"/>
  <c r="R37" i="5" s="1"/>
  <c r="R39" i="5" l="1"/>
  <c r="R40" i="5"/>
  <c r="S34" i="5"/>
  <c r="S37" i="5" s="1"/>
  <c r="R38" i="5"/>
  <c r="S40" i="5" l="1"/>
  <c r="S39" i="5"/>
  <c r="S38" i="5"/>
  <c r="T34" i="5"/>
  <c r="T37" i="5" s="1"/>
  <c r="T39" i="5" l="1"/>
  <c r="T38" i="5"/>
  <c r="U34" i="5"/>
  <c r="U37" i="5" s="1"/>
  <c r="T40" i="5"/>
  <c r="V34" i="5" l="1"/>
  <c r="V37" i="5" s="1"/>
  <c r="U39" i="5"/>
  <c r="U38" i="5"/>
  <c r="U40" i="5"/>
  <c r="W34" i="5" l="1"/>
  <c r="W37" i="5" s="1"/>
  <c r="V38" i="5"/>
  <c r="V40" i="5"/>
  <c r="V39" i="5"/>
  <c r="X34" i="5" l="1"/>
  <c r="X37" i="5" s="1"/>
  <c r="W40" i="5"/>
  <c r="W38" i="5"/>
  <c r="W39" i="5"/>
  <c r="X40" i="5" l="1"/>
  <c r="X39" i="5"/>
  <c r="Y34" i="5"/>
  <c r="Y37" i="5" s="1"/>
  <c r="X38" i="5"/>
  <c r="Z34" i="5" l="1"/>
  <c r="Z37" i="5" s="1"/>
  <c r="Y40" i="5"/>
  <c r="Y39" i="5"/>
  <c r="Y38" i="5"/>
  <c r="Z40" i="5" l="1"/>
  <c r="AA34" i="5"/>
  <c r="AA37" i="5" s="1"/>
  <c r="Z38" i="5"/>
  <c r="Z39" i="5"/>
  <c r="AA40" i="5" l="1"/>
  <c r="AA39" i="5"/>
  <c r="AA38" i="5"/>
  <c r="AB34" i="5"/>
  <c r="AB37" i="5" s="1"/>
  <c r="AB40" i="5" l="1"/>
  <c r="AC34" i="5"/>
  <c r="AC37" i="5" s="1"/>
  <c r="AB38" i="5"/>
  <c r="AB39" i="5"/>
  <c r="AC40" i="5" l="1"/>
  <c r="AC39" i="5"/>
  <c r="AC38" i="5"/>
  <c r="AD34" i="5"/>
  <c r="AD37" i="5" s="1"/>
  <c r="AD39" i="5" l="1"/>
  <c r="AE34" i="5"/>
  <c r="AE37" i="5" s="1"/>
  <c r="AD40" i="5"/>
  <c r="AD38" i="5"/>
  <c r="AE38" i="5" l="1"/>
  <c r="AE39" i="5"/>
  <c r="AE40" i="5"/>
  <c r="AF34" i="5"/>
  <c r="AF37" i="5" s="1"/>
  <c r="AF39" i="5" l="1"/>
  <c r="AG34" i="5"/>
  <c r="AG37" i="5" s="1"/>
  <c r="AF38" i="5"/>
  <c r="AF40" i="5"/>
  <c r="AH34" i="5" l="1"/>
  <c r="AH37" i="5" s="1"/>
  <c r="AG39" i="5"/>
  <c r="AG38" i="5"/>
  <c r="AG40" i="5"/>
  <c r="AI34" i="5" l="1"/>
  <c r="AI37" i="5" s="1"/>
  <c r="AH38" i="5"/>
  <c r="AH40" i="5"/>
  <c r="AH39" i="5"/>
  <c r="AJ34" i="5" l="1"/>
  <c r="AJ37" i="5" s="1"/>
  <c r="AI39" i="5"/>
  <c r="AI38" i="5"/>
  <c r="AI40" i="5"/>
  <c r="AK34" i="5" l="1"/>
  <c r="AK37" i="5" s="1"/>
  <c r="AJ40" i="5"/>
  <c r="AJ38" i="5"/>
  <c r="AJ39" i="5"/>
  <c r="AL34" i="5" l="1"/>
  <c r="AL37" i="5" s="1"/>
  <c r="AK39" i="5"/>
  <c r="AK38" i="5"/>
  <c r="AK40" i="5"/>
  <c r="AM34" i="5" l="1"/>
  <c r="AM37" i="5" s="1"/>
  <c r="AL40" i="5"/>
  <c r="AL39" i="5"/>
  <c r="AL38" i="5"/>
  <c r="AM40" i="5" l="1"/>
  <c r="AM39" i="5"/>
  <c r="AM38" i="5"/>
  <c r="AN34" i="5"/>
  <c r="AN37" i="5" s="1"/>
  <c r="AO34" i="5" l="1"/>
  <c r="AO37" i="5" s="1"/>
  <c r="AN39" i="5"/>
  <c r="AN40" i="5"/>
  <c r="AN38" i="5"/>
  <c r="AO40" i="5" l="1"/>
  <c r="AO39" i="5"/>
  <c r="AO38" i="5"/>
  <c r="AP34" i="5"/>
  <c r="AP37" i="5" s="1"/>
  <c r="AQ34" i="5" l="1"/>
  <c r="AQ37" i="5" s="1"/>
  <c r="AP39" i="5"/>
  <c r="AP40" i="5"/>
  <c r="AP38" i="5"/>
  <c r="AQ38" i="5" l="1"/>
  <c r="AR34" i="5"/>
  <c r="AR37" i="5" s="1"/>
  <c r="AQ39" i="5"/>
  <c r="AQ40" i="5"/>
  <c r="AR40" i="5" l="1"/>
  <c r="AR39" i="5"/>
  <c r="AS34" i="5"/>
  <c r="AS37" i="5" s="1"/>
  <c r="AR38" i="5"/>
  <c r="AT34" i="5" l="1"/>
  <c r="AT37" i="5" s="1"/>
  <c r="AS39" i="5"/>
  <c r="AS38" i="5"/>
  <c r="AS40" i="5"/>
  <c r="AT39" i="5" l="1"/>
  <c r="AT38" i="5"/>
  <c r="AT40" i="5"/>
  <c r="AU34" i="5"/>
  <c r="AU37" i="5" s="1"/>
  <c r="AV34" i="5" l="1"/>
  <c r="AV37" i="5" s="1"/>
  <c r="AU40" i="5"/>
  <c r="AU39" i="5"/>
  <c r="AU38" i="5"/>
  <c r="AW34" i="5" l="1"/>
  <c r="AW37" i="5" s="1"/>
  <c r="AV39" i="5"/>
  <c r="AV40" i="5"/>
  <c r="AV38" i="5"/>
  <c r="AX34" i="5" l="1"/>
  <c r="AX37" i="5" s="1"/>
  <c r="AW39" i="5"/>
  <c r="AW38" i="5"/>
  <c r="AW40" i="5"/>
  <c r="AY34" i="5" l="1"/>
  <c r="AY37" i="5" s="1"/>
  <c r="AX38" i="5"/>
  <c r="AX40" i="5"/>
  <c r="AX39" i="5"/>
  <c r="AY40" i="5" l="1"/>
  <c r="AY39" i="5"/>
  <c r="AY38" i="5"/>
  <c r="AZ34" i="5"/>
  <c r="AZ37" i="5" s="1"/>
  <c r="BA34" i="5" l="1"/>
  <c r="BA37" i="5" s="1"/>
  <c r="AZ40" i="5"/>
  <c r="AZ39" i="5"/>
  <c r="AZ38" i="5"/>
  <c r="BA40" i="5" l="1"/>
  <c r="BB34" i="5"/>
  <c r="BB37" i="5" s="1"/>
  <c r="BA39" i="5"/>
  <c r="BA38" i="5"/>
  <c r="BC34" i="5" l="1"/>
  <c r="BC37" i="5" s="1"/>
  <c r="BB38" i="5"/>
  <c r="BB39" i="5"/>
  <c r="BB40" i="5"/>
  <c r="BC38" i="5" l="1"/>
  <c r="BD34" i="5"/>
  <c r="BD37" i="5" s="1"/>
  <c r="BC39" i="5"/>
  <c r="BC40" i="5"/>
  <c r="BE34" i="5" l="1"/>
  <c r="BE37" i="5" s="1"/>
  <c r="BD40" i="5"/>
  <c r="BD38" i="5"/>
  <c r="BD39" i="5"/>
  <c r="BF34" i="5" l="1"/>
  <c r="BF37" i="5" s="1"/>
  <c r="BE40" i="5"/>
  <c r="BE39" i="5"/>
  <c r="BE38" i="5"/>
  <c r="BF40" i="5" l="1"/>
  <c r="BG34" i="5"/>
  <c r="BG37" i="5" s="1"/>
  <c r="BF38" i="5"/>
  <c r="BF39" i="5"/>
  <c r="BH34" i="5" l="1"/>
  <c r="BH37" i="5" s="1"/>
  <c r="BG40" i="5"/>
  <c r="BG39" i="5"/>
  <c r="BG38" i="5"/>
  <c r="BI34" i="5" l="1"/>
  <c r="BI37" i="5" s="1"/>
  <c r="BH39" i="5"/>
  <c r="BH38" i="5"/>
  <c r="BH40" i="5"/>
  <c r="BJ34" i="5" l="1"/>
  <c r="BJ37" i="5" s="1"/>
  <c r="BI39" i="5"/>
  <c r="BI38" i="5"/>
  <c r="BI40" i="5"/>
  <c r="BJ40" i="5" l="1"/>
  <c r="BK34" i="5"/>
  <c r="BK37" i="5" s="1"/>
  <c r="BJ39" i="5"/>
  <c r="BJ38" i="5"/>
  <c r="BK40" i="5" l="1"/>
  <c r="BK39" i="5"/>
  <c r="BK38" i="5"/>
  <c r="BL34" i="5"/>
  <c r="BL37" i="5" s="1"/>
  <c r="BL40" i="5" l="1"/>
  <c r="BL38" i="5"/>
  <c r="BM34" i="5"/>
  <c r="BM37" i="5" s="1"/>
  <c r="BL39" i="5"/>
  <c r="BM40" i="5" l="1"/>
  <c r="BM39" i="5"/>
  <c r="BM38" i="5"/>
  <c r="BN34" i="5"/>
  <c r="BN37" i="5" s="1"/>
  <c r="BN38" i="5" l="1"/>
  <c r="BN39" i="5"/>
  <c r="BO34" i="5"/>
  <c r="BO37" i="5" s="1"/>
  <c r="BN40" i="5"/>
  <c r="BP34" i="5" l="1"/>
  <c r="BP37" i="5" s="1"/>
  <c r="BO40" i="5"/>
  <c r="BO39" i="5"/>
  <c r="BO38" i="5"/>
  <c r="BQ34" i="5" l="1"/>
  <c r="BQ37" i="5" s="1"/>
  <c r="BP40" i="5"/>
  <c r="BP38" i="5"/>
  <c r="BP39" i="5"/>
  <c r="BR34" i="5" l="1"/>
  <c r="BR37" i="5" s="1"/>
  <c r="BQ40" i="5"/>
  <c r="BQ39" i="5"/>
  <c r="BQ38" i="5"/>
  <c r="BS34" i="5" l="1"/>
  <c r="BS37" i="5" s="1"/>
  <c r="BR40" i="5"/>
  <c r="BR39" i="5"/>
  <c r="BR38" i="5"/>
  <c r="BT34" i="5" l="1"/>
  <c r="BT37" i="5" s="1"/>
  <c r="BS39" i="5"/>
  <c r="BS40" i="5"/>
  <c r="BS38" i="5"/>
  <c r="BU34" i="5" l="1"/>
  <c r="BU37" i="5" s="1"/>
  <c r="BT39" i="5"/>
  <c r="BT38" i="5"/>
  <c r="BT40" i="5"/>
  <c r="BV34" i="5" l="1"/>
  <c r="BV37" i="5" s="1"/>
  <c r="BU40" i="5"/>
  <c r="BU39" i="5"/>
  <c r="BU38" i="5"/>
  <c r="BW34" i="5" l="1"/>
  <c r="BW37" i="5" s="1"/>
  <c r="BV40" i="5"/>
  <c r="BV39" i="5"/>
  <c r="BV38" i="5"/>
  <c r="BW39" i="5" l="1"/>
  <c r="BW38" i="5"/>
  <c r="BW40" i="5"/>
  <c r="C53" i="3" l="1"/>
  <c r="C54" i="3"/>
</calcChain>
</file>

<file path=xl/sharedStrings.xml><?xml version="1.0" encoding="utf-8"?>
<sst xmlns="http://schemas.openxmlformats.org/spreadsheetml/2006/main" count="280" uniqueCount="179">
  <si>
    <t>Analysis Date</t>
  </si>
  <si>
    <t>Top Shelf</t>
  </si>
  <si>
    <t>Current Valuation ($)</t>
  </si>
  <si>
    <t>Monthly Burn Rate (Year 1) ($)</t>
  </si>
  <si>
    <t>Monthly Burn Rate (Year 2) ($)</t>
  </si>
  <si>
    <t>Monthly Burn Rate (Year 3) ($)</t>
  </si>
  <si>
    <t>Target Runway (Months)</t>
  </si>
  <si>
    <t>Beta (.80 - 1.2 with 1.2 unstable)</t>
  </si>
  <si>
    <t>Target Raise Amount</t>
  </si>
  <si>
    <t>Actual Raise Amount</t>
  </si>
  <si>
    <t>Pre-Money Runway (Months)</t>
  </si>
  <si>
    <t>Pre-Money Cash</t>
  </si>
  <si>
    <t>Dilution of the Round</t>
  </si>
  <si>
    <t>After-Money Valuation</t>
  </si>
  <si>
    <t>After-Money Cash</t>
  </si>
  <si>
    <t>After-Money Runway with Raise (Months)</t>
  </si>
  <si>
    <t>Stage of Busines</t>
  </si>
  <si>
    <t>Set up</t>
  </si>
  <si>
    <t>Monthly Burn Rate - Year 1 ($)</t>
  </si>
  <si>
    <t>Monthly Burn Rate - Year 2 ($)</t>
  </si>
  <si>
    <t>Monthly Burn Rate - Year 3 ($)</t>
  </si>
  <si>
    <t>Post-Money Situation</t>
  </si>
  <si>
    <t>Pre-Money Situation</t>
  </si>
  <si>
    <t>Pre-Money Valuation</t>
  </si>
  <si>
    <t>Pre Rev</t>
  </si>
  <si>
    <t>Shelf</t>
  </si>
  <si>
    <t>Start Fundraising By</t>
  </si>
  <si>
    <t>Starting Balance</t>
  </si>
  <si>
    <t>End Balance</t>
  </si>
  <si>
    <t>Finish Fundraising By</t>
  </si>
  <si>
    <t>Actual Raise Date</t>
  </si>
  <si>
    <t>Expenses</t>
  </si>
  <si>
    <t>Months Covered</t>
  </si>
  <si>
    <t>Positive Months</t>
  </si>
  <si>
    <t>Negative Months</t>
  </si>
  <si>
    <t>Capital Raise</t>
  </si>
  <si>
    <t>Pre Money Balances</t>
  </si>
  <si>
    <t>Typical Valuations</t>
  </si>
  <si>
    <t>Target Raise</t>
  </si>
  <si>
    <t>Detailed 
Monthly 
Burn</t>
  </si>
  <si>
    <t xml:space="preserve"> </t>
  </si>
  <si>
    <t>Cash Burn Multiplier</t>
  </si>
  <si>
    <t>Detailed Monthly Cash Burn Input</t>
  </si>
  <si>
    <t>Cash on Hand ($)</t>
  </si>
  <si>
    <t>Cash on Hand in 12 Months</t>
  </si>
  <si>
    <t>Cash on Hand in 24 Months</t>
  </si>
  <si>
    <t>Company Stage Inputs</t>
  </si>
  <si>
    <t>General inputs</t>
  </si>
  <si>
    <t>Months needed to raise capital</t>
  </si>
  <si>
    <t>Gross Revenues</t>
  </si>
  <si>
    <t>Direct to Consumer (DTC)</t>
  </si>
  <si>
    <t>Amazon</t>
  </si>
  <si>
    <t>Website</t>
  </si>
  <si>
    <t>Organic</t>
  </si>
  <si>
    <t>Wholesale</t>
  </si>
  <si>
    <t>Natural</t>
  </si>
  <si>
    <t>Grocery</t>
  </si>
  <si>
    <t>Convenience</t>
  </si>
  <si>
    <t>Food Service</t>
  </si>
  <si>
    <t>Net Revenues</t>
  </si>
  <si>
    <t>Ingredients</t>
  </si>
  <si>
    <t>Packaging</t>
  </si>
  <si>
    <t>Co-Man</t>
  </si>
  <si>
    <t>Labor</t>
  </si>
  <si>
    <t>All-Inclusive COGS</t>
  </si>
  <si>
    <t>Freight In</t>
  </si>
  <si>
    <t>Opening Inventory</t>
  </si>
  <si>
    <t>Closing Inventory</t>
  </si>
  <si>
    <t>Changes in Inventory</t>
  </si>
  <si>
    <t>Gross Margin % of Net Revenues</t>
  </si>
  <si>
    <t>Operating Expenses</t>
  </si>
  <si>
    <t>Payroll &amp; Benefits</t>
  </si>
  <si>
    <t>Distribution &amp; Fulfillment</t>
  </si>
  <si>
    <t>Sales Expenses</t>
  </si>
  <si>
    <t>Marketing Expenses</t>
  </si>
  <si>
    <t>G&amp;A</t>
  </si>
  <si>
    <t>Volume</t>
  </si>
  <si>
    <t>Average Gross Price</t>
  </si>
  <si>
    <t>Discounts &amp; Promotions (%)</t>
  </si>
  <si>
    <t>Spoilage Allowance (%)</t>
  </si>
  <si>
    <t>Discounts &amp; Promotions ($)</t>
  </si>
  <si>
    <t>Spoilage Allowance ($)</t>
  </si>
  <si>
    <t>Slotting Fees ($)</t>
  </si>
  <si>
    <t>Unit Cost of Goods Sold ($ per Unit)</t>
  </si>
  <si>
    <t>Cost of Goods Sold ($)</t>
  </si>
  <si>
    <t>Total Discounts &amp; Promo ($)</t>
  </si>
  <si>
    <t xml:space="preserve">Gross Margin </t>
  </si>
  <si>
    <t>EBITDA</t>
  </si>
  <si>
    <t>Operating Expense 3</t>
  </si>
  <si>
    <t>Operating Expense 4</t>
  </si>
  <si>
    <t>Operating Expense 5</t>
  </si>
  <si>
    <t>Operating Expense 6</t>
  </si>
  <si>
    <t>Operating Expense 7</t>
  </si>
  <si>
    <t>Operating Expense 8</t>
  </si>
  <si>
    <t>Operating Expense 9</t>
  </si>
  <si>
    <t>Operating Expense 10</t>
  </si>
  <si>
    <t>Employee 3</t>
  </si>
  <si>
    <t>Employee 4</t>
  </si>
  <si>
    <t>Employee 5</t>
  </si>
  <si>
    <t>Employee 6</t>
  </si>
  <si>
    <t>Employee 7</t>
  </si>
  <si>
    <t>Employee 8</t>
  </si>
  <si>
    <t>Employee 9</t>
  </si>
  <si>
    <t>Employee 10</t>
  </si>
  <si>
    <t>D&amp;F 2</t>
  </si>
  <si>
    <t>D&amp;F 3</t>
  </si>
  <si>
    <t>D&amp;F 4</t>
  </si>
  <si>
    <t>D&amp;F 5</t>
  </si>
  <si>
    <t>D&amp;F 6</t>
  </si>
  <si>
    <t>D&amp;F 7</t>
  </si>
  <si>
    <t>D&amp;F 8</t>
  </si>
  <si>
    <t>D&amp;F 9</t>
  </si>
  <si>
    <t>D&amp;F 10</t>
  </si>
  <si>
    <t>Sales Expense 4</t>
  </si>
  <si>
    <t>Sales Expense 5</t>
  </si>
  <si>
    <t>Sales Expense 6</t>
  </si>
  <si>
    <t>Sales Expense 7</t>
  </si>
  <si>
    <t>Sales Expense 8</t>
  </si>
  <si>
    <t>Sales Expense 9</t>
  </si>
  <si>
    <t>Sales Expense 10</t>
  </si>
  <si>
    <t>Marketing Expense 4</t>
  </si>
  <si>
    <t>Marketing Expense 5</t>
  </si>
  <si>
    <t>Marketing Expense 6</t>
  </si>
  <si>
    <t>Marketing Expense 7</t>
  </si>
  <si>
    <t>Marketing Expense 8</t>
  </si>
  <si>
    <t>Marketing Expense 9</t>
  </si>
  <si>
    <t>Marketing Expense 10</t>
  </si>
  <si>
    <t>General &amp; Adm. Expense 8</t>
  </si>
  <si>
    <t>General &amp; Adm. Expense 9</t>
  </si>
  <si>
    <t>General &amp; Adm. Expense 10</t>
  </si>
  <si>
    <t>Working Capital &amp; CAPEX</t>
  </si>
  <si>
    <t>Capital Expenditure (CAPEX)</t>
  </si>
  <si>
    <t>Cash Flow</t>
  </si>
  <si>
    <t>Changes in Receivables</t>
  </si>
  <si>
    <t>Post Money Balances</t>
  </si>
  <si>
    <t>Second Raise (Optional)</t>
  </si>
  <si>
    <t>Additional Runway (Months)</t>
  </si>
  <si>
    <t>Target 2nd Raise Amount</t>
  </si>
  <si>
    <t xml:space="preserve">2 Rounds </t>
  </si>
  <si>
    <t>Start 2nd Fundraise By</t>
  </si>
  <si>
    <t>Finish 2nd Fundraise By</t>
  </si>
  <si>
    <t>Actual 2nd Raise Date</t>
  </si>
  <si>
    <t>Actual 2nd Raise Amount</t>
  </si>
  <si>
    <t>Other Manufacturing Costs</t>
  </si>
  <si>
    <t>Operations Lead</t>
  </si>
  <si>
    <t>John C. Salary</t>
  </si>
  <si>
    <t>Warehouse rental</t>
  </si>
  <si>
    <t>Stacey East Sales</t>
  </si>
  <si>
    <t>Pablo West Sales</t>
  </si>
  <si>
    <t>Instagram Campaign</t>
  </si>
  <si>
    <t>Adwords</t>
  </si>
  <si>
    <t>Audrey (Office Manager)</t>
  </si>
  <si>
    <t>CPA</t>
  </si>
  <si>
    <t>SAAS</t>
  </si>
  <si>
    <t>Office</t>
  </si>
  <si>
    <t>Designer</t>
  </si>
  <si>
    <t>Social Media Manager Fee</t>
  </si>
  <si>
    <t>Robert Center Sales</t>
  </si>
  <si>
    <t>Q&amp;A Lead</t>
  </si>
  <si>
    <t>Founder 1</t>
  </si>
  <si>
    <t>Founder 2</t>
  </si>
  <si>
    <t>Opening AR</t>
  </si>
  <si>
    <t>Closing AR</t>
  </si>
  <si>
    <t>Third Raise (Optional)</t>
  </si>
  <si>
    <t>2nd Raise Runway (Months)</t>
  </si>
  <si>
    <t>Total Runway w/ 2nd Raise (Months)</t>
  </si>
  <si>
    <t>Start 3rd Fundraise By</t>
  </si>
  <si>
    <t>Finish 3rd Fundraise By</t>
  </si>
  <si>
    <t>Target 3rd Raise Amount</t>
  </si>
  <si>
    <t>Actual 3rd Raise Date</t>
  </si>
  <si>
    <t>Actual 3rd Raise Amount</t>
  </si>
  <si>
    <t>3rd Raise Runway (Months)</t>
  </si>
  <si>
    <t>Total Runway w/ 3rd Raise (Months)</t>
  </si>
  <si>
    <t>Capital Raise and Runway Calculator</t>
  </si>
  <si>
    <t>Typical Revenue Multiples</t>
  </si>
  <si>
    <t>N/A</t>
  </si>
  <si>
    <t>Current Yearly Revenue</t>
  </si>
  <si>
    <t>Multiple Valuation</t>
  </si>
  <si>
    <t>Current Yearly Revenue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</si>
</sst>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4" formatCode="_(&quot;$&quot;* #,##0.00_);_(&quot;$&quot;* \(#,##0.00\);_(&quot;$&quot;* &quot;-&quot;??_);_(@_)"/>
    <numFmt numFmtId="43" formatCode="_(* #,##0.00_);_(* \(#,##0.00\);_(* &quot;-&quot;??_);_(@_)"/>
    <numFmt numFmtId="164" formatCode="_(* #,##0.0_);_(* \(#,##0.0\);_(* &quot;-&quot;??_);_(@_)"/>
    <numFmt numFmtId="165" formatCode="[$-409]mmm\-yy;@"/>
    <numFmt numFmtId="166" formatCode="0.0%"/>
    <numFmt numFmtId="167" formatCode="_(&quot;$&quot;* #,##0_);_(&quot;$&quot;* \(#,##0\);_(&quot;$&quot;* &quot;-&quot;??_);_(@_)"/>
    <numFmt numFmtId="168" formatCode="_(* #,##0_);_(* \(#,##0\);_(* &quot;-&quot;??_);_(@_)"/>
    <numFmt numFmtId="169" formatCode="&quot;$&quot;#,##0"/>
    <numFmt numFmtId="170" formatCode="&quot;$&quot;#,##0.00"/>
    <numFmt numFmtId="171" formatCode="&quot;$&quot;#,##0.0"/>
  </numFmts>
  <fonts count="28"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0"/>
      <name val="Aptos Narrow"/>
      <family val="2"/>
      <scheme val="minor"/>
    </font>
    <font>
      <b/>
      <sz val="22"/>
      <color rgb="FFE4FF63"/>
      <name val="Aptos Display"/>
      <family val="2"/>
    </font>
    <font>
      <b/>
      <sz val="10"/>
      <color indexed="8"/>
      <name val="Helvetica Neue"/>
      <family val="2"/>
    </font>
    <font>
      <b/>
      <sz val="10"/>
      <color rgb="FF0070C0"/>
      <name val="Helvetica Neue"/>
      <family val="2"/>
    </font>
    <font>
      <b/>
      <sz val="10"/>
      <color indexed="8"/>
      <name val="Helvetica Neue"/>
      <family val="2"/>
    </font>
    <font>
      <sz val="10"/>
      <color indexed="8"/>
      <name val="Helvetica Neue"/>
      <family val="2"/>
    </font>
    <font>
      <b/>
      <i/>
      <sz val="16"/>
      <color theme="1"/>
      <name val="Aptos Narrow"/>
      <family val="2"/>
      <scheme val="minor"/>
    </font>
    <font>
      <b/>
      <i/>
      <sz val="11"/>
      <color theme="1"/>
      <name val="Aptos Narrow"/>
      <family val="2"/>
      <scheme val="minor"/>
    </font>
    <font>
      <sz val="10"/>
      <color theme="1"/>
      <name val="Helvetica Neue"/>
      <family val="2"/>
    </font>
    <font>
      <b/>
      <sz val="10"/>
      <color theme="1"/>
      <name val="Helvetica Neue"/>
      <family val="2"/>
    </font>
    <font>
      <sz val="8"/>
      <name val="Palatino"/>
      <family val="1"/>
    </font>
    <font>
      <b/>
      <i/>
      <u/>
      <sz val="12"/>
      <color theme="1"/>
      <name val="Aptos Narrow"/>
      <family val="2"/>
      <scheme val="minor"/>
    </font>
    <font>
      <i/>
      <sz val="8"/>
      <color theme="1"/>
      <name val="Aptos Narrow"/>
      <family val="2"/>
      <scheme val="minor"/>
    </font>
    <font>
      <sz val="8"/>
      <name val="Aptos Narrow"/>
      <family val="2"/>
      <scheme val="minor"/>
    </font>
    <font>
      <b/>
      <sz val="22"/>
      <color rgb="FFE4FF63"/>
      <name val="Aptos Narrow"/>
      <family val="2"/>
      <scheme val="minor"/>
    </font>
    <font>
      <b/>
      <sz val="11"/>
      <color rgb="FF181818"/>
      <name val="Aptos Narrow"/>
      <family val="2"/>
      <scheme val="minor"/>
    </font>
    <font>
      <sz val="11"/>
      <color rgb="FF181818"/>
      <name val="Aptos Narrow"/>
      <family val="2"/>
      <scheme val="minor"/>
    </font>
    <font>
      <i/>
      <sz val="10"/>
      <color rgb="FF181818"/>
      <name val="Aptos Narrow"/>
      <family val="2"/>
      <scheme val="minor"/>
    </font>
    <font>
      <sz val="10"/>
      <color rgb="FF181818"/>
      <name val="Aptos Narrow"/>
      <family val="2"/>
      <scheme val="minor"/>
    </font>
    <font>
      <sz val="10"/>
      <color theme="1"/>
      <name val="Aptos Narrow"/>
      <family val="2"/>
      <scheme val="minor"/>
    </font>
    <font>
      <i/>
      <sz val="11"/>
      <color rgb="FF181818"/>
      <name val="Aptos Narrow"/>
      <family val="2"/>
      <scheme val="minor"/>
    </font>
    <font>
      <i/>
      <sz val="11"/>
      <color theme="1"/>
      <name val="Aptos Narrow"/>
      <family val="2"/>
      <scheme val="minor"/>
    </font>
    <font>
      <b/>
      <sz val="10"/>
      <color theme="1"/>
      <name val="Aptos Narrow"/>
      <family val="2"/>
      <scheme val="minor"/>
    </font>
    <font>
      <b/>
      <sz val="18"/>
      <color rgb="FFE4FF63"/>
      <name val="Aptos Display"/>
      <family val="2"/>
    </font>
    <font>
      <sz val="11"/>
      <color rgb="FF000000"/>
      <name val="Aptos Narrow"/>
    </font>
  </fonts>
  <fills count="17">
    <fill>
      <patternFill patternType="none"/>
    </fill>
    <fill>
      <patternFill patternType="gray125"/>
    </fill>
    <fill>
      <patternFill patternType="solid">
        <fgColor rgb="FF1F94D1"/>
        <bgColor indexed="64"/>
      </patternFill>
    </fill>
    <fill>
      <patternFill patternType="solid">
        <fgColor rgb="FFE4FF63"/>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rgb="FFA7DDFF"/>
        <bgColor indexed="64"/>
      </patternFill>
    </fill>
    <fill>
      <patternFill patternType="solid">
        <fgColor rgb="FFD9E1F2"/>
        <bgColor indexed="64"/>
      </patternFill>
    </fill>
    <fill>
      <patternFill patternType="solid">
        <fgColor rgb="FFFFFFCC"/>
      </patternFill>
    </fill>
    <fill>
      <patternFill patternType="solid">
        <fgColor theme="4"/>
      </patternFill>
    </fill>
    <fill>
      <patternFill patternType="solid">
        <fgColor theme="4" tint="0.59999389629810485"/>
        <bgColor indexed="65"/>
      </patternFill>
    </fill>
    <fill>
      <patternFill patternType="solid">
        <fgColor theme="4" tint="0.39997558519241921"/>
        <bgColor indexed="65"/>
      </patternFill>
    </fill>
    <fill>
      <patternFill patternType="solid">
        <fgColor theme="0" tint="-0.14999847407452621"/>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rgb="FF142544"/>
        <bgColor indexed="64"/>
      </patternFill>
    </fill>
  </fills>
  <borders count="35">
    <border>
      <left/>
      <right/>
      <top/>
      <bottom/>
      <diagonal/>
    </border>
    <border>
      <left style="hair">
        <color auto="1"/>
      </left>
      <right style="hair">
        <color auto="1"/>
      </right>
      <top style="hair">
        <color auto="1"/>
      </top>
      <bottom style="hair">
        <color auto="1"/>
      </bottom>
      <diagonal/>
    </border>
    <border>
      <left style="medium">
        <color indexed="64"/>
      </left>
      <right/>
      <top style="medium">
        <color indexed="64"/>
      </top>
      <bottom style="double">
        <color auto="1"/>
      </bottom>
      <diagonal/>
    </border>
    <border>
      <left/>
      <right/>
      <top style="medium">
        <color indexed="64"/>
      </top>
      <bottom style="double">
        <color auto="1"/>
      </bottom>
      <diagonal/>
    </border>
    <border>
      <left/>
      <right style="medium">
        <color indexed="64"/>
      </right>
      <top style="medium">
        <color indexed="64"/>
      </top>
      <bottom style="double">
        <color auto="1"/>
      </bottom>
      <diagonal/>
    </border>
    <border>
      <left style="medium">
        <color indexed="64"/>
      </left>
      <right style="hair">
        <color auto="1"/>
      </right>
      <top style="hair">
        <color auto="1"/>
      </top>
      <bottom style="medium">
        <color indexed="64"/>
      </bottom>
      <diagonal/>
    </border>
    <border>
      <left style="hair">
        <color auto="1"/>
      </left>
      <right style="hair">
        <color auto="1"/>
      </right>
      <top style="hair">
        <color auto="1"/>
      </top>
      <bottom style="medium">
        <color indexed="64"/>
      </bottom>
      <diagonal/>
    </border>
    <border>
      <left style="hair">
        <color auto="1"/>
      </left>
      <right style="medium">
        <color indexed="64"/>
      </right>
      <top style="hair">
        <color auto="1"/>
      </top>
      <bottom style="medium">
        <color indexed="64"/>
      </bottom>
      <diagonal/>
    </border>
    <border>
      <left/>
      <right style="hair">
        <color auto="1"/>
      </right>
      <top/>
      <bottom/>
      <diagonal/>
    </border>
    <border>
      <left/>
      <right/>
      <top/>
      <bottom style="double">
        <color auto="1"/>
      </bottom>
      <diagonal/>
    </border>
    <border>
      <left style="medium">
        <color indexed="64"/>
      </left>
      <right/>
      <top style="medium">
        <color indexed="64"/>
      </top>
      <bottom/>
      <diagonal/>
    </border>
    <border>
      <left/>
      <right/>
      <top style="double">
        <color auto="1"/>
      </top>
      <bottom/>
      <diagonal/>
    </border>
    <border>
      <left style="medium">
        <color auto="1"/>
      </left>
      <right/>
      <top/>
      <bottom/>
      <diagonal/>
    </border>
    <border>
      <left style="medium">
        <color auto="1"/>
      </left>
      <right/>
      <top/>
      <bottom style="medium">
        <color auto="1"/>
      </bottom>
      <diagonal/>
    </border>
    <border>
      <left style="thin">
        <color rgb="FFB2B2B2"/>
      </left>
      <right style="thin">
        <color rgb="FFB2B2B2"/>
      </right>
      <top style="thin">
        <color rgb="FFB2B2B2"/>
      </top>
      <bottom style="thin">
        <color rgb="FFB2B2B2"/>
      </bottom>
      <diagonal/>
    </border>
    <border>
      <left style="medium">
        <color indexed="64"/>
      </left>
      <right style="medium">
        <color indexed="64"/>
      </right>
      <top style="medium">
        <color indexed="64"/>
      </top>
      <bottom style="medium">
        <color indexed="64"/>
      </bottom>
      <diagonal/>
    </border>
    <border>
      <left style="medium">
        <color indexed="64"/>
      </left>
      <right style="hair">
        <color indexed="64"/>
      </right>
      <top/>
      <bottom/>
      <diagonal/>
    </border>
    <border>
      <left style="hair">
        <color indexed="64"/>
      </left>
      <right style="medium">
        <color indexed="64"/>
      </right>
      <top/>
      <bottom/>
      <diagonal/>
    </border>
    <border>
      <left style="medium">
        <color indexed="64"/>
      </left>
      <right style="hair">
        <color indexed="64"/>
      </right>
      <top/>
      <bottom style="medium">
        <color indexed="64"/>
      </bottom>
      <diagonal/>
    </border>
    <border>
      <left style="hair">
        <color indexed="64"/>
      </left>
      <right style="medium">
        <color indexed="64"/>
      </right>
      <top/>
      <bottom style="medium">
        <color indexed="64"/>
      </bottom>
      <diagonal/>
    </border>
    <border>
      <left style="hair">
        <color auto="1"/>
      </left>
      <right/>
      <top/>
      <bottom/>
      <diagonal/>
    </border>
    <border>
      <left style="medium">
        <color indexed="64"/>
      </left>
      <right style="hair">
        <color auto="1"/>
      </right>
      <top style="medium">
        <color indexed="64"/>
      </top>
      <bottom style="hair">
        <color indexed="64"/>
      </bottom>
      <diagonal/>
    </border>
    <border>
      <left style="hair">
        <color auto="1"/>
      </left>
      <right style="hair">
        <color auto="1"/>
      </right>
      <top style="medium">
        <color indexed="64"/>
      </top>
      <bottom style="hair">
        <color indexed="64"/>
      </bottom>
      <diagonal/>
    </border>
    <border>
      <left style="medium">
        <color indexed="64"/>
      </left>
      <right style="hair">
        <color auto="1"/>
      </right>
      <top style="hair">
        <color indexed="64"/>
      </top>
      <bottom style="hair">
        <color indexed="64"/>
      </bottom>
      <diagonal/>
    </border>
    <border>
      <left/>
      <right/>
      <top style="medium">
        <color indexed="64"/>
      </top>
      <bottom/>
      <diagonal/>
    </border>
    <border>
      <left/>
      <right/>
      <top/>
      <bottom style="medium">
        <color indexed="64"/>
      </bottom>
      <diagonal/>
    </border>
    <border>
      <left style="medium">
        <color indexed="64"/>
      </left>
      <right style="hair">
        <color auto="1"/>
      </right>
      <top/>
      <bottom style="hair">
        <color indexed="64"/>
      </bottom>
      <diagonal/>
    </border>
    <border>
      <left style="hair">
        <color auto="1"/>
      </left>
      <right style="hair">
        <color auto="1"/>
      </right>
      <top/>
      <bottom style="hair">
        <color indexed="64"/>
      </bottom>
      <diagonal/>
    </border>
    <border>
      <left style="hair">
        <color indexed="64"/>
      </left>
      <right style="hair">
        <color indexed="64"/>
      </right>
      <top/>
      <bottom/>
      <diagonal/>
    </border>
    <border>
      <left style="hair">
        <color indexed="64"/>
      </left>
      <right style="hair">
        <color indexed="64"/>
      </right>
      <top/>
      <bottom style="medium">
        <color indexed="64"/>
      </bottom>
      <diagonal/>
    </border>
    <border>
      <left style="medium">
        <color indexed="64"/>
      </left>
      <right style="hair">
        <color indexed="64"/>
      </right>
      <top style="medium">
        <color indexed="64"/>
      </top>
      <bottom style="medium">
        <color indexed="64"/>
      </bottom>
      <diagonal/>
    </border>
    <border>
      <left style="hair">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medium">
        <color indexed="64"/>
      </left>
      <right style="hair">
        <color auto="1"/>
      </right>
      <top style="double">
        <color auto="1"/>
      </top>
      <bottom style="medium">
        <color indexed="64"/>
      </bottom>
      <diagonal/>
    </border>
    <border>
      <left style="hair">
        <color indexed="64"/>
      </left>
      <right style="hair">
        <color indexed="64"/>
      </right>
      <top style="double">
        <color auto="1"/>
      </top>
      <bottom style="medium">
        <color indexed="64"/>
      </bottom>
      <diagonal/>
    </border>
  </borders>
  <cellStyleXfs count="8">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3" fillId="10" borderId="0" applyNumberFormat="0" applyBorder="0" applyAlignment="0" applyProtection="0"/>
    <xf numFmtId="0" fontId="3" fillId="12" borderId="0" applyNumberFormat="0" applyBorder="0" applyAlignment="0" applyProtection="0"/>
    <xf numFmtId="0" fontId="13" fillId="9" borderId="14" applyNumberFormat="0" applyFont="0" applyAlignment="0" applyProtection="0"/>
    <xf numFmtId="0" fontId="1" fillId="11" borderId="0" applyNumberFormat="0" applyBorder="0" applyAlignment="0" applyProtection="0"/>
  </cellStyleXfs>
  <cellXfs count="192">
    <xf numFmtId="0" fontId="0" fillId="0" borderId="0" xfId="0"/>
    <xf numFmtId="14" fontId="11" fillId="3" borderId="1" xfId="1" applyNumberFormat="1" applyFont="1" applyFill="1" applyBorder="1" applyProtection="1">
      <protection locked="0"/>
    </xf>
    <xf numFmtId="164" fontId="11" fillId="3" borderId="1" xfId="1" applyNumberFormat="1" applyFont="1" applyFill="1" applyBorder="1" applyProtection="1">
      <protection locked="0"/>
    </xf>
    <xf numFmtId="169" fontId="11" fillId="3" borderId="1" xfId="1" applyNumberFormat="1" applyFont="1" applyFill="1" applyBorder="1" applyProtection="1">
      <protection locked="0"/>
    </xf>
    <xf numFmtId="164" fontId="11" fillId="3" borderId="1" xfId="1" applyNumberFormat="1" applyFont="1" applyFill="1" applyBorder="1" applyAlignment="1" applyProtection="1">
      <alignment horizontal="center"/>
      <protection locked="0"/>
    </xf>
    <xf numFmtId="0" fontId="0" fillId="0" borderId="10" xfId="0" applyBorder="1"/>
    <xf numFmtId="0" fontId="0" fillId="0" borderId="12" xfId="0" applyBorder="1"/>
    <xf numFmtId="0" fontId="0" fillId="0" borderId="13" xfId="0" applyBorder="1"/>
    <xf numFmtId="168" fontId="11" fillId="3" borderId="1" xfId="1" applyNumberFormat="1" applyFont="1" applyFill="1" applyBorder="1" applyProtection="1">
      <protection locked="0"/>
    </xf>
    <xf numFmtId="169" fontId="0" fillId="3" borderId="6" xfId="3" applyNumberFormat="1" applyFont="1" applyFill="1" applyBorder="1" applyAlignment="1" applyProtection="1">
      <alignment horizontal="center" vertical="center"/>
      <protection locked="0"/>
    </xf>
    <xf numFmtId="169" fontId="0" fillId="3" borderId="7" xfId="3" applyNumberFormat="1" applyFont="1" applyFill="1" applyBorder="1" applyAlignment="1" applyProtection="1">
      <alignment horizontal="center" vertical="center"/>
      <protection locked="0"/>
    </xf>
    <xf numFmtId="0" fontId="0" fillId="2" borderId="0" xfId="0" applyFill="1"/>
    <xf numFmtId="0" fontId="0" fillId="2" borderId="0" xfId="0" applyFill="1" applyAlignment="1">
      <alignment horizontal="center" vertical="center" wrapText="1"/>
    </xf>
    <xf numFmtId="17" fontId="0" fillId="0" borderId="0" xfId="0" applyNumberFormat="1"/>
    <xf numFmtId="165" fontId="2" fillId="4" borderId="2" xfId="0" applyNumberFormat="1" applyFont="1" applyFill="1" applyBorder="1" applyAlignment="1">
      <alignment horizontal="center" vertical="center" wrapText="1"/>
    </xf>
    <xf numFmtId="165" fontId="2" fillId="4" borderId="3" xfId="0" applyNumberFormat="1" applyFont="1" applyFill="1" applyBorder="1" applyAlignment="1">
      <alignment horizontal="center" vertical="center" wrapText="1"/>
    </xf>
    <xf numFmtId="165" fontId="2" fillId="4" borderId="4" xfId="0" applyNumberFormat="1" applyFont="1" applyFill="1" applyBorder="1" applyAlignment="1">
      <alignment horizontal="center" vertical="center" wrapText="1"/>
    </xf>
    <xf numFmtId="0" fontId="2" fillId="0" borderId="0" xfId="0" applyFont="1" applyAlignment="1">
      <alignment horizontal="left" wrapText="1"/>
    </xf>
    <xf numFmtId="168" fontId="0" fillId="0" borderId="0" xfId="1" applyNumberFormat="1" applyFont="1" applyFill="1" applyBorder="1" applyAlignment="1" applyProtection="1">
      <alignment horizontal="center"/>
    </xf>
    <xf numFmtId="164" fontId="0" fillId="0" borderId="0" xfId="1" applyNumberFormat="1" applyFont="1" applyFill="1" applyBorder="1" applyAlignment="1" applyProtection="1">
      <alignment horizontal="center"/>
    </xf>
    <xf numFmtId="166" fontId="0" fillId="0" borderId="0" xfId="3" applyNumberFormat="1" applyFont="1" applyFill="1" applyBorder="1" applyAlignment="1" applyProtection="1">
      <alignment horizontal="center"/>
    </xf>
    <xf numFmtId="43" fontId="0" fillId="0" borderId="0" xfId="1" applyFont="1" applyProtection="1"/>
    <xf numFmtId="165" fontId="2" fillId="0" borderId="11" xfId="0" applyNumberFormat="1" applyFont="1" applyBorder="1" applyAlignment="1">
      <alignment horizontal="center" vertical="center" wrapText="1"/>
    </xf>
    <xf numFmtId="0" fontId="2" fillId="8" borderId="9" xfId="0" applyFont="1" applyFill="1" applyBorder="1"/>
    <xf numFmtId="168" fontId="0" fillId="0" borderId="0" xfId="1" applyNumberFormat="1" applyFont="1" applyProtection="1"/>
    <xf numFmtId="0" fontId="0" fillId="0" borderId="0" xfId="0" applyAlignment="1">
      <alignment horizontal="center" vertical="center" wrapText="1"/>
    </xf>
    <xf numFmtId="0" fontId="9" fillId="7" borderId="0" xfId="0" applyFont="1" applyFill="1"/>
    <xf numFmtId="0" fontId="10" fillId="7" borderId="0" xfId="0" applyFont="1" applyFill="1"/>
    <xf numFmtId="0" fontId="8" fillId="0" borderId="8" xfId="0" applyFont="1" applyBorder="1" applyAlignment="1">
      <alignment horizontal="left" vertical="center"/>
    </xf>
    <xf numFmtId="49" fontId="8" fillId="5" borderId="8" xfId="0" applyNumberFormat="1" applyFont="1" applyFill="1" applyBorder="1" applyAlignment="1">
      <alignment vertical="center"/>
    </xf>
    <xf numFmtId="49" fontId="5" fillId="5" borderId="0" xfId="0" applyNumberFormat="1" applyFont="1" applyFill="1" applyAlignment="1">
      <alignment vertical="center"/>
    </xf>
    <xf numFmtId="164" fontId="6" fillId="5" borderId="0" xfId="1" applyNumberFormat="1" applyFont="1" applyFill="1" applyBorder="1" applyAlignment="1" applyProtection="1">
      <alignment vertical="center"/>
    </xf>
    <xf numFmtId="167" fontId="0" fillId="5" borderId="0" xfId="2" applyNumberFormat="1" applyFont="1" applyFill="1" applyBorder="1" applyAlignment="1" applyProtection="1">
      <alignment vertical="center"/>
    </xf>
    <xf numFmtId="0" fontId="0" fillId="5" borderId="0" xfId="0" applyFill="1"/>
    <xf numFmtId="0" fontId="8" fillId="5" borderId="0" xfId="0" applyFont="1" applyFill="1" applyAlignment="1">
      <alignment horizontal="left" vertical="center"/>
    </xf>
    <xf numFmtId="164" fontId="8" fillId="5" borderId="0" xfId="1" applyNumberFormat="1" applyFont="1" applyFill="1" applyBorder="1" applyAlignment="1" applyProtection="1">
      <alignment horizontal="center" vertical="center"/>
    </xf>
    <xf numFmtId="49" fontId="8" fillId="5" borderId="0" xfId="0" applyNumberFormat="1" applyFont="1" applyFill="1" applyAlignment="1">
      <alignment horizontal="left" vertical="center"/>
    </xf>
    <xf numFmtId="169" fontId="11" fillId="5" borderId="0" xfId="2" applyNumberFormat="1" applyFont="1" applyFill="1" applyBorder="1" applyAlignment="1" applyProtection="1">
      <alignment vertical="center"/>
    </xf>
    <xf numFmtId="14" fontId="11" fillId="5" borderId="0" xfId="1" applyNumberFormat="1" applyFont="1" applyFill="1" applyBorder="1" applyAlignment="1" applyProtection="1">
      <alignment vertical="center"/>
    </xf>
    <xf numFmtId="49" fontId="7" fillId="6" borderId="0" xfId="0" applyNumberFormat="1" applyFont="1" applyFill="1" applyAlignment="1">
      <alignment horizontal="left" vertical="center"/>
    </xf>
    <xf numFmtId="14" fontId="12" fillId="6" borderId="0" xfId="1" applyNumberFormat="1" applyFont="1" applyFill="1" applyBorder="1" applyAlignment="1" applyProtection="1">
      <alignment vertical="center"/>
    </xf>
    <xf numFmtId="14" fontId="0" fillId="0" borderId="0" xfId="0" applyNumberFormat="1"/>
    <xf numFmtId="0" fontId="7" fillId="6" borderId="0" xfId="0" applyFont="1" applyFill="1" applyAlignment="1">
      <alignment horizontal="left" vertical="center"/>
    </xf>
    <xf numFmtId="169" fontId="12" fillId="6" borderId="0" xfId="1" applyNumberFormat="1" applyFont="1" applyFill="1" applyBorder="1" applyProtection="1"/>
    <xf numFmtId="0" fontId="8" fillId="0" borderId="0" xfId="0" applyFont="1" applyAlignment="1">
      <alignment horizontal="left" vertical="center"/>
    </xf>
    <xf numFmtId="167" fontId="1" fillId="5" borderId="0" xfId="1" applyNumberFormat="1" applyFont="1" applyFill="1" applyBorder="1" applyProtection="1"/>
    <xf numFmtId="49" fontId="8" fillId="5" borderId="0" xfId="0" applyNumberFormat="1" applyFont="1" applyFill="1" applyAlignment="1">
      <alignment vertical="center"/>
    </xf>
    <xf numFmtId="9" fontId="11" fillId="0" borderId="0" xfId="3" applyFont="1" applyFill="1" applyBorder="1" applyAlignment="1" applyProtection="1">
      <alignment horizontal="center" vertical="center"/>
    </xf>
    <xf numFmtId="169" fontId="11" fillId="0" borderId="0" xfId="2" applyNumberFormat="1" applyFont="1" applyFill="1" applyBorder="1" applyAlignment="1" applyProtection="1">
      <alignment vertical="center"/>
    </xf>
    <xf numFmtId="168" fontId="11" fillId="0" borderId="0" xfId="1" applyNumberFormat="1" applyFont="1" applyFill="1" applyBorder="1" applyAlignment="1" applyProtection="1">
      <alignment vertical="center"/>
    </xf>
    <xf numFmtId="0" fontId="14" fillId="0" borderId="0" xfId="0" applyFont="1"/>
    <xf numFmtId="1" fontId="0" fillId="3" borderId="15" xfId="1" applyNumberFormat="1" applyFont="1" applyFill="1" applyBorder="1" applyAlignment="1" applyProtection="1">
      <alignment horizontal="center" vertical="center"/>
      <protection locked="0"/>
    </xf>
    <xf numFmtId="2" fontId="0" fillId="3" borderId="16" xfId="1" applyNumberFormat="1" applyFont="1" applyFill="1" applyBorder="1" applyAlignment="1" applyProtection="1">
      <alignment horizontal="center" vertical="center"/>
      <protection locked="0"/>
    </xf>
    <xf numFmtId="2" fontId="0" fillId="3" borderId="18" xfId="1" applyNumberFormat="1" applyFont="1" applyFill="1" applyBorder="1" applyAlignment="1" applyProtection="1">
      <alignment horizontal="center" vertical="center"/>
      <protection locked="0"/>
    </xf>
    <xf numFmtId="169" fontId="22" fillId="3" borderId="21" xfId="1" applyNumberFormat="1" applyFont="1" applyFill="1" applyBorder="1" applyAlignment="1" applyProtection="1">
      <alignment horizontal="right" vertical="center"/>
      <protection locked="0"/>
    </xf>
    <xf numFmtId="169" fontId="22" fillId="3" borderId="22" xfId="1" applyNumberFormat="1" applyFont="1" applyFill="1" applyBorder="1" applyAlignment="1" applyProtection="1">
      <alignment horizontal="right" vertical="center"/>
      <protection locked="0"/>
    </xf>
    <xf numFmtId="169" fontId="22" fillId="3" borderId="22" xfId="3" applyNumberFormat="1" applyFont="1" applyFill="1" applyBorder="1" applyAlignment="1" applyProtection="1">
      <alignment horizontal="right" vertical="center"/>
      <protection locked="0"/>
    </xf>
    <xf numFmtId="169" fontId="22" fillId="3" borderId="23" xfId="1" applyNumberFormat="1" applyFont="1" applyFill="1" applyBorder="1" applyAlignment="1" applyProtection="1">
      <alignment horizontal="right" vertical="center"/>
      <protection locked="0"/>
    </xf>
    <xf numFmtId="169" fontId="22" fillId="3" borderId="1" xfId="1" applyNumberFormat="1" applyFont="1" applyFill="1" applyBorder="1" applyAlignment="1" applyProtection="1">
      <alignment horizontal="right" vertical="center"/>
      <protection locked="0"/>
    </xf>
    <xf numFmtId="169" fontId="22" fillId="3" borderId="1" xfId="3" applyNumberFormat="1" applyFont="1" applyFill="1" applyBorder="1" applyAlignment="1" applyProtection="1">
      <alignment horizontal="right" vertical="center"/>
      <protection locked="0"/>
    </xf>
    <xf numFmtId="169" fontId="22" fillId="3" borderId="5" xfId="1" applyNumberFormat="1" applyFont="1" applyFill="1" applyBorder="1" applyAlignment="1" applyProtection="1">
      <alignment horizontal="right" vertical="center"/>
      <protection locked="0"/>
    </xf>
    <xf numFmtId="169" fontId="22" fillId="3" borderId="6" xfId="1" applyNumberFormat="1" applyFont="1" applyFill="1" applyBorder="1" applyAlignment="1" applyProtection="1">
      <alignment horizontal="right" vertical="center"/>
      <protection locked="0"/>
    </xf>
    <xf numFmtId="169" fontId="22" fillId="3" borderId="6" xfId="3" applyNumberFormat="1" applyFont="1" applyFill="1" applyBorder="1" applyAlignment="1" applyProtection="1">
      <alignment horizontal="right" vertical="center"/>
      <protection locked="0"/>
    </xf>
    <xf numFmtId="166" fontId="22" fillId="3" borderId="21" xfId="1" applyNumberFormat="1" applyFont="1" applyFill="1" applyBorder="1" applyAlignment="1" applyProtection="1">
      <alignment horizontal="right" vertical="center"/>
      <protection locked="0"/>
    </xf>
    <xf numFmtId="166" fontId="22" fillId="3" borderId="22" xfId="1" applyNumberFormat="1" applyFont="1" applyFill="1" applyBorder="1" applyAlignment="1" applyProtection="1">
      <alignment horizontal="right" vertical="center"/>
      <protection locked="0"/>
    </xf>
    <xf numFmtId="166" fontId="22" fillId="3" borderId="22" xfId="3" applyNumberFormat="1" applyFont="1" applyFill="1" applyBorder="1" applyAlignment="1" applyProtection="1">
      <alignment horizontal="right" vertical="center"/>
      <protection locked="0"/>
    </xf>
    <xf numFmtId="166" fontId="22" fillId="3" borderId="23" xfId="1" applyNumberFormat="1" applyFont="1" applyFill="1" applyBorder="1" applyAlignment="1" applyProtection="1">
      <alignment horizontal="right" vertical="center"/>
      <protection locked="0"/>
    </xf>
    <xf numFmtId="166" fontId="22" fillId="3" borderId="1" xfId="1" applyNumberFormat="1" applyFont="1" applyFill="1" applyBorder="1" applyAlignment="1" applyProtection="1">
      <alignment horizontal="right" vertical="center"/>
      <protection locked="0"/>
    </xf>
    <xf numFmtId="166" fontId="22" fillId="3" borderId="1" xfId="3" applyNumberFormat="1" applyFont="1" applyFill="1" applyBorder="1" applyAlignment="1" applyProtection="1">
      <alignment horizontal="right" vertical="center"/>
      <protection locked="0"/>
    </xf>
    <xf numFmtId="166" fontId="22" fillId="3" borderId="5" xfId="1" applyNumberFormat="1" applyFont="1" applyFill="1" applyBorder="1" applyAlignment="1" applyProtection="1">
      <alignment horizontal="right" vertical="center"/>
      <protection locked="0"/>
    </xf>
    <xf numFmtId="166" fontId="22" fillId="3" borderId="6" xfId="1" applyNumberFormat="1" applyFont="1" applyFill="1" applyBorder="1" applyAlignment="1" applyProtection="1">
      <alignment horizontal="right" vertical="center"/>
      <protection locked="0"/>
    </xf>
    <xf numFmtId="166" fontId="22" fillId="3" borderId="6" xfId="3" applyNumberFormat="1" applyFont="1" applyFill="1" applyBorder="1" applyAlignment="1" applyProtection="1">
      <alignment horizontal="right" vertical="center"/>
      <protection locked="0"/>
    </xf>
    <xf numFmtId="166" fontId="22" fillId="3" borderId="21" xfId="3" applyNumberFormat="1" applyFont="1" applyFill="1" applyBorder="1" applyAlignment="1" applyProtection="1">
      <alignment horizontal="right" vertical="center"/>
      <protection locked="0"/>
    </xf>
    <xf numFmtId="166" fontId="22" fillId="3" borderId="23" xfId="3" applyNumberFormat="1" applyFont="1" applyFill="1" applyBorder="1" applyAlignment="1" applyProtection="1">
      <alignment horizontal="right" vertical="center"/>
      <protection locked="0"/>
    </xf>
    <xf numFmtId="166" fontId="22" fillId="3" borderId="5" xfId="3" applyNumberFormat="1" applyFont="1" applyFill="1" applyBorder="1" applyAlignment="1" applyProtection="1">
      <alignment horizontal="right" vertical="center"/>
      <protection locked="0"/>
    </xf>
    <xf numFmtId="169" fontId="22" fillId="3" borderId="26" xfId="1" applyNumberFormat="1" applyFont="1" applyFill="1" applyBorder="1" applyAlignment="1" applyProtection="1">
      <alignment horizontal="right" vertical="center"/>
      <protection locked="0"/>
    </xf>
    <xf numFmtId="169" fontId="22" fillId="3" borderId="27" xfId="1" applyNumberFormat="1" applyFont="1" applyFill="1" applyBorder="1" applyAlignment="1" applyProtection="1">
      <alignment horizontal="right" vertical="center"/>
      <protection locked="0"/>
    </xf>
    <xf numFmtId="169" fontId="22" fillId="3" borderId="27" xfId="3" applyNumberFormat="1" applyFont="1" applyFill="1" applyBorder="1" applyAlignment="1" applyProtection="1">
      <alignment horizontal="right" vertical="center"/>
      <protection locked="0"/>
    </xf>
    <xf numFmtId="170" fontId="22" fillId="3" borderId="21" xfId="1" applyNumberFormat="1" applyFont="1" applyFill="1" applyBorder="1" applyAlignment="1" applyProtection="1">
      <alignment horizontal="right" vertical="center"/>
      <protection locked="0"/>
    </xf>
    <xf numFmtId="170" fontId="22" fillId="3" borderId="22" xfId="1" applyNumberFormat="1" applyFont="1" applyFill="1" applyBorder="1" applyAlignment="1" applyProtection="1">
      <alignment horizontal="right" vertical="center"/>
      <protection locked="0"/>
    </xf>
    <xf numFmtId="170" fontId="22" fillId="3" borderId="22" xfId="3" applyNumberFormat="1" applyFont="1" applyFill="1" applyBorder="1" applyAlignment="1" applyProtection="1">
      <alignment horizontal="right" vertical="center"/>
      <protection locked="0"/>
    </xf>
    <xf numFmtId="170" fontId="22" fillId="3" borderId="23" xfId="1" applyNumberFormat="1" applyFont="1" applyFill="1" applyBorder="1" applyAlignment="1" applyProtection="1">
      <alignment horizontal="right" vertical="center"/>
      <protection locked="0"/>
    </xf>
    <xf numFmtId="170" fontId="22" fillId="3" borderId="1" xfId="1" applyNumberFormat="1" applyFont="1" applyFill="1" applyBorder="1" applyAlignment="1" applyProtection="1">
      <alignment horizontal="right" vertical="center"/>
      <protection locked="0"/>
    </xf>
    <xf numFmtId="170" fontId="22" fillId="3" borderId="1" xfId="3" applyNumberFormat="1" applyFont="1" applyFill="1" applyBorder="1" applyAlignment="1" applyProtection="1">
      <alignment horizontal="right" vertical="center"/>
      <protection locked="0"/>
    </xf>
    <xf numFmtId="170" fontId="22" fillId="3" borderId="5" xfId="1" applyNumberFormat="1" applyFont="1" applyFill="1" applyBorder="1" applyAlignment="1" applyProtection="1">
      <alignment horizontal="right" vertical="center"/>
      <protection locked="0"/>
    </xf>
    <xf numFmtId="170" fontId="22" fillId="3" borderId="6" xfId="1" applyNumberFormat="1" applyFont="1" applyFill="1" applyBorder="1" applyAlignment="1" applyProtection="1">
      <alignment horizontal="right" vertical="center"/>
      <protection locked="0"/>
    </xf>
    <xf numFmtId="170" fontId="22" fillId="3" borderId="6" xfId="3" applyNumberFormat="1" applyFont="1" applyFill="1" applyBorder="1" applyAlignment="1" applyProtection="1">
      <alignment horizontal="right" vertical="center"/>
      <protection locked="0"/>
    </xf>
    <xf numFmtId="169" fontId="25" fillId="3" borderId="5" xfId="1" applyNumberFormat="1" applyFont="1" applyFill="1" applyBorder="1" applyAlignment="1" applyProtection="1">
      <alignment horizontal="right" vertical="center"/>
      <protection locked="0"/>
    </xf>
    <xf numFmtId="169" fontId="25" fillId="3" borderId="6" xfId="1" applyNumberFormat="1" applyFont="1" applyFill="1" applyBorder="1" applyAlignment="1" applyProtection="1">
      <alignment horizontal="right" vertical="center"/>
      <protection locked="0"/>
    </xf>
    <xf numFmtId="169" fontId="25" fillId="3" borderId="6" xfId="3" applyNumberFormat="1" applyFont="1" applyFill="1" applyBorder="1" applyAlignment="1" applyProtection="1">
      <alignment horizontal="right" vertical="center"/>
      <protection locked="0"/>
    </xf>
    <xf numFmtId="169" fontId="2" fillId="3" borderId="5" xfId="1" applyNumberFormat="1" applyFont="1" applyFill="1" applyBorder="1" applyAlignment="1" applyProtection="1">
      <alignment horizontal="right" vertical="center"/>
      <protection locked="0"/>
    </xf>
    <xf numFmtId="169" fontId="2" fillId="3" borderId="6" xfId="1" applyNumberFormat="1" applyFont="1" applyFill="1" applyBorder="1" applyAlignment="1" applyProtection="1">
      <alignment horizontal="right" vertical="center"/>
      <protection locked="0"/>
    </xf>
    <xf numFmtId="169" fontId="2" fillId="3" borderId="6" xfId="3" applyNumberFormat="1" applyFont="1" applyFill="1" applyBorder="1" applyAlignment="1" applyProtection="1">
      <alignment horizontal="right" vertical="center"/>
      <protection locked="0"/>
    </xf>
    <xf numFmtId="168" fontId="0" fillId="0" borderId="0" xfId="1" applyNumberFormat="1" applyFont="1" applyFill="1" applyBorder="1" applyAlignment="1" applyProtection="1">
      <alignment horizontal="right" vertical="center"/>
    </xf>
    <xf numFmtId="164" fontId="0" fillId="0" borderId="0" xfId="1" applyNumberFormat="1" applyFont="1" applyFill="1" applyBorder="1" applyAlignment="1" applyProtection="1">
      <alignment horizontal="right" vertical="center"/>
    </xf>
    <xf numFmtId="166" fontId="0" fillId="0" borderId="0" xfId="3" applyNumberFormat="1" applyFont="1" applyFill="1" applyBorder="1" applyAlignment="1" applyProtection="1">
      <alignment horizontal="right" vertical="center"/>
    </xf>
    <xf numFmtId="169" fontId="2" fillId="0" borderId="0" xfId="1" applyNumberFormat="1" applyFont="1" applyFill="1" applyBorder="1" applyAlignment="1" applyProtection="1">
      <alignment horizontal="right" vertical="center"/>
    </xf>
    <xf numFmtId="169" fontId="2" fillId="0" borderId="0" xfId="3" applyNumberFormat="1" applyFont="1" applyFill="1" applyBorder="1" applyAlignment="1" applyProtection="1">
      <alignment horizontal="right" vertical="center"/>
    </xf>
    <xf numFmtId="166" fontId="24" fillId="6" borderId="0" xfId="3" applyNumberFormat="1" applyFont="1" applyFill="1" applyBorder="1" applyAlignment="1" applyProtection="1">
      <alignment horizontal="right" vertical="center"/>
    </xf>
    <xf numFmtId="171" fontId="0" fillId="0" borderId="0" xfId="1" applyNumberFormat="1" applyFont="1" applyFill="1" applyBorder="1" applyAlignment="1" applyProtection="1">
      <alignment horizontal="right" vertical="center"/>
    </xf>
    <xf numFmtId="9" fontId="24" fillId="6" borderId="0" xfId="3" applyFont="1" applyFill="1" applyBorder="1" applyAlignment="1" applyProtection="1">
      <alignment horizontal="right" vertical="center"/>
    </xf>
    <xf numFmtId="169" fontId="2" fillId="0" borderId="9" xfId="1" applyNumberFormat="1" applyFont="1" applyFill="1" applyBorder="1" applyAlignment="1" applyProtection="1">
      <alignment horizontal="right" vertical="center"/>
    </xf>
    <xf numFmtId="169" fontId="2" fillId="0" borderId="9" xfId="3" applyNumberFormat="1" applyFont="1" applyFill="1" applyBorder="1" applyAlignment="1" applyProtection="1">
      <alignment horizontal="right" vertical="center"/>
    </xf>
    <xf numFmtId="168" fontId="0" fillId="13" borderId="0" xfId="1" applyNumberFormat="1" applyFont="1" applyFill="1" applyBorder="1" applyAlignment="1" applyProtection="1">
      <alignment horizontal="right" vertical="center"/>
    </xf>
    <xf numFmtId="164" fontId="0" fillId="13" borderId="0" xfId="1" applyNumberFormat="1" applyFont="1" applyFill="1" applyBorder="1" applyAlignment="1" applyProtection="1">
      <alignment horizontal="right" vertical="center"/>
    </xf>
    <xf numFmtId="166" fontId="0" fillId="13" borderId="0" xfId="3" applyNumberFormat="1" applyFont="1" applyFill="1" applyBorder="1" applyAlignment="1" applyProtection="1">
      <alignment horizontal="right" vertical="center"/>
    </xf>
    <xf numFmtId="169" fontId="0" fillId="0" borderId="0" xfId="1" applyNumberFormat="1" applyFont="1" applyFill="1" applyBorder="1" applyAlignment="1" applyProtection="1">
      <alignment horizontal="right" vertical="center"/>
    </xf>
    <xf numFmtId="169" fontId="1" fillId="0" borderId="0" xfId="1" applyNumberFormat="1" applyFont="1" applyFill="1" applyBorder="1" applyAlignment="1" applyProtection="1">
      <alignment horizontal="right" vertical="center"/>
    </xf>
    <xf numFmtId="169" fontId="2" fillId="14" borderId="9" xfId="1" applyNumberFormat="1" applyFont="1" applyFill="1" applyBorder="1" applyAlignment="1" applyProtection="1">
      <alignment horizontal="right" vertical="center"/>
    </xf>
    <xf numFmtId="49" fontId="7" fillId="13" borderId="0" xfId="0" applyNumberFormat="1" applyFont="1" applyFill="1" applyAlignment="1">
      <alignment horizontal="left" vertical="center"/>
    </xf>
    <xf numFmtId="49" fontId="7" fillId="13" borderId="0" xfId="0" applyNumberFormat="1" applyFont="1" applyFill="1" applyAlignment="1">
      <alignment vertical="center"/>
    </xf>
    <xf numFmtId="168" fontId="22" fillId="3" borderId="21" xfId="1" applyNumberFormat="1" applyFont="1" applyFill="1" applyBorder="1" applyAlignment="1" applyProtection="1">
      <alignment horizontal="right" vertical="center"/>
      <protection locked="0"/>
    </xf>
    <xf numFmtId="168" fontId="22" fillId="3" borderId="22" xfId="1" applyNumberFormat="1" applyFont="1" applyFill="1" applyBorder="1" applyAlignment="1" applyProtection="1">
      <alignment horizontal="right" vertical="center"/>
      <protection locked="0"/>
    </xf>
    <xf numFmtId="168" fontId="22" fillId="3" borderId="23" xfId="1" applyNumberFormat="1" applyFont="1" applyFill="1" applyBorder="1" applyAlignment="1" applyProtection="1">
      <alignment horizontal="right" vertical="center"/>
      <protection locked="0"/>
    </xf>
    <xf numFmtId="168" fontId="22" fillId="3" borderId="1" xfId="1" applyNumberFormat="1" applyFont="1" applyFill="1" applyBorder="1" applyAlignment="1" applyProtection="1">
      <alignment horizontal="right" vertical="center"/>
      <protection locked="0"/>
    </xf>
    <xf numFmtId="168" fontId="22" fillId="3" borderId="5" xfId="1" applyNumberFormat="1" applyFont="1" applyFill="1" applyBorder="1" applyAlignment="1" applyProtection="1">
      <alignment horizontal="right" vertical="center"/>
      <protection locked="0"/>
    </xf>
    <xf numFmtId="168" fontId="22" fillId="3" borderId="6" xfId="1" applyNumberFormat="1" applyFont="1" applyFill="1" applyBorder="1" applyAlignment="1" applyProtection="1">
      <alignment horizontal="right" vertical="center"/>
      <protection locked="0"/>
    </xf>
    <xf numFmtId="170" fontId="24" fillId="6" borderId="0" xfId="1" applyNumberFormat="1" applyFont="1" applyFill="1" applyBorder="1" applyAlignment="1" applyProtection="1">
      <alignment horizontal="right" vertical="center"/>
    </xf>
    <xf numFmtId="170" fontId="24" fillId="6" borderId="0" xfId="3" applyNumberFormat="1" applyFont="1" applyFill="1" applyBorder="1" applyAlignment="1" applyProtection="1">
      <alignment horizontal="right" vertical="center"/>
    </xf>
    <xf numFmtId="14" fontId="11" fillId="0" borderId="1" xfId="1" applyNumberFormat="1" applyFont="1" applyFill="1" applyBorder="1" applyProtection="1"/>
    <xf numFmtId="14" fontId="12" fillId="13" borderId="1" xfId="1" applyNumberFormat="1" applyFont="1" applyFill="1" applyBorder="1" applyProtection="1"/>
    <xf numFmtId="168" fontId="12" fillId="13" borderId="1" xfId="1" applyNumberFormat="1" applyFont="1" applyFill="1" applyBorder="1" applyProtection="1"/>
    <xf numFmtId="0" fontId="4" fillId="0" borderId="0" xfId="0" applyFont="1" applyAlignment="1">
      <alignment horizontal="left" vertical="center" wrapText="1"/>
    </xf>
    <xf numFmtId="0" fontId="17" fillId="0" borderId="0" xfId="0" applyFont="1" applyAlignment="1">
      <alignment horizontal="left" vertical="center" wrapText="1"/>
    </xf>
    <xf numFmtId="0" fontId="18" fillId="0" borderId="0" xfId="0" applyFont="1" applyAlignment="1">
      <alignment vertical="center" wrapText="1"/>
    </xf>
    <xf numFmtId="0" fontId="0" fillId="0" borderId="0" xfId="0" applyAlignment="1">
      <alignment vertical="center"/>
    </xf>
    <xf numFmtId="0" fontId="21" fillId="0" borderId="0" xfId="0" applyFont="1" applyAlignment="1">
      <alignment horizontal="left" vertical="center" wrapText="1" indent="1"/>
    </xf>
    <xf numFmtId="0" fontId="22" fillId="0" borderId="0" xfId="0" applyFont="1" applyAlignment="1">
      <alignment vertical="center"/>
    </xf>
    <xf numFmtId="0" fontId="19" fillId="0" borderId="0" xfId="0" applyFont="1" applyAlignment="1">
      <alignment vertical="center" wrapText="1"/>
    </xf>
    <xf numFmtId="0" fontId="23" fillId="6" borderId="0" xfId="0" applyFont="1" applyFill="1" applyAlignment="1">
      <alignment vertical="center" wrapText="1"/>
    </xf>
    <xf numFmtId="169" fontId="22" fillId="6" borderId="10" xfId="1" applyNumberFormat="1" applyFont="1" applyFill="1" applyBorder="1" applyAlignment="1" applyProtection="1">
      <alignment horizontal="right" vertical="center"/>
    </xf>
    <xf numFmtId="169" fontId="22" fillId="6" borderId="24" xfId="1" applyNumberFormat="1" applyFont="1" applyFill="1" applyBorder="1" applyAlignment="1" applyProtection="1">
      <alignment horizontal="right" vertical="center"/>
    </xf>
    <xf numFmtId="169" fontId="22" fillId="6" borderId="12" xfId="1" applyNumberFormat="1" applyFont="1" applyFill="1" applyBorder="1" applyAlignment="1" applyProtection="1">
      <alignment horizontal="right" vertical="center"/>
    </xf>
    <xf numFmtId="169" fontId="22" fillId="6" borderId="0" xfId="1" applyNumberFormat="1" applyFont="1" applyFill="1" applyBorder="1" applyAlignment="1" applyProtection="1">
      <alignment horizontal="right" vertical="center"/>
    </xf>
    <xf numFmtId="169" fontId="22" fillId="6" borderId="13" xfId="1" applyNumberFormat="1" applyFont="1" applyFill="1" applyBorder="1" applyAlignment="1" applyProtection="1">
      <alignment horizontal="right" vertical="center"/>
    </xf>
    <xf numFmtId="169" fontId="22" fillId="6" borderId="25" xfId="1" applyNumberFormat="1" applyFont="1" applyFill="1" applyBorder="1" applyAlignment="1" applyProtection="1">
      <alignment horizontal="right" vertical="center"/>
    </xf>
    <xf numFmtId="171" fontId="22" fillId="6" borderId="21" xfId="1" applyNumberFormat="1" applyFont="1" applyFill="1" applyBorder="1" applyAlignment="1" applyProtection="1">
      <alignment horizontal="right" vertical="center"/>
    </xf>
    <xf numFmtId="171" fontId="22" fillId="6" borderId="22" xfId="1" applyNumberFormat="1" applyFont="1" applyFill="1" applyBorder="1" applyAlignment="1" applyProtection="1">
      <alignment horizontal="right" vertical="center"/>
    </xf>
    <xf numFmtId="171" fontId="22" fillId="6" borderId="22" xfId="3" applyNumberFormat="1" applyFont="1" applyFill="1" applyBorder="1" applyAlignment="1" applyProtection="1">
      <alignment horizontal="right" vertical="center"/>
    </xf>
    <xf numFmtId="171" fontId="22" fillId="6" borderId="23" xfId="1" applyNumberFormat="1" applyFont="1" applyFill="1" applyBorder="1" applyAlignment="1" applyProtection="1">
      <alignment horizontal="right" vertical="center"/>
    </xf>
    <xf numFmtId="171" fontId="22" fillId="6" borderId="1" xfId="1" applyNumberFormat="1" applyFont="1" applyFill="1" applyBorder="1" applyAlignment="1" applyProtection="1">
      <alignment horizontal="right" vertical="center"/>
    </xf>
    <xf numFmtId="171" fontId="22" fillId="6" borderId="1" xfId="3" applyNumberFormat="1" applyFont="1" applyFill="1" applyBorder="1" applyAlignment="1" applyProtection="1">
      <alignment horizontal="right" vertical="center"/>
    </xf>
    <xf numFmtId="171" fontId="22" fillId="6" borderId="5" xfId="1" applyNumberFormat="1" applyFont="1" applyFill="1" applyBorder="1" applyAlignment="1" applyProtection="1">
      <alignment horizontal="right" vertical="center"/>
    </xf>
    <xf numFmtId="171" fontId="22" fillId="6" borderId="6" xfId="1" applyNumberFormat="1" applyFont="1" applyFill="1" applyBorder="1" applyAlignment="1" applyProtection="1">
      <alignment horizontal="right" vertical="center"/>
    </xf>
    <xf numFmtId="171" fontId="22" fillId="6" borderId="6" xfId="3" applyNumberFormat="1" applyFont="1" applyFill="1" applyBorder="1" applyAlignment="1" applyProtection="1">
      <alignment horizontal="right" vertical="center"/>
    </xf>
    <xf numFmtId="169" fontId="22" fillId="6" borderId="21" xfId="1" applyNumberFormat="1" applyFont="1" applyFill="1" applyBorder="1" applyAlignment="1" applyProtection="1">
      <alignment horizontal="right" vertical="center"/>
    </xf>
    <xf numFmtId="169" fontId="22" fillId="6" borderId="22" xfId="1" applyNumberFormat="1" applyFont="1" applyFill="1" applyBorder="1" applyAlignment="1" applyProtection="1">
      <alignment horizontal="right" vertical="center"/>
    </xf>
    <xf numFmtId="169" fontId="22" fillId="6" borderId="22" xfId="3" applyNumberFormat="1" applyFont="1" applyFill="1" applyBorder="1" applyAlignment="1" applyProtection="1">
      <alignment horizontal="right" vertical="center"/>
    </xf>
    <xf numFmtId="169" fontId="22" fillId="6" borderId="23" xfId="1" applyNumberFormat="1" applyFont="1" applyFill="1" applyBorder="1" applyAlignment="1" applyProtection="1">
      <alignment horizontal="right" vertical="center"/>
    </xf>
    <xf numFmtId="169" fontId="22" fillId="6" borderId="1" xfId="1" applyNumberFormat="1" applyFont="1" applyFill="1" applyBorder="1" applyAlignment="1" applyProtection="1">
      <alignment horizontal="right" vertical="center"/>
    </xf>
    <xf numFmtId="169" fontId="22" fillId="6" borderId="1" xfId="3" applyNumberFormat="1" applyFont="1" applyFill="1" applyBorder="1" applyAlignment="1" applyProtection="1">
      <alignment horizontal="right" vertical="center"/>
    </xf>
    <xf numFmtId="169" fontId="22" fillId="6" borderId="5" xfId="1" applyNumberFormat="1" applyFont="1" applyFill="1" applyBorder="1" applyAlignment="1" applyProtection="1">
      <alignment horizontal="right" vertical="center"/>
    </xf>
    <xf numFmtId="169" fontId="22" fillId="6" borderId="6" xfId="1" applyNumberFormat="1" applyFont="1" applyFill="1" applyBorder="1" applyAlignment="1" applyProtection="1">
      <alignment horizontal="right" vertical="center"/>
    </xf>
    <xf numFmtId="169" fontId="22" fillId="6" borderId="6" xfId="3" applyNumberFormat="1" applyFont="1" applyFill="1" applyBorder="1" applyAlignment="1" applyProtection="1">
      <alignment horizontal="right" vertical="center"/>
    </xf>
    <xf numFmtId="0" fontId="18" fillId="0" borderId="9" xfId="0" applyFont="1" applyBorder="1" applyAlignment="1">
      <alignment vertical="center" wrapText="1"/>
    </xf>
    <xf numFmtId="0" fontId="21" fillId="0" borderId="0" xfId="0" applyFont="1" applyAlignment="1">
      <alignment horizontal="left" vertical="center" wrapText="1"/>
    </xf>
    <xf numFmtId="169" fontId="0" fillId="0" borderId="0" xfId="0" applyNumberFormat="1" applyAlignment="1">
      <alignment horizontal="right" vertical="center"/>
    </xf>
    <xf numFmtId="169" fontId="2" fillId="0" borderId="9" xfId="0" applyNumberFormat="1" applyFont="1" applyBorder="1" applyAlignment="1">
      <alignment horizontal="right" vertical="center"/>
    </xf>
    <xf numFmtId="166" fontId="24" fillId="6" borderId="0" xfId="3" applyNumberFormat="1" applyFont="1" applyFill="1" applyAlignment="1" applyProtection="1">
      <alignment horizontal="right" vertical="center"/>
    </xf>
    <xf numFmtId="166" fontId="0" fillId="0" borderId="0" xfId="3" applyNumberFormat="1" applyFont="1" applyAlignment="1" applyProtection="1">
      <alignment horizontal="right" vertical="center"/>
    </xf>
    <xf numFmtId="0" fontId="20" fillId="6" borderId="0" xfId="0" applyFont="1" applyFill="1" applyAlignment="1">
      <alignment horizontal="left" vertical="center" wrapText="1" indent="1"/>
    </xf>
    <xf numFmtId="0" fontId="2" fillId="0" borderId="9" xfId="0" applyFont="1" applyBorder="1" applyAlignment="1">
      <alignment horizontal="left" vertical="center" wrapText="1"/>
    </xf>
    <xf numFmtId="0" fontId="2" fillId="0" borderId="0" xfId="0" applyFont="1" applyAlignment="1">
      <alignment horizontal="left" vertical="center" wrapText="1"/>
    </xf>
    <xf numFmtId="0" fontId="2" fillId="13" borderId="0" xfId="0" applyFont="1" applyFill="1" applyAlignment="1">
      <alignment horizontal="left" vertical="center" wrapText="1"/>
    </xf>
    <xf numFmtId="169" fontId="2" fillId="5" borderId="25" xfId="1" applyNumberFormat="1" applyFont="1" applyFill="1" applyBorder="1" applyAlignment="1" applyProtection="1">
      <alignment horizontal="right" vertical="center"/>
    </xf>
    <xf numFmtId="169" fontId="2" fillId="5" borderId="25" xfId="3" applyNumberFormat="1" applyFont="1" applyFill="1" applyBorder="1" applyAlignment="1" applyProtection="1">
      <alignment horizontal="right" vertical="center"/>
    </xf>
    <xf numFmtId="0" fontId="2" fillId="0" borderId="0" xfId="0" applyFont="1" applyAlignment="1">
      <alignment vertical="center"/>
    </xf>
    <xf numFmtId="0" fontId="20" fillId="0" borderId="0" xfId="0" applyFont="1" applyAlignment="1">
      <alignment horizontal="left" vertical="center" wrapText="1"/>
    </xf>
    <xf numFmtId="0" fontId="2" fillId="14" borderId="9" xfId="0" applyFont="1" applyFill="1" applyBorder="1" applyAlignment="1">
      <alignment horizontal="left" vertical="center" wrapText="1"/>
    </xf>
    <xf numFmtId="169" fontId="22" fillId="3" borderId="0" xfId="1" applyNumberFormat="1" applyFont="1" applyFill="1" applyBorder="1" applyAlignment="1" applyProtection="1">
      <alignment horizontal="right" vertical="center"/>
      <protection locked="0"/>
    </xf>
    <xf numFmtId="0" fontId="9" fillId="15" borderId="0" xfId="0" applyFont="1" applyFill="1"/>
    <xf numFmtId="0" fontId="10" fillId="15" borderId="0" xfId="0" applyFont="1" applyFill="1"/>
    <xf numFmtId="169" fontId="0" fillId="3" borderId="28" xfId="1" applyNumberFormat="1" applyFont="1" applyFill="1" applyBorder="1" applyAlignment="1" applyProtection="1">
      <alignment horizontal="center" vertical="center"/>
      <protection locked="0"/>
    </xf>
    <xf numFmtId="169" fontId="0" fillId="3" borderId="29" xfId="1" applyNumberFormat="1" applyFont="1" applyFill="1" applyBorder="1" applyAlignment="1" applyProtection="1">
      <alignment horizontal="center" vertical="center"/>
      <protection locked="0"/>
    </xf>
    <xf numFmtId="169" fontId="0" fillId="0" borderId="17" xfId="0" applyNumberFormat="1" applyBorder="1"/>
    <xf numFmtId="169" fontId="0" fillId="3" borderId="15" xfId="1" applyNumberFormat="1" applyFont="1" applyFill="1" applyBorder="1" applyAlignment="1" applyProtection="1">
      <alignment horizontal="center" vertical="center"/>
      <protection locked="0"/>
    </xf>
    <xf numFmtId="169" fontId="0" fillId="0" borderId="19" xfId="0" applyNumberFormat="1" applyBorder="1"/>
    <xf numFmtId="2" fontId="0" fillId="0" borderId="28" xfId="1" applyNumberFormat="1" applyFont="1" applyFill="1" applyBorder="1" applyAlignment="1" applyProtection="1">
      <alignment horizontal="center" vertical="center"/>
      <protection locked="0"/>
    </xf>
    <xf numFmtId="2" fontId="0" fillId="0" borderId="29" xfId="1" applyNumberFormat="1" applyFont="1" applyFill="1" applyBorder="1" applyAlignment="1" applyProtection="1">
      <alignment horizontal="center" vertical="center"/>
      <protection locked="0"/>
    </xf>
    <xf numFmtId="169" fontId="0" fillId="0" borderId="28" xfId="1" applyNumberFormat="1" applyFont="1" applyFill="1" applyBorder="1" applyAlignment="1" applyProtection="1">
      <alignment horizontal="center" vertical="center"/>
      <protection locked="0"/>
    </xf>
    <xf numFmtId="0" fontId="2" fillId="6" borderId="30" xfId="0" applyFont="1" applyFill="1" applyBorder="1"/>
    <xf numFmtId="0" fontId="2" fillId="6" borderId="31" xfId="0" applyFont="1" applyFill="1" applyBorder="1"/>
    <xf numFmtId="0" fontId="2" fillId="6" borderId="32" xfId="0" applyFont="1" applyFill="1" applyBorder="1"/>
    <xf numFmtId="169" fontId="11" fillId="3" borderId="1" xfId="1" applyNumberFormat="1" applyFont="1" applyFill="1" applyBorder="1" applyAlignment="1" applyProtection="1">
      <alignment horizontal="center"/>
      <protection locked="0"/>
    </xf>
    <xf numFmtId="0" fontId="0" fillId="16" borderId="0" xfId="0" applyFill="1"/>
    <xf numFmtId="0" fontId="0" fillId="16" borderId="0" xfId="0" applyFill="1" applyAlignment="1">
      <alignment horizontal="center" vertical="center" wrapText="1"/>
    </xf>
    <xf numFmtId="169" fontId="0" fillId="3" borderId="33" xfId="1" applyNumberFormat="1" applyFont="1" applyFill="1" applyBorder="1" applyAlignment="1" applyProtection="1">
      <alignment horizontal="center" vertical="center"/>
      <protection locked="0"/>
    </xf>
    <xf numFmtId="169" fontId="0" fillId="3" borderId="34" xfId="1" applyNumberFormat="1" applyFont="1" applyFill="1" applyBorder="1" applyAlignment="1" applyProtection="1">
      <alignment horizontal="center" vertical="center"/>
      <protection locked="0"/>
    </xf>
    <xf numFmtId="0" fontId="26" fillId="16" borderId="0" xfId="0" applyFont="1" applyFill="1" applyAlignment="1">
      <alignment horizontal="left" vertical="center" wrapText="1"/>
    </xf>
    <xf numFmtId="0" fontId="15" fillId="0" borderId="20" xfId="0" applyFont="1" applyBorder="1" applyAlignment="1">
      <alignment horizontal="left" wrapText="1"/>
    </xf>
    <xf numFmtId="0" fontId="4" fillId="16" borderId="0" xfId="0" applyFont="1" applyFill="1" applyAlignment="1">
      <alignment horizontal="left" vertical="center" wrapText="1"/>
    </xf>
    <xf numFmtId="0" fontId="4" fillId="2" borderId="0" xfId="0" applyFont="1" applyFill="1" applyAlignment="1">
      <alignment horizontal="left" vertical="center" wrapText="1"/>
    </xf>
  </cellXfs>
  <cellStyles count="8">
    <cellStyle name="40% - Accent1 2" xfId="7" xr:uid="{515739C9-926E-4573-842D-1634598EA5CC}"/>
    <cellStyle name="60% - Accent1 4" xfId="5" xr:uid="{A67E8242-59A6-431D-ADBC-BFEA71CCA5D9}"/>
    <cellStyle name="Accent1 2" xfId="4" xr:uid="{7FF804A3-FECE-45E4-BD13-F48D91DE06FA}"/>
    <cellStyle name="Comma" xfId="1" builtinId="3"/>
    <cellStyle name="Currency" xfId="2" builtinId="4"/>
    <cellStyle name="Normal" xfId="0" builtinId="0"/>
    <cellStyle name="Note 2" xfId="6" xr:uid="{F6CDC63F-0803-45C1-AA40-5A7C3C8C6280}"/>
    <cellStyle name="Percent" xfId="3" builtinId="5"/>
  </cellStyles>
  <dxfs count="3">
    <dxf>
      <font>
        <color theme="0" tint="-0.14996795556505021"/>
      </font>
      <fill>
        <patternFill>
          <bgColor theme="0" tint="-0.14996795556505021"/>
        </patternFill>
      </fill>
    </dxf>
    <dxf>
      <font>
        <color rgb="FFFF0000"/>
      </font>
    </dxf>
    <dxf>
      <font>
        <color rgb="FFFF0000"/>
      </font>
      <fill>
        <patternFill>
          <bgColor rgb="FFE4FF63"/>
        </patternFill>
      </fill>
    </dxf>
  </dxfs>
  <tableStyles count="0" defaultTableStyle="TableStyleMedium2" defaultPivotStyle="PivotStyleLight16"/>
  <colors>
    <mruColors>
      <color rgb="FF142544"/>
      <color rgb="FFE4FF63"/>
      <color rgb="FFCCFF66"/>
      <color rgb="FFD9E1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Cash on Hand ($ Thousands)</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355706490887113"/>
          <c:y val="0.14236220472440947"/>
          <c:w val="0.85861396210470742"/>
          <c:h val="0.67868927247603794"/>
        </c:manualLayout>
      </c:layout>
      <c:barChart>
        <c:barDir val="col"/>
        <c:grouping val="stacked"/>
        <c:varyColors val="0"/>
        <c:ser>
          <c:idx val="0"/>
          <c:order val="0"/>
          <c:spPr>
            <a:solidFill>
              <a:schemeClr val="accent1"/>
            </a:solidFill>
            <a:ln>
              <a:noFill/>
            </a:ln>
            <a:effectLst/>
          </c:spPr>
          <c:invertIfNegative val="0"/>
          <c:cat>
            <c:numRef>
              <c:f>'2.Detailed Cash Burn (Optional)'!$D$10:$BW$10</c:f>
              <c:numCache>
                <c:formatCode>[$-409]mmm\-yy;@</c:formatCode>
                <c:ptCount val="72"/>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c:v>48000</c:v>
                </c:pt>
                <c:pt idx="62">
                  <c:v>48030</c:v>
                </c:pt>
                <c:pt idx="63">
                  <c:v>48061</c:v>
                </c:pt>
                <c:pt idx="64">
                  <c:v>48092</c:v>
                </c:pt>
                <c:pt idx="65">
                  <c:v>48122</c:v>
                </c:pt>
                <c:pt idx="66">
                  <c:v>48153</c:v>
                </c:pt>
                <c:pt idx="67">
                  <c:v>48183</c:v>
                </c:pt>
                <c:pt idx="68">
                  <c:v>48214</c:v>
                </c:pt>
                <c:pt idx="69">
                  <c:v>48245</c:v>
                </c:pt>
                <c:pt idx="70">
                  <c:v>48274</c:v>
                </c:pt>
                <c:pt idx="71">
                  <c:v>48305</c:v>
                </c:pt>
              </c:numCache>
            </c:numRef>
          </c:cat>
          <c:val>
            <c:numRef>
              <c:f>CalcSheet!$D$38:$BW$38</c:f>
              <c:numCache>
                <c:formatCode>_(* #,##0_);_(* \(#,##0\);_(* "-"??_);_(@_)</c:formatCode>
                <c:ptCount val="72"/>
                <c:pt idx="0">
                  <c:v>425000</c:v>
                </c:pt>
                <c:pt idx="1">
                  <c:v>350000</c:v>
                </c:pt>
                <c:pt idx="2">
                  <c:v>275000</c:v>
                </c:pt>
                <c:pt idx="3">
                  <c:v>200000</c:v>
                </c:pt>
                <c:pt idx="4">
                  <c:v>125000</c:v>
                </c:pt>
                <c:pt idx="5">
                  <c:v>50000</c:v>
                </c:pt>
                <c:pt idx="6">
                  <c:v>0</c:v>
                </c:pt>
                <c:pt idx="7">
                  <c:v>1900000</c:v>
                </c:pt>
                <c:pt idx="8">
                  <c:v>1825000</c:v>
                </c:pt>
                <c:pt idx="9">
                  <c:v>1750000</c:v>
                </c:pt>
                <c:pt idx="10">
                  <c:v>1675000</c:v>
                </c:pt>
                <c:pt idx="11">
                  <c:v>1600000</c:v>
                </c:pt>
                <c:pt idx="12">
                  <c:v>1475000</c:v>
                </c:pt>
                <c:pt idx="13">
                  <c:v>1350000</c:v>
                </c:pt>
                <c:pt idx="14">
                  <c:v>1225000</c:v>
                </c:pt>
                <c:pt idx="15">
                  <c:v>1100000</c:v>
                </c:pt>
                <c:pt idx="16">
                  <c:v>975000</c:v>
                </c:pt>
                <c:pt idx="17">
                  <c:v>850000</c:v>
                </c:pt>
                <c:pt idx="18">
                  <c:v>725000</c:v>
                </c:pt>
                <c:pt idx="19">
                  <c:v>600000</c:v>
                </c:pt>
                <c:pt idx="20">
                  <c:v>475000</c:v>
                </c:pt>
                <c:pt idx="21">
                  <c:v>350000</c:v>
                </c:pt>
                <c:pt idx="22">
                  <c:v>225000</c:v>
                </c:pt>
                <c:pt idx="23">
                  <c:v>100000</c:v>
                </c:pt>
                <c:pt idx="24">
                  <c:v>20000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numCache>
            </c:numRef>
          </c:val>
          <c:extLst>
            <c:ext xmlns:c16="http://schemas.microsoft.com/office/drawing/2014/chart" uri="{C3380CC4-5D6E-409C-BE32-E72D297353CC}">
              <c16:uniqueId val="{00000000-5E55-4D28-824D-DC42A57EFB54}"/>
            </c:ext>
          </c:extLst>
        </c:ser>
        <c:ser>
          <c:idx val="1"/>
          <c:order val="1"/>
          <c:spPr>
            <a:solidFill>
              <a:schemeClr val="accent2"/>
            </a:solidFill>
            <a:ln>
              <a:noFill/>
            </a:ln>
            <a:effectLst/>
          </c:spPr>
          <c:invertIfNegative val="0"/>
          <c:cat>
            <c:numRef>
              <c:f>'2.Detailed Cash Burn (Optional)'!$D$10:$BW$10</c:f>
              <c:numCache>
                <c:formatCode>[$-409]mmm\-yy;@</c:formatCode>
                <c:ptCount val="72"/>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c:v>48000</c:v>
                </c:pt>
                <c:pt idx="62">
                  <c:v>48030</c:v>
                </c:pt>
                <c:pt idx="63">
                  <c:v>48061</c:v>
                </c:pt>
                <c:pt idx="64">
                  <c:v>48092</c:v>
                </c:pt>
                <c:pt idx="65">
                  <c:v>48122</c:v>
                </c:pt>
                <c:pt idx="66">
                  <c:v>48153</c:v>
                </c:pt>
                <c:pt idx="67">
                  <c:v>48183</c:v>
                </c:pt>
                <c:pt idx="68">
                  <c:v>48214</c:v>
                </c:pt>
                <c:pt idx="69">
                  <c:v>48245</c:v>
                </c:pt>
                <c:pt idx="70">
                  <c:v>48274</c:v>
                </c:pt>
                <c:pt idx="71">
                  <c:v>48305</c:v>
                </c:pt>
              </c:numCache>
            </c:numRef>
          </c:cat>
          <c:val>
            <c:numRef>
              <c:f>CalcSheet!$D$39:$BW$39</c:f>
              <c:numCache>
                <c:formatCode>_(* #,##0_);_(* \(#,##0\);_(* "-"??_);_(@_)</c:formatCode>
                <c:ptCount val="72"/>
                <c:pt idx="0">
                  <c:v>0</c:v>
                </c:pt>
                <c:pt idx="1">
                  <c:v>0</c:v>
                </c:pt>
                <c:pt idx="2">
                  <c:v>0</c:v>
                </c:pt>
                <c:pt idx="3">
                  <c:v>0</c:v>
                </c:pt>
                <c:pt idx="4">
                  <c:v>0</c:v>
                </c:pt>
                <c:pt idx="5">
                  <c:v>0</c:v>
                </c:pt>
                <c:pt idx="6">
                  <c:v>-25000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-60000</c:v>
                </c:pt>
                <c:pt idx="26">
                  <c:v>-140000</c:v>
                </c:pt>
                <c:pt idx="27">
                  <c:v>-220000</c:v>
                </c:pt>
                <c:pt idx="28">
                  <c:v>-300000</c:v>
                </c:pt>
                <c:pt idx="29">
                  <c:v>-380000</c:v>
                </c:pt>
                <c:pt idx="30">
                  <c:v>-460000</c:v>
                </c:pt>
                <c:pt idx="31">
                  <c:v>-540000</c:v>
                </c:pt>
                <c:pt idx="32">
                  <c:v>-620000</c:v>
                </c:pt>
                <c:pt idx="33">
                  <c:v>-700000</c:v>
                </c:pt>
                <c:pt idx="34">
                  <c:v>-780000</c:v>
                </c:pt>
                <c:pt idx="35">
                  <c:v>-860000</c:v>
                </c:pt>
                <c:pt idx="36">
                  <c:v>-940000</c:v>
                </c:pt>
                <c:pt idx="37">
                  <c:v>-1020000</c:v>
                </c:pt>
                <c:pt idx="38">
                  <c:v>-1100000</c:v>
                </c:pt>
                <c:pt idx="39">
                  <c:v>-1180000</c:v>
                </c:pt>
                <c:pt idx="40">
                  <c:v>-1260000</c:v>
                </c:pt>
                <c:pt idx="41">
                  <c:v>-1340000</c:v>
                </c:pt>
                <c:pt idx="42">
                  <c:v>-1420000</c:v>
                </c:pt>
                <c:pt idx="43">
                  <c:v>-1500000</c:v>
                </c:pt>
                <c:pt idx="44">
                  <c:v>-1580000</c:v>
                </c:pt>
                <c:pt idx="45">
                  <c:v>-1660000</c:v>
                </c:pt>
                <c:pt idx="46">
                  <c:v>-1740000</c:v>
                </c:pt>
                <c:pt idx="47">
                  <c:v>-1820000</c:v>
                </c:pt>
                <c:pt idx="48">
                  <c:v>-1900000</c:v>
                </c:pt>
                <c:pt idx="49">
                  <c:v>-1980000</c:v>
                </c:pt>
                <c:pt idx="50">
                  <c:v>-2060000</c:v>
                </c:pt>
                <c:pt idx="51">
                  <c:v>-2140000</c:v>
                </c:pt>
                <c:pt idx="52">
                  <c:v>-2220000</c:v>
                </c:pt>
                <c:pt idx="53">
                  <c:v>-2300000</c:v>
                </c:pt>
                <c:pt idx="54">
                  <c:v>-2380000</c:v>
                </c:pt>
                <c:pt idx="55">
                  <c:v>-2460000</c:v>
                </c:pt>
                <c:pt idx="56">
                  <c:v>-2540000</c:v>
                </c:pt>
                <c:pt idx="57">
                  <c:v>-2620000</c:v>
                </c:pt>
                <c:pt idx="58">
                  <c:v>-2700000</c:v>
                </c:pt>
                <c:pt idx="59">
                  <c:v>-2780000</c:v>
                </c:pt>
                <c:pt idx="60">
                  <c:v>-2860000</c:v>
                </c:pt>
                <c:pt idx="61">
                  <c:v>-2940000</c:v>
                </c:pt>
                <c:pt idx="62">
                  <c:v>-3020000</c:v>
                </c:pt>
                <c:pt idx="63">
                  <c:v>-3100000</c:v>
                </c:pt>
                <c:pt idx="64">
                  <c:v>-3180000</c:v>
                </c:pt>
                <c:pt idx="65">
                  <c:v>-3260000</c:v>
                </c:pt>
                <c:pt idx="66">
                  <c:v>-3340000</c:v>
                </c:pt>
                <c:pt idx="67">
                  <c:v>-3420000</c:v>
                </c:pt>
                <c:pt idx="68">
                  <c:v>-3500000</c:v>
                </c:pt>
                <c:pt idx="69">
                  <c:v>-3580000</c:v>
                </c:pt>
                <c:pt idx="70">
                  <c:v>-3660000</c:v>
                </c:pt>
                <c:pt idx="71">
                  <c:v>-3740000</c:v>
                </c:pt>
              </c:numCache>
            </c:numRef>
          </c:val>
          <c:extLst>
            <c:ext xmlns:c16="http://schemas.microsoft.com/office/drawing/2014/chart" uri="{C3380CC4-5D6E-409C-BE32-E72D297353CC}">
              <c16:uniqueId val="{00000001-5E55-4D28-824D-DC42A57EFB54}"/>
            </c:ext>
          </c:extLst>
        </c:ser>
        <c:dLbls>
          <c:showLegendKey val="0"/>
          <c:showVal val="0"/>
          <c:showCatName val="0"/>
          <c:showSerName val="0"/>
          <c:showPercent val="0"/>
          <c:showBubbleSize val="0"/>
        </c:dLbls>
        <c:gapWidth val="150"/>
        <c:overlap val="100"/>
        <c:axId val="1490514415"/>
        <c:axId val="641720944"/>
      </c:barChart>
      <c:dateAx>
        <c:axId val="1490514415"/>
        <c:scaling>
          <c:orientation val="minMax"/>
        </c:scaling>
        <c:delete val="0"/>
        <c:axPos val="b"/>
        <c:numFmt formatCode="[$-409]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41720944"/>
        <c:crosses val="autoZero"/>
        <c:auto val="1"/>
        <c:lblOffset val="100"/>
        <c:baseTimeUnit val="months"/>
      </c:dateAx>
      <c:valAx>
        <c:axId val="64172094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0514415"/>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1.xm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21</xdr:col>
      <xdr:colOff>0</xdr:colOff>
      <xdr:row>1</xdr:row>
      <xdr:rowOff>0</xdr:rowOff>
    </xdr:from>
    <xdr:to>
      <xdr:col>21</xdr:col>
      <xdr:colOff>304800</xdr:colOff>
      <xdr:row>2</xdr:row>
      <xdr:rowOff>118179</xdr:rowOff>
    </xdr:to>
    <xdr:sp macro="" textlink="">
      <xdr:nvSpPr>
        <xdr:cNvPr id="2" name="AutoShape 2">
          <a:extLst>
            <a:ext uri="{FF2B5EF4-FFF2-40B4-BE49-F238E27FC236}">
              <a16:creationId xmlns:a16="http://schemas.microsoft.com/office/drawing/2014/main" id="{EF9669C4-C38B-4808-8931-43F1414DBE5F}"/>
            </a:ext>
          </a:extLst>
        </xdr:cNvPr>
        <xdr:cNvSpPr>
          <a:spLocks noChangeAspect="1" noChangeArrowheads="1"/>
        </xdr:cNvSpPr>
      </xdr:nvSpPr>
      <xdr:spPr bwMode="auto">
        <a:xfrm>
          <a:off x="21450300" y="685800"/>
          <a:ext cx="304800" cy="308679"/>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89</xdr:col>
      <xdr:colOff>501586</xdr:colOff>
      <xdr:row>1</xdr:row>
      <xdr:rowOff>0</xdr:rowOff>
    </xdr:from>
    <xdr:to>
      <xdr:col>114</xdr:col>
      <xdr:colOff>491219</xdr:colOff>
      <xdr:row>26</xdr:row>
      <xdr:rowOff>59668</xdr:rowOff>
    </xdr:to>
    <xdr:pic>
      <xdr:nvPicPr>
        <xdr:cNvPr id="3" name="Picture 2">
          <a:extLst>
            <a:ext uri="{FF2B5EF4-FFF2-40B4-BE49-F238E27FC236}">
              <a16:creationId xmlns:a16="http://schemas.microsoft.com/office/drawing/2014/main" id="{94FD9FDA-B357-4B1E-B582-B04EAA1D80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692686" y="685800"/>
          <a:ext cx="16572658" cy="4288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11</xdr:col>
      <xdr:colOff>530087</xdr:colOff>
      <xdr:row>1</xdr:row>
      <xdr:rowOff>0</xdr:rowOff>
    </xdr:from>
    <xdr:ext cx="184731" cy="264560"/>
    <xdr:sp macro="" textlink="">
      <xdr:nvSpPr>
        <xdr:cNvPr id="5" name="TextBox 4">
          <a:extLst>
            <a:ext uri="{FF2B5EF4-FFF2-40B4-BE49-F238E27FC236}">
              <a16:creationId xmlns:a16="http://schemas.microsoft.com/office/drawing/2014/main" id="{EA6D0857-8CB4-44A0-856E-6482B63EE032}"/>
            </a:ext>
          </a:extLst>
        </xdr:cNvPr>
        <xdr:cNvSpPr txBox="1"/>
      </xdr:nvSpPr>
      <xdr:spPr>
        <a:xfrm>
          <a:off x="12722087" y="6858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kern="1200"/>
        </a:p>
      </xdr:txBody>
    </xdr:sp>
    <xdr:clientData/>
  </xdr:oneCellAnchor>
  <xdr:twoCellAnchor>
    <xdr:from>
      <xdr:col>4</xdr:col>
      <xdr:colOff>28575</xdr:colOff>
      <xdr:row>16</xdr:row>
      <xdr:rowOff>79513</xdr:rowOff>
    </xdr:from>
    <xdr:to>
      <xdr:col>13</xdr:col>
      <xdr:colOff>485775</xdr:colOff>
      <xdr:row>33</xdr:row>
      <xdr:rowOff>108088</xdr:rowOff>
    </xdr:to>
    <xdr:graphicFrame macro="">
      <xdr:nvGraphicFramePr>
        <xdr:cNvPr id="11" name="Chart 10">
          <a:extLst>
            <a:ext uri="{FF2B5EF4-FFF2-40B4-BE49-F238E27FC236}">
              <a16:creationId xmlns:a16="http://schemas.microsoft.com/office/drawing/2014/main" id="{9F531A82-11FB-4D0C-B321-7161195BC1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76200</xdr:colOff>
      <xdr:row>3</xdr:row>
      <xdr:rowOff>76198</xdr:rowOff>
    </xdr:from>
    <xdr:to>
      <xdr:col>6</xdr:col>
      <xdr:colOff>311926</xdr:colOff>
      <xdr:row>10</xdr:row>
      <xdr:rowOff>10050</xdr:rowOff>
    </xdr:to>
    <xdr:grpSp>
      <xdr:nvGrpSpPr>
        <xdr:cNvPr id="12" name="Group 11">
          <a:extLst>
            <a:ext uri="{FF2B5EF4-FFF2-40B4-BE49-F238E27FC236}">
              <a16:creationId xmlns:a16="http://schemas.microsoft.com/office/drawing/2014/main" id="{3B81BEDC-052A-4449-B7CB-8DF13FC7B921}"/>
            </a:ext>
          </a:extLst>
        </xdr:cNvPr>
        <xdr:cNvGrpSpPr/>
      </xdr:nvGrpSpPr>
      <xdr:grpSpPr>
        <a:xfrm>
          <a:off x="6498771" y="1055912"/>
          <a:ext cx="2013726" cy="1267352"/>
          <a:chOff x="9719768" y="990578"/>
          <a:chExt cx="1565414" cy="780577"/>
        </a:xfrm>
      </xdr:grpSpPr>
      <xdr:grpSp>
        <xdr:nvGrpSpPr>
          <xdr:cNvPr id="13" name="Group 12">
            <a:extLst>
              <a:ext uri="{FF2B5EF4-FFF2-40B4-BE49-F238E27FC236}">
                <a16:creationId xmlns:a16="http://schemas.microsoft.com/office/drawing/2014/main" id="{AA72331A-D944-C255-36E4-73FDF2F1FDB5}"/>
              </a:ext>
            </a:extLst>
          </xdr:cNvPr>
          <xdr:cNvGrpSpPr/>
        </xdr:nvGrpSpPr>
        <xdr:grpSpPr>
          <a:xfrm>
            <a:off x="10128421" y="1373463"/>
            <a:ext cx="731520" cy="397692"/>
            <a:chOff x="8257025" y="1764219"/>
            <a:chExt cx="862858" cy="783564"/>
          </a:xfrm>
        </xdr:grpSpPr>
        <xdr:sp macro="" textlink="">
          <xdr:nvSpPr>
            <xdr:cNvPr id="15" name="Rectangle: Rounded Corners 14">
              <a:extLst>
                <a:ext uri="{FF2B5EF4-FFF2-40B4-BE49-F238E27FC236}">
                  <a16:creationId xmlns:a16="http://schemas.microsoft.com/office/drawing/2014/main" id="{76F465A1-CB7A-9AB6-6766-77B8B45EE3DB}"/>
                </a:ext>
              </a:extLst>
            </xdr:cNvPr>
            <xdr:cNvSpPr/>
          </xdr:nvSpPr>
          <xdr:spPr>
            <a:xfrm>
              <a:off x="8257025" y="1764219"/>
              <a:ext cx="862858" cy="783564"/>
            </a:xfrm>
            <a:prstGeom prst="roundRect">
              <a:avLst/>
            </a:prstGeom>
            <a:solidFill>
              <a:srgbClr val="1F94D1"/>
            </a:solidFill>
            <a:ln w="28575">
              <a:solidFill>
                <a:srgbClr val="E4FF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600" b="1" kern="1200"/>
            </a:p>
          </xdr:txBody>
        </xdr:sp>
        <xdr:sp macro="" textlink="C19">
          <xdr:nvSpPr>
            <xdr:cNvPr id="16" name="TextBox 15">
              <a:extLst>
                <a:ext uri="{FF2B5EF4-FFF2-40B4-BE49-F238E27FC236}">
                  <a16:creationId xmlns:a16="http://schemas.microsoft.com/office/drawing/2014/main" id="{6380AB43-0D9C-435F-A30B-B202A674814A}"/>
                </a:ext>
              </a:extLst>
            </xdr:cNvPr>
            <xdr:cNvSpPr txBox="1"/>
          </xdr:nvSpPr>
          <xdr:spPr>
            <a:xfrm>
              <a:off x="8379508" y="1927646"/>
              <a:ext cx="581300" cy="4721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fld id="{A875AAAB-2C5C-4B7B-8F7B-188BC8618C34}" type="TxLink">
                <a:rPr lang="en-US" sz="1800" b="1" i="0" u="none" strike="noStrike" kern="1200">
                  <a:solidFill>
                    <a:srgbClr val="E4FF63"/>
                  </a:solidFill>
                  <a:latin typeface="Helvetica Neue"/>
                  <a:ea typeface="Calibri"/>
                  <a:cs typeface="Calibri"/>
                </a:rPr>
                <a:pPr algn="ctr"/>
                <a:t> 6.7 </a:t>
              </a:fld>
              <a:endParaRPr lang="en-US" sz="4800" b="1" kern="1200">
                <a:solidFill>
                  <a:srgbClr val="E4FF63"/>
                </a:solidFill>
              </a:endParaRPr>
            </a:p>
          </xdr:txBody>
        </xdr:sp>
      </xdr:grpSp>
      <xdr:sp macro="" textlink="">
        <xdr:nvSpPr>
          <xdr:cNvPr id="14" name="TextBox 13">
            <a:extLst>
              <a:ext uri="{FF2B5EF4-FFF2-40B4-BE49-F238E27FC236}">
                <a16:creationId xmlns:a16="http://schemas.microsoft.com/office/drawing/2014/main" id="{0C894466-B45A-69DC-39DA-7304DC4A0476}"/>
              </a:ext>
            </a:extLst>
          </xdr:cNvPr>
          <xdr:cNvSpPr txBox="1"/>
        </xdr:nvSpPr>
        <xdr:spPr>
          <a:xfrm>
            <a:off x="9719768" y="990578"/>
            <a:ext cx="1565414" cy="4216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400" b="1" kern="1200" baseline="0"/>
              <a:t>Pre-Money Runway </a:t>
            </a:r>
            <a:br>
              <a:rPr lang="en-US" sz="1400" b="1" kern="1200" baseline="0"/>
            </a:br>
            <a:r>
              <a:rPr lang="en-US" sz="1000" b="1" kern="1200" baseline="0"/>
              <a:t>(Months)</a:t>
            </a:r>
            <a:endParaRPr lang="en-US" sz="1400" b="1" kern="1200"/>
          </a:p>
        </xdr:txBody>
      </xdr:sp>
    </xdr:grpSp>
    <xdr:clientData/>
  </xdr:twoCellAnchor>
  <xdr:twoCellAnchor>
    <xdr:from>
      <xdr:col>6</xdr:col>
      <xdr:colOff>314325</xdr:colOff>
      <xdr:row>3</xdr:row>
      <xdr:rowOff>28572</xdr:rowOff>
    </xdr:from>
    <xdr:to>
      <xdr:col>8</xdr:col>
      <xdr:colOff>550051</xdr:colOff>
      <xdr:row>10</xdr:row>
      <xdr:rowOff>9515</xdr:rowOff>
    </xdr:to>
    <xdr:grpSp>
      <xdr:nvGrpSpPr>
        <xdr:cNvPr id="27" name="Group 26">
          <a:extLst>
            <a:ext uri="{FF2B5EF4-FFF2-40B4-BE49-F238E27FC236}">
              <a16:creationId xmlns:a16="http://schemas.microsoft.com/office/drawing/2014/main" id="{428CDB7B-EDC3-4808-A44B-2978B4DDA07E}"/>
            </a:ext>
          </a:extLst>
        </xdr:cNvPr>
        <xdr:cNvGrpSpPr/>
      </xdr:nvGrpSpPr>
      <xdr:grpSpPr>
        <a:xfrm>
          <a:off x="8514896" y="1008286"/>
          <a:ext cx="2013726" cy="1314443"/>
          <a:chOff x="9719768" y="990578"/>
          <a:chExt cx="1565414" cy="766381"/>
        </a:xfrm>
      </xdr:grpSpPr>
      <xdr:grpSp>
        <xdr:nvGrpSpPr>
          <xdr:cNvPr id="28" name="Group 27">
            <a:extLst>
              <a:ext uri="{FF2B5EF4-FFF2-40B4-BE49-F238E27FC236}">
                <a16:creationId xmlns:a16="http://schemas.microsoft.com/office/drawing/2014/main" id="{876093AD-8434-C7D8-BB28-6FD260245B3B}"/>
              </a:ext>
            </a:extLst>
          </xdr:cNvPr>
          <xdr:cNvGrpSpPr/>
        </xdr:nvGrpSpPr>
        <xdr:grpSpPr>
          <a:xfrm>
            <a:off x="10065207" y="1393256"/>
            <a:ext cx="873731" cy="363703"/>
            <a:chOff x="8182457" y="1803226"/>
            <a:chExt cx="1030601" cy="716599"/>
          </a:xfrm>
        </xdr:grpSpPr>
        <xdr:sp macro="" textlink="">
          <xdr:nvSpPr>
            <xdr:cNvPr id="30" name="Rectangle: Rounded Corners 29">
              <a:extLst>
                <a:ext uri="{FF2B5EF4-FFF2-40B4-BE49-F238E27FC236}">
                  <a16:creationId xmlns:a16="http://schemas.microsoft.com/office/drawing/2014/main" id="{915A8A23-4B78-4777-C69F-A65161B0ACFF}"/>
                </a:ext>
              </a:extLst>
            </xdr:cNvPr>
            <xdr:cNvSpPr/>
          </xdr:nvSpPr>
          <xdr:spPr>
            <a:xfrm>
              <a:off x="8266808" y="1803226"/>
              <a:ext cx="862858" cy="716599"/>
            </a:xfrm>
            <a:prstGeom prst="roundRect">
              <a:avLst/>
            </a:prstGeom>
            <a:solidFill>
              <a:srgbClr val="1F94D1"/>
            </a:solidFill>
            <a:ln w="28575">
              <a:solidFill>
                <a:srgbClr val="E4FF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600" b="1" kern="1200"/>
            </a:p>
          </xdr:txBody>
        </xdr:sp>
        <xdr:sp macro="" textlink="$AA$5">
          <xdr:nvSpPr>
            <xdr:cNvPr id="31" name="TextBox 30">
              <a:extLst>
                <a:ext uri="{FF2B5EF4-FFF2-40B4-BE49-F238E27FC236}">
                  <a16:creationId xmlns:a16="http://schemas.microsoft.com/office/drawing/2014/main" id="{34D96948-A1A6-78F5-17E1-AB36E2760426}"/>
                </a:ext>
              </a:extLst>
            </xdr:cNvPr>
            <xdr:cNvSpPr txBox="1"/>
          </xdr:nvSpPr>
          <xdr:spPr>
            <a:xfrm>
              <a:off x="8182457" y="1926809"/>
              <a:ext cx="1030601" cy="4091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841CF344-3896-4AD8-8B18-A37D7BCDC143}" type="TxLink">
                <a:rPr lang="en-US" sz="1600" b="1" i="0" u="none" strike="noStrike" kern="1200">
                  <a:solidFill>
                    <a:srgbClr val="CCFF66"/>
                  </a:solidFill>
                  <a:latin typeface="Aptos Narrow"/>
                </a:rPr>
                <a:pPr algn="ctr"/>
                <a:t>$0.90 M</a:t>
              </a:fld>
              <a:endParaRPr lang="en-US" sz="1200" b="1" i="0" u="none" strike="noStrike" kern="1200">
                <a:solidFill>
                  <a:srgbClr val="CCFF66"/>
                </a:solidFill>
                <a:latin typeface="Helvetica Neue"/>
              </a:endParaRPr>
            </a:p>
          </xdr:txBody>
        </xdr:sp>
      </xdr:grpSp>
      <xdr:sp macro="" textlink="">
        <xdr:nvSpPr>
          <xdr:cNvPr id="29" name="TextBox 28">
            <a:extLst>
              <a:ext uri="{FF2B5EF4-FFF2-40B4-BE49-F238E27FC236}">
                <a16:creationId xmlns:a16="http://schemas.microsoft.com/office/drawing/2014/main" id="{6E12C674-9571-3D6B-57E5-D2F487320E50}"/>
              </a:ext>
            </a:extLst>
          </xdr:cNvPr>
          <xdr:cNvSpPr txBox="1"/>
        </xdr:nvSpPr>
        <xdr:spPr>
          <a:xfrm>
            <a:off x="9719768" y="990578"/>
            <a:ext cx="1565414" cy="3191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400" b="1" kern="1200" baseline="0"/>
              <a:t>1</a:t>
            </a:r>
            <a:r>
              <a:rPr lang="en-US" sz="1400" b="1" kern="1200" baseline="30000"/>
              <a:t>st</a:t>
            </a:r>
            <a:r>
              <a:rPr lang="en-US" sz="1400" b="1" kern="1200" baseline="0"/>
              <a:t> Round Target Raise</a:t>
            </a:r>
            <a:br>
              <a:rPr lang="en-US" sz="1400" b="1" kern="1200" baseline="0"/>
            </a:br>
            <a:r>
              <a:rPr lang="en-US" sz="1000" b="1" kern="1200" baseline="0"/>
              <a:t>($ Millions)</a:t>
            </a:r>
            <a:endParaRPr lang="en-US" sz="1400" b="1" kern="1200"/>
          </a:p>
        </xdr:txBody>
      </xdr:sp>
    </xdr:grpSp>
    <xdr:clientData/>
  </xdr:twoCellAnchor>
  <xdr:twoCellAnchor>
    <xdr:from>
      <xdr:col>11</xdr:col>
      <xdr:colOff>95250</xdr:colOff>
      <xdr:row>3</xdr:row>
      <xdr:rowOff>38098</xdr:rowOff>
    </xdr:from>
    <xdr:to>
      <xdr:col>13</xdr:col>
      <xdr:colOff>330976</xdr:colOff>
      <xdr:row>9</xdr:row>
      <xdr:rowOff>162450</xdr:rowOff>
    </xdr:to>
    <xdr:grpSp>
      <xdr:nvGrpSpPr>
        <xdr:cNvPr id="32" name="Group 31">
          <a:extLst>
            <a:ext uri="{FF2B5EF4-FFF2-40B4-BE49-F238E27FC236}">
              <a16:creationId xmlns:a16="http://schemas.microsoft.com/office/drawing/2014/main" id="{C0C6F90E-B3A3-4B64-963D-C1FC97637E65}"/>
            </a:ext>
          </a:extLst>
        </xdr:cNvPr>
        <xdr:cNvGrpSpPr/>
      </xdr:nvGrpSpPr>
      <xdr:grpSpPr>
        <a:xfrm>
          <a:off x="12740821" y="1017812"/>
          <a:ext cx="2013726" cy="1267352"/>
          <a:chOff x="9719768" y="990578"/>
          <a:chExt cx="1565414" cy="780577"/>
        </a:xfrm>
      </xdr:grpSpPr>
      <xdr:grpSp>
        <xdr:nvGrpSpPr>
          <xdr:cNvPr id="33" name="Group 32">
            <a:extLst>
              <a:ext uri="{FF2B5EF4-FFF2-40B4-BE49-F238E27FC236}">
                <a16:creationId xmlns:a16="http://schemas.microsoft.com/office/drawing/2014/main" id="{F12EE1AD-C349-D690-6C0C-2A23671B8A17}"/>
              </a:ext>
            </a:extLst>
          </xdr:cNvPr>
          <xdr:cNvGrpSpPr/>
        </xdr:nvGrpSpPr>
        <xdr:grpSpPr>
          <a:xfrm>
            <a:off x="10128421" y="1373463"/>
            <a:ext cx="731520" cy="397692"/>
            <a:chOff x="8257025" y="1764219"/>
            <a:chExt cx="862858" cy="783564"/>
          </a:xfrm>
        </xdr:grpSpPr>
        <xdr:sp macro="" textlink="">
          <xdr:nvSpPr>
            <xdr:cNvPr id="35" name="Rectangle: Rounded Corners 34">
              <a:extLst>
                <a:ext uri="{FF2B5EF4-FFF2-40B4-BE49-F238E27FC236}">
                  <a16:creationId xmlns:a16="http://schemas.microsoft.com/office/drawing/2014/main" id="{5FFF950C-CEEB-1597-14B5-0E1C3050054E}"/>
                </a:ext>
              </a:extLst>
            </xdr:cNvPr>
            <xdr:cNvSpPr/>
          </xdr:nvSpPr>
          <xdr:spPr>
            <a:xfrm>
              <a:off x="8257025" y="1764219"/>
              <a:ext cx="862858" cy="783564"/>
            </a:xfrm>
            <a:prstGeom prst="roundRect">
              <a:avLst/>
            </a:prstGeom>
            <a:solidFill>
              <a:srgbClr val="1F94D1"/>
            </a:solidFill>
            <a:ln w="28575">
              <a:solidFill>
                <a:srgbClr val="E4FF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600" b="1" kern="1200"/>
            </a:p>
          </xdr:txBody>
        </xdr:sp>
        <xdr:sp macro="" textlink="$C$34">
          <xdr:nvSpPr>
            <xdr:cNvPr id="36" name="TextBox 35">
              <a:extLst>
                <a:ext uri="{FF2B5EF4-FFF2-40B4-BE49-F238E27FC236}">
                  <a16:creationId xmlns:a16="http://schemas.microsoft.com/office/drawing/2014/main" id="{97C9DB1D-7142-1B3E-EB4D-3AF6464D31E9}"/>
                </a:ext>
              </a:extLst>
            </xdr:cNvPr>
            <xdr:cNvSpPr txBox="1"/>
          </xdr:nvSpPr>
          <xdr:spPr>
            <a:xfrm>
              <a:off x="8261804" y="1927650"/>
              <a:ext cx="816714" cy="4721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fld id="{44B17FE4-9C83-4090-AF05-DA717FA4C7C1}" type="TxLink">
                <a:rPr lang="en-US" sz="1800" b="1" i="0" u="none" strike="noStrike" kern="1200">
                  <a:solidFill>
                    <a:srgbClr val="CCFF66"/>
                  </a:solidFill>
                  <a:latin typeface="Helvetica Neue"/>
                  <a:ea typeface="Calibri"/>
                  <a:cs typeface="Calibri"/>
                </a:rPr>
                <a:pPr algn="ctr"/>
                <a:t> 2,391 </a:t>
              </a:fld>
              <a:endParaRPr lang="en-US" sz="8000" b="1" kern="1200">
                <a:solidFill>
                  <a:srgbClr val="CCFF66"/>
                </a:solidFill>
              </a:endParaRPr>
            </a:p>
          </xdr:txBody>
        </xdr:sp>
      </xdr:grpSp>
      <xdr:sp macro="" textlink="">
        <xdr:nvSpPr>
          <xdr:cNvPr id="34" name="TextBox 33">
            <a:extLst>
              <a:ext uri="{FF2B5EF4-FFF2-40B4-BE49-F238E27FC236}">
                <a16:creationId xmlns:a16="http://schemas.microsoft.com/office/drawing/2014/main" id="{49FA6962-52E3-AC28-F628-65F7DFEA5D71}"/>
              </a:ext>
            </a:extLst>
          </xdr:cNvPr>
          <xdr:cNvSpPr txBox="1"/>
        </xdr:nvSpPr>
        <xdr:spPr>
          <a:xfrm>
            <a:off x="9719768" y="990578"/>
            <a:ext cx="1565414" cy="3392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400" b="1" kern="1200" baseline="0"/>
              <a:t>Post-Money Runway </a:t>
            </a:r>
            <a:br>
              <a:rPr lang="en-US" sz="1400" b="1" kern="1200" baseline="0"/>
            </a:br>
            <a:r>
              <a:rPr lang="en-US" sz="1000" b="1" kern="1200" baseline="0"/>
              <a:t>(Months)</a:t>
            </a:r>
            <a:endParaRPr lang="en-US" sz="1400" b="1" kern="1200"/>
          </a:p>
        </xdr:txBody>
      </xdr:sp>
    </xdr:grpSp>
    <xdr:clientData/>
  </xdr:twoCellAnchor>
  <xdr:twoCellAnchor>
    <xdr:from>
      <xdr:col>8</xdr:col>
      <xdr:colOff>561975</xdr:colOff>
      <xdr:row>3</xdr:row>
      <xdr:rowOff>28573</xdr:rowOff>
    </xdr:from>
    <xdr:to>
      <xdr:col>11</xdr:col>
      <xdr:colOff>16651</xdr:colOff>
      <xdr:row>9</xdr:row>
      <xdr:rowOff>152925</xdr:rowOff>
    </xdr:to>
    <xdr:grpSp>
      <xdr:nvGrpSpPr>
        <xdr:cNvPr id="37" name="Group 36">
          <a:extLst>
            <a:ext uri="{FF2B5EF4-FFF2-40B4-BE49-F238E27FC236}">
              <a16:creationId xmlns:a16="http://schemas.microsoft.com/office/drawing/2014/main" id="{DDD9EA28-5E5C-4279-995D-FD71DD5A4BA2}"/>
            </a:ext>
          </a:extLst>
        </xdr:cNvPr>
        <xdr:cNvGrpSpPr/>
      </xdr:nvGrpSpPr>
      <xdr:grpSpPr>
        <a:xfrm>
          <a:off x="10540546" y="1008287"/>
          <a:ext cx="2121676" cy="1267352"/>
          <a:chOff x="9719768" y="990578"/>
          <a:chExt cx="1565414" cy="780577"/>
        </a:xfrm>
      </xdr:grpSpPr>
      <xdr:grpSp>
        <xdr:nvGrpSpPr>
          <xdr:cNvPr id="38" name="Group 37">
            <a:extLst>
              <a:ext uri="{FF2B5EF4-FFF2-40B4-BE49-F238E27FC236}">
                <a16:creationId xmlns:a16="http://schemas.microsoft.com/office/drawing/2014/main" id="{BD5C5EDC-4C51-4EFD-0C38-6A7E42F53206}"/>
              </a:ext>
            </a:extLst>
          </xdr:cNvPr>
          <xdr:cNvGrpSpPr/>
        </xdr:nvGrpSpPr>
        <xdr:grpSpPr>
          <a:xfrm>
            <a:off x="10128421" y="1373463"/>
            <a:ext cx="731520" cy="397692"/>
            <a:chOff x="8257025" y="1764219"/>
            <a:chExt cx="862858" cy="783564"/>
          </a:xfrm>
        </xdr:grpSpPr>
        <xdr:sp macro="" textlink="">
          <xdr:nvSpPr>
            <xdr:cNvPr id="40" name="Rectangle: Rounded Corners 39">
              <a:extLst>
                <a:ext uri="{FF2B5EF4-FFF2-40B4-BE49-F238E27FC236}">
                  <a16:creationId xmlns:a16="http://schemas.microsoft.com/office/drawing/2014/main" id="{163D28F9-059B-FAC8-38AF-BD5BFC7B95AE}"/>
                </a:ext>
              </a:extLst>
            </xdr:cNvPr>
            <xdr:cNvSpPr/>
          </xdr:nvSpPr>
          <xdr:spPr>
            <a:xfrm>
              <a:off x="8257025" y="1764219"/>
              <a:ext cx="862858" cy="783564"/>
            </a:xfrm>
            <a:prstGeom prst="roundRect">
              <a:avLst/>
            </a:prstGeom>
            <a:solidFill>
              <a:srgbClr val="1F94D1"/>
            </a:solidFill>
            <a:ln w="28575">
              <a:solidFill>
                <a:srgbClr val="E4FF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600" b="1" kern="1200"/>
            </a:p>
          </xdr:txBody>
        </xdr:sp>
        <xdr:sp macro="" textlink="$C$29">
          <xdr:nvSpPr>
            <xdr:cNvPr id="41" name="TextBox 40">
              <a:extLst>
                <a:ext uri="{FF2B5EF4-FFF2-40B4-BE49-F238E27FC236}">
                  <a16:creationId xmlns:a16="http://schemas.microsoft.com/office/drawing/2014/main" id="{C7D62E1D-8A33-9092-B99E-29CC5E04A425}"/>
                </a:ext>
              </a:extLst>
            </xdr:cNvPr>
            <xdr:cNvSpPr txBox="1"/>
          </xdr:nvSpPr>
          <xdr:spPr>
            <a:xfrm>
              <a:off x="8377637" y="1936715"/>
              <a:ext cx="585038" cy="4540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fld id="{F4008CAD-983E-467E-A68F-C674FC7DB73F}" type="TxLink">
                <a:rPr lang="en-US" sz="1800" b="1" i="0" u="none" strike="noStrike" kern="1200">
                  <a:solidFill>
                    <a:srgbClr val="CCFF66"/>
                  </a:solidFill>
                  <a:latin typeface="Helvetica Neue"/>
                </a:rPr>
                <a:pPr algn="ctr"/>
                <a:t>14%</a:t>
              </a:fld>
              <a:endParaRPr lang="en-US" sz="1800" b="1" i="0" u="none" strike="noStrike" kern="1200">
                <a:solidFill>
                  <a:srgbClr val="CCFF66"/>
                </a:solidFill>
                <a:latin typeface="Helvetica Neue"/>
              </a:endParaRPr>
            </a:p>
          </xdr:txBody>
        </xdr:sp>
      </xdr:grpSp>
      <xdr:sp macro="" textlink="">
        <xdr:nvSpPr>
          <xdr:cNvPr id="39" name="TextBox 38">
            <a:extLst>
              <a:ext uri="{FF2B5EF4-FFF2-40B4-BE49-F238E27FC236}">
                <a16:creationId xmlns:a16="http://schemas.microsoft.com/office/drawing/2014/main" id="{D16896B7-84E0-1E08-2456-325E5B2A1C0F}"/>
              </a:ext>
            </a:extLst>
          </xdr:cNvPr>
          <xdr:cNvSpPr txBox="1"/>
        </xdr:nvSpPr>
        <xdr:spPr>
          <a:xfrm>
            <a:off x="9719768" y="990578"/>
            <a:ext cx="1565414" cy="3392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400" b="1" kern="1200" baseline="0"/>
              <a:t>1</a:t>
            </a:r>
            <a:r>
              <a:rPr lang="en-US" sz="1400" b="1" kern="1200" baseline="30000"/>
              <a:t>st</a:t>
            </a:r>
            <a:r>
              <a:rPr lang="en-US" sz="1400" b="1" kern="1200" baseline="0"/>
              <a:t> Round Dilution</a:t>
            </a:r>
            <a:br>
              <a:rPr lang="en-US" sz="1400" b="1" kern="1200" baseline="0"/>
            </a:br>
            <a:r>
              <a:rPr lang="en-US" sz="1000" b="1" kern="1200" baseline="0"/>
              <a:t>(% of Capital)</a:t>
            </a:r>
            <a:endParaRPr lang="en-US" sz="1400" b="1" kern="1200"/>
          </a:p>
        </xdr:txBody>
      </xdr:sp>
    </xdr:grpSp>
    <xdr:clientData/>
  </xdr:twoCellAnchor>
  <mc:AlternateContent xmlns:mc="http://schemas.openxmlformats.org/markup-compatibility/2006">
    <mc:Choice xmlns:a14="http://schemas.microsoft.com/office/drawing/2010/main" Requires="a14">
      <xdr:twoCellAnchor>
        <xdr:from>
          <xdr:col>13</xdr:col>
          <xdr:colOff>444500</xdr:colOff>
          <xdr:row>0</xdr:row>
          <xdr:rowOff>76200</xdr:rowOff>
        </xdr:from>
        <xdr:to>
          <xdr:col>14</xdr:col>
          <xdr:colOff>444500</xdr:colOff>
          <xdr:row>0</xdr:row>
          <xdr:rowOff>444500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ptos Narrow" charset="0"/>
                </a:rPr>
                <a:t>Clear All Inputs</a:t>
              </a:r>
            </a:p>
          </xdr:txBody>
        </xdr:sp>
        <xdr:clientData fPrintsWithSheet="0"/>
      </xdr:twoCellAnchor>
    </mc:Choice>
    <mc:Fallback/>
  </mc:AlternateContent>
  <xdr:twoCellAnchor editAs="oneCell">
    <xdr:from>
      <xdr:col>11</xdr:col>
      <xdr:colOff>33132</xdr:colOff>
      <xdr:row>0</xdr:row>
      <xdr:rowOff>16565</xdr:rowOff>
    </xdr:from>
    <xdr:to>
      <xdr:col>13</xdr:col>
      <xdr:colOff>124240</xdr:colOff>
      <xdr:row>0</xdr:row>
      <xdr:rowOff>495954</xdr:rowOff>
    </xdr:to>
    <xdr:pic>
      <xdr:nvPicPr>
        <xdr:cNvPr id="6" name="Picture 5">
          <a:extLst>
            <a:ext uri="{FF2B5EF4-FFF2-40B4-BE49-F238E27FC236}">
              <a16:creationId xmlns:a16="http://schemas.microsoft.com/office/drawing/2014/main" id="{DEC0875A-612C-50D5-A059-E7AFAACBAED8}"/>
            </a:ext>
          </a:extLst>
        </xdr:cNvPr>
        <xdr:cNvPicPr>
          <a:picLocks noChangeAspect="1"/>
        </xdr:cNvPicPr>
      </xdr:nvPicPr>
      <xdr:blipFill>
        <a:blip xmlns:r="http://schemas.openxmlformats.org/officeDocument/2006/relationships" r:embed="rId3"/>
        <a:stretch>
          <a:fillRect/>
        </a:stretch>
      </xdr:blipFill>
      <xdr:spPr>
        <a:xfrm>
          <a:off x="11123545" y="16565"/>
          <a:ext cx="1648238" cy="47938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531</xdr:colOff>
      <xdr:row>2</xdr:row>
      <xdr:rowOff>9524</xdr:rowOff>
    </xdr:from>
    <xdr:to>
      <xdr:col>5</xdr:col>
      <xdr:colOff>238124</xdr:colOff>
      <xdr:row>8</xdr:row>
      <xdr:rowOff>38100</xdr:rowOff>
    </xdr:to>
    <xdr:sp macro="" textlink="">
      <xdr:nvSpPr>
        <xdr:cNvPr id="3" name="Rectangle 2">
          <a:extLst>
            <a:ext uri="{FF2B5EF4-FFF2-40B4-BE49-F238E27FC236}">
              <a16:creationId xmlns:a16="http://schemas.microsoft.com/office/drawing/2014/main" id="{FB76EE74-1745-4A97-8B42-0118E147AD51}"/>
            </a:ext>
          </a:extLst>
        </xdr:cNvPr>
        <xdr:cNvSpPr/>
      </xdr:nvSpPr>
      <xdr:spPr>
        <a:xfrm>
          <a:off x="610131" y="885824"/>
          <a:ext cx="4161893" cy="1171576"/>
        </a:xfrm>
        <a:prstGeom prst="rect">
          <a:avLst/>
        </a:prstGeom>
        <a:solidFill>
          <a:schemeClr val="accent4">
            <a:lumMod val="20000"/>
            <a:lumOff val="80000"/>
          </a:schemeClr>
        </a:solidFill>
        <a:ln>
          <a:solidFill>
            <a:srgbClr val="1F94D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kern="1200">
              <a:solidFill>
                <a:schemeClr val="tx1"/>
              </a:solidFill>
            </a:rPr>
            <a:t>Here</a:t>
          </a:r>
          <a:r>
            <a:rPr lang="en-US" sz="1100" kern="1200" baseline="0">
              <a:solidFill>
                <a:schemeClr val="tx1"/>
              </a:solidFill>
            </a:rPr>
            <a:t> you may </a:t>
          </a:r>
          <a:r>
            <a:rPr lang="en-US" sz="1100" b="1" kern="1200" baseline="0">
              <a:solidFill>
                <a:schemeClr val="tx1"/>
              </a:solidFill>
            </a:rPr>
            <a:t>input a detailed monthly cash burn as negative values</a:t>
          </a:r>
          <a:r>
            <a:rPr lang="en-US" sz="1100" kern="1200" baseline="0">
              <a:solidFill>
                <a:schemeClr val="tx1"/>
              </a:solidFill>
            </a:rPr>
            <a:t>. You may also input positive values if you expect to reach cash break even within the 36 month horizon. </a:t>
          </a:r>
          <a:br>
            <a:rPr lang="en-US" sz="1100" kern="1200" baseline="0">
              <a:solidFill>
                <a:schemeClr val="tx1"/>
              </a:solidFill>
            </a:rPr>
          </a:br>
          <a:endParaRPr lang="en-US" sz="1100" kern="1200" baseline="0">
            <a:solidFill>
              <a:schemeClr val="tx1"/>
            </a:solidFill>
          </a:endParaRPr>
        </a:p>
        <a:p>
          <a:pPr algn="l"/>
          <a:r>
            <a:rPr lang="en-US" sz="1100" kern="1200" baseline="0">
              <a:solidFill>
                <a:schemeClr val="tx1"/>
              </a:solidFill>
            </a:rPr>
            <a:t>Please note that </a:t>
          </a:r>
          <a:r>
            <a:rPr lang="en-US" sz="1100" b="1" kern="1200" baseline="0">
              <a:solidFill>
                <a:schemeClr val="tx1"/>
              </a:solidFill>
            </a:rPr>
            <a:t>if you input any value here, they will override any figures in the input by year cell </a:t>
          </a:r>
          <a:r>
            <a:rPr lang="en-US" sz="1100" kern="1200" baseline="0">
              <a:solidFill>
                <a:schemeClr val="tx1"/>
              </a:solidFill>
            </a:rPr>
            <a:t>in the main calculator tab.</a:t>
          </a:r>
        </a:p>
        <a:p>
          <a:pPr algn="l"/>
          <a:endParaRPr lang="en-US" sz="1100" kern="1200">
            <a:solidFill>
              <a:schemeClr val="tx1"/>
            </a:solidFill>
          </a:endParaRPr>
        </a:p>
      </xdr:txBody>
    </xdr:sp>
    <xdr:clientData/>
  </xdr:twoCellAnchor>
  <xdr:twoCellAnchor editAs="oneCell">
    <xdr:from>
      <xdr:col>12</xdr:col>
      <xdr:colOff>481853</xdr:colOff>
      <xdr:row>0</xdr:row>
      <xdr:rowOff>78441</xdr:rowOff>
    </xdr:from>
    <xdr:to>
      <xdr:col>14</xdr:col>
      <xdr:colOff>516444</xdr:colOff>
      <xdr:row>0</xdr:row>
      <xdr:rowOff>557830</xdr:rowOff>
    </xdr:to>
    <xdr:pic>
      <xdr:nvPicPr>
        <xdr:cNvPr id="4" name="Picture 3">
          <a:extLst>
            <a:ext uri="{FF2B5EF4-FFF2-40B4-BE49-F238E27FC236}">
              <a16:creationId xmlns:a16="http://schemas.microsoft.com/office/drawing/2014/main" id="{69CFDB83-1E68-4137-8A3B-B70B6ECC0198}"/>
            </a:ext>
          </a:extLst>
        </xdr:cNvPr>
        <xdr:cNvPicPr>
          <a:picLocks noChangeAspect="1"/>
        </xdr:cNvPicPr>
      </xdr:nvPicPr>
      <xdr:blipFill>
        <a:blip xmlns:r="http://schemas.openxmlformats.org/officeDocument/2006/relationships" r:embed="rId1"/>
        <a:stretch>
          <a:fillRect/>
        </a:stretch>
      </xdr:blipFill>
      <xdr:spPr>
        <a:xfrm>
          <a:off x="11329147" y="78441"/>
          <a:ext cx="1648238" cy="47938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461682</xdr:colOff>
      <xdr:row>1</xdr:row>
      <xdr:rowOff>182095</xdr:rowOff>
    </xdr:from>
    <xdr:to>
      <xdr:col>7</xdr:col>
      <xdr:colOff>605119</xdr:colOff>
      <xdr:row>4</xdr:row>
      <xdr:rowOff>470647</xdr:rowOff>
    </xdr:to>
    <xdr:sp macro="" textlink="">
      <xdr:nvSpPr>
        <xdr:cNvPr id="2" name="Rectangle 1">
          <a:extLst>
            <a:ext uri="{FF2B5EF4-FFF2-40B4-BE49-F238E27FC236}">
              <a16:creationId xmlns:a16="http://schemas.microsoft.com/office/drawing/2014/main" id="{2974214A-FC74-48F9-B0C4-0CD3A44777DF}"/>
            </a:ext>
          </a:extLst>
        </xdr:cNvPr>
        <xdr:cNvSpPr/>
      </xdr:nvSpPr>
      <xdr:spPr>
        <a:xfrm>
          <a:off x="461682" y="865654"/>
          <a:ext cx="7651378" cy="1487581"/>
        </a:xfrm>
        <a:prstGeom prst="rect">
          <a:avLst/>
        </a:prstGeom>
        <a:solidFill>
          <a:schemeClr val="accent4">
            <a:lumMod val="20000"/>
            <a:lumOff val="80000"/>
          </a:schemeClr>
        </a:solidFill>
        <a:ln>
          <a:solidFill>
            <a:srgbClr val="1F94D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kern="1200">
              <a:solidFill>
                <a:schemeClr val="tx1"/>
              </a:solidFill>
            </a:rPr>
            <a:t>The </a:t>
          </a:r>
          <a:r>
            <a:rPr lang="en-US" sz="1100" b="1" kern="1200">
              <a:solidFill>
                <a:schemeClr val="tx1"/>
              </a:solidFill>
            </a:rPr>
            <a:t>Detailed P&amp;L</a:t>
          </a:r>
          <a:r>
            <a:rPr lang="en-US" sz="1100" b="1" kern="1200" baseline="0">
              <a:solidFill>
                <a:schemeClr val="tx1"/>
              </a:solidFill>
            </a:rPr>
            <a:t> template provides a framework to plan cash flow needs</a:t>
          </a:r>
          <a:r>
            <a:rPr lang="en-US" sz="1100" kern="1200" baseline="0">
              <a:solidFill>
                <a:schemeClr val="tx1"/>
              </a:solidFill>
            </a:rPr>
            <a:t>.</a:t>
          </a:r>
        </a:p>
        <a:p>
          <a:pPr algn="l"/>
          <a:endParaRPr lang="en-US" sz="1100" kern="1200" baseline="0">
            <a:solidFill>
              <a:schemeClr val="tx1"/>
            </a:solidFill>
          </a:endParaRPr>
        </a:p>
        <a:p>
          <a:pPr algn="l"/>
          <a:r>
            <a:rPr lang="en-US" sz="1100" kern="1200" baseline="0">
              <a:solidFill>
                <a:schemeClr val="tx1"/>
              </a:solidFill>
            </a:rPr>
            <a:t>It will guide you to generate a P&amp;L based on volume sales by channel, planned discounts, unit costs and expenses. On top of that, you may include changes in working capital and capital expenses.</a:t>
          </a:r>
        </a:p>
        <a:p>
          <a:pPr algn="l"/>
          <a:br>
            <a:rPr lang="en-US" sz="1100" kern="1200">
              <a:solidFill>
                <a:schemeClr val="tx1"/>
              </a:solidFill>
            </a:rPr>
          </a:br>
          <a:r>
            <a:rPr lang="en-US" sz="1100" kern="1200">
              <a:solidFill>
                <a:schemeClr val="tx1"/>
              </a:solidFill>
            </a:rPr>
            <a:t>Once you have</a:t>
          </a:r>
          <a:r>
            <a:rPr lang="en-US" sz="1100" kern="1200" baseline="0">
              <a:solidFill>
                <a:schemeClr val="tx1"/>
              </a:solidFill>
            </a:rPr>
            <a:t> completed this, you may copy the results to the Detailed Monthly Burn input in Sheet 2.</a:t>
          </a:r>
          <a:br>
            <a:rPr lang="en-US" sz="1100" kern="1200" baseline="0">
              <a:solidFill>
                <a:schemeClr val="tx1"/>
              </a:solidFill>
            </a:rPr>
          </a:br>
          <a:br>
            <a:rPr lang="en-US" sz="1100" kern="1200" baseline="0">
              <a:solidFill>
                <a:schemeClr val="tx1"/>
              </a:solidFill>
            </a:rPr>
          </a:br>
          <a:r>
            <a:rPr lang="en-US" sz="1100" kern="1200" baseline="0">
              <a:solidFill>
                <a:schemeClr val="tx1"/>
              </a:solidFill>
            </a:rPr>
            <a:t>Please note you may expand the lines below to itemize volume, discounts, and costs by channel or type of expense.</a:t>
          </a:r>
          <a:endParaRPr lang="en-US" sz="1100" kern="1200">
            <a:solidFill>
              <a:schemeClr val="tx1"/>
            </a:solidFill>
          </a:endParaRPr>
        </a:p>
      </xdr:txBody>
    </xdr:sp>
    <xdr:clientData/>
  </xdr:twoCellAnchor>
  <xdr:twoCellAnchor editAs="oneCell">
    <xdr:from>
      <xdr:col>10</xdr:col>
      <xdr:colOff>189139</xdr:colOff>
      <xdr:row>0</xdr:row>
      <xdr:rowOff>76200</xdr:rowOff>
    </xdr:from>
    <xdr:to>
      <xdr:col>11</xdr:col>
      <xdr:colOff>187779</xdr:colOff>
      <xdr:row>0</xdr:row>
      <xdr:rowOff>645910</xdr:rowOff>
    </xdr:to>
    <xdr:pic>
      <xdr:nvPicPr>
        <xdr:cNvPr id="3" name="Picture 5">
          <a:extLst>
            <a:ext uri="{FF2B5EF4-FFF2-40B4-BE49-F238E27FC236}">
              <a16:creationId xmlns:a16="http://schemas.microsoft.com/office/drawing/2014/main" id="{3EB03799-FDCF-4D5A-BB2A-56DA411FC51B}"/>
            </a:ext>
          </a:extLst>
        </xdr:cNvPr>
        <xdr:cNvPicPr>
          <a:picLocks noChangeAspect="1"/>
        </xdr:cNvPicPr>
      </xdr:nvPicPr>
      <xdr:blipFill rotWithShape="1">
        <a:blip xmlns:r="http://schemas.openxmlformats.org/officeDocument/2006/relationships" r:embed="rId1"/>
        <a:srcRect l="6255" t="2445" r="73612" b="88201"/>
        <a:stretch/>
      </xdr:blipFill>
      <xdr:spPr>
        <a:xfrm>
          <a:off x="10142764" y="76200"/>
          <a:ext cx="827315" cy="56971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431800</xdr:colOff>
          <xdr:row>5</xdr:row>
          <xdr:rowOff>76200</xdr:rowOff>
        </xdr:from>
        <xdr:to>
          <xdr:col>1</xdr:col>
          <xdr:colOff>469900</xdr:colOff>
          <xdr:row>6</xdr:row>
          <xdr:rowOff>215900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ptos Narrow" charset="0"/>
                </a:rPr>
                <a:t>Expand P&amp;L 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711200</xdr:colOff>
          <xdr:row>5</xdr:row>
          <xdr:rowOff>76200</xdr:rowOff>
        </xdr:from>
        <xdr:to>
          <xdr:col>1</xdr:col>
          <xdr:colOff>1358900</xdr:colOff>
          <xdr:row>6</xdr:row>
          <xdr:rowOff>215900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ptos Narrow" charset="0"/>
                </a:rPr>
                <a:t>Collapse P&amp;L 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393700</xdr:colOff>
          <xdr:row>2</xdr:row>
          <xdr:rowOff>368300</xdr:rowOff>
        </xdr:from>
        <xdr:to>
          <xdr:col>10</xdr:col>
          <xdr:colOff>520700</xdr:colOff>
          <xdr:row>4</xdr:row>
          <xdr:rowOff>254000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200-000003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ptos Narrow" charset="0"/>
                </a:rPr>
                <a:t>Copy Cash Flow to Detailed Cash Burn (Tab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88900</xdr:colOff>
          <xdr:row>0</xdr:row>
          <xdr:rowOff>114300</xdr:rowOff>
        </xdr:from>
        <xdr:to>
          <xdr:col>14</xdr:col>
          <xdr:colOff>0</xdr:colOff>
          <xdr:row>0</xdr:row>
          <xdr:rowOff>622300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200-000005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ptos Narrow" charset="0"/>
                </a:rPr>
                <a:t>Clear P&amp;L Input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742950</xdr:colOff>
      <xdr:row>14</xdr:row>
      <xdr:rowOff>133350</xdr:rowOff>
    </xdr:from>
    <xdr:to>
      <xdr:col>3</xdr:col>
      <xdr:colOff>561975</xdr:colOff>
      <xdr:row>25</xdr:row>
      <xdr:rowOff>28575</xdr:rowOff>
    </xdr:to>
    <xdr:sp macro="" textlink="">
      <xdr:nvSpPr>
        <xdr:cNvPr id="2" name="Rectangle 1">
          <a:extLst>
            <a:ext uri="{FF2B5EF4-FFF2-40B4-BE49-F238E27FC236}">
              <a16:creationId xmlns:a16="http://schemas.microsoft.com/office/drawing/2014/main" id="{2AAA215E-54B4-43C3-9A2C-BF35839F97B8}"/>
            </a:ext>
          </a:extLst>
        </xdr:cNvPr>
        <xdr:cNvSpPr/>
      </xdr:nvSpPr>
      <xdr:spPr>
        <a:xfrm>
          <a:off x="1352550" y="2828925"/>
          <a:ext cx="1895475" cy="1990725"/>
        </a:xfrm>
        <a:prstGeom prst="rect">
          <a:avLst/>
        </a:prstGeom>
        <a:solidFill>
          <a:schemeClr val="accent4">
            <a:lumMod val="20000"/>
            <a:lumOff val="80000"/>
          </a:schemeClr>
        </a:solidFill>
        <a:ln>
          <a:solidFill>
            <a:srgbClr val="1F94D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kern="1200">
              <a:solidFill>
                <a:schemeClr val="tx1"/>
              </a:solidFill>
            </a:rPr>
            <a:t>The </a:t>
          </a:r>
          <a:r>
            <a:rPr lang="en-US" sz="1100" b="1" kern="1200">
              <a:solidFill>
                <a:schemeClr val="tx1"/>
              </a:solidFill>
            </a:rPr>
            <a:t>Cash Burn multiplier </a:t>
          </a:r>
          <a:r>
            <a:rPr lang="en-US" sz="1100" b="1" kern="1200">
              <a:solidFill>
                <a:srgbClr val="00B050"/>
              </a:solidFill>
            </a:rPr>
            <a:t>accounts for the uncertaintity and variability of cash flows in early stages of the company</a:t>
          </a:r>
          <a:r>
            <a:rPr lang="en-US" sz="1100" kern="1200">
              <a:solidFill>
                <a:schemeClr val="tx1"/>
              </a:solidFill>
            </a:rPr>
            <a:t>. </a:t>
          </a:r>
          <a:br>
            <a:rPr lang="en-US" sz="1100" kern="1200">
              <a:solidFill>
                <a:schemeClr val="tx1"/>
              </a:solidFill>
            </a:rPr>
          </a:br>
          <a:br>
            <a:rPr lang="en-US" sz="1100" kern="1200">
              <a:solidFill>
                <a:schemeClr val="tx1"/>
              </a:solidFill>
            </a:rPr>
          </a:br>
          <a:r>
            <a:rPr lang="en-US" sz="1100" kern="1200">
              <a:solidFill>
                <a:schemeClr val="tx1"/>
              </a:solidFill>
            </a:rPr>
            <a:t>For example, if a 1.2 multiplier is use, an extra 20% cushion will be added to accommodate for any unexpected variability in cash flows.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65541-57ED-490E-A401-2272525A6899}">
  <sheetPr codeName="Sheet3">
    <tabColor rgb="FF00B0F0"/>
  </sheetPr>
  <dimension ref="B1:BX54"/>
  <sheetViews>
    <sheetView showGridLines="0" tabSelected="1" topLeftCell="A7" zoomScale="140" zoomScaleNormal="140" zoomScaleSheetLayoutView="115" workbookViewId="0">
      <selection activeCell="C53" sqref="C53"/>
    </sheetView>
  </sheetViews>
  <sheetFormatPr baseColWidth="10" defaultColWidth="8.83203125" defaultRowHeight="15" x14ac:dyDescent="0.2"/>
  <cols>
    <col min="1" max="1" width="6.6640625" customWidth="1"/>
    <col min="2" max="2" width="35.5" customWidth="1"/>
    <col min="3" max="3" width="22.5" customWidth="1"/>
    <col min="4" max="4" width="19.6640625" bestFit="1" customWidth="1"/>
    <col min="5" max="13" width="11.6640625" customWidth="1"/>
    <col min="14" max="15" width="10.6640625" customWidth="1"/>
    <col min="16" max="16" width="15.5" customWidth="1"/>
    <col min="17" max="17" width="18.33203125" bestFit="1" customWidth="1"/>
    <col min="18" max="18" width="12.33203125" customWidth="1"/>
    <col min="19" max="19" width="13.5" bestFit="1" customWidth="1"/>
    <col min="20" max="20" width="20.83203125" bestFit="1" customWidth="1"/>
    <col min="21" max="21" width="13.5" bestFit="1" customWidth="1"/>
    <col min="22" max="22" width="20.83203125" bestFit="1" customWidth="1"/>
    <col min="23" max="23" width="19" customWidth="1"/>
    <col min="24" max="24" width="12.33203125" bestFit="1" customWidth="1"/>
    <col min="61" max="61" width="38.5" bestFit="1" customWidth="1"/>
    <col min="62" max="62" width="19.5" bestFit="1" customWidth="1"/>
    <col min="63" max="63" width="19.5" customWidth="1"/>
    <col min="64" max="64" width="36.5" bestFit="1" customWidth="1"/>
    <col min="65" max="65" width="19.5" bestFit="1" customWidth="1"/>
    <col min="66" max="66" width="15.6640625" bestFit="1" customWidth="1"/>
    <col min="70" max="70" width="34.83203125" customWidth="1"/>
    <col min="71" max="73" width="31.5" style="25" customWidth="1"/>
    <col min="74" max="74" width="23.5" bestFit="1" customWidth="1"/>
    <col min="75" max="75" width="20" bestFit="1" customWidth="1"/>
    <col min="76" max="76" width="26.5" bestFit="1" customWidth="1"/>
    <col min="77" max="77" width="10.33203125" bestFit="1" customWidth="1"/>
    <col min="78" max="78" width="11.33203125" bestFit="1" customWidth="1"/>
    <col min="79" max="79" width="25.5" bestFit="1" customWidth="1"/>
    <col min="93" max="93" width="14" bestFit="1" customWidth="1"/>
    <col min="95" max="95" width="13.6640625" bestFit="1" customWidth="1"/>
    <col min="96" max="96" width="19.83203125" bestFit="1" customWidth="1"/>
  </cols>
  <sheetData>
    <row r="1" spans="2:76" s="184" customFormat="1" ht="40.5" customHeight="1" x14ac:dyDescent="0.2">
      <c r="B1" s="188" t="s">
        <v>173</v>
      </c>
      <c r="C1" s="188"/>
      <c r="D1" s="188"/>
      <c r="E1" s="188"/>
      <c r="F1" s="188"/>
      <c r="BS1" s="185"/>
      <c r="BT1" s="185"/>
      <c r="BU1" s="185"/>
    </row>
    <row r="2" spans="2:76" x14ac:dyDescent="0.2">
      <c r="BS2"/>
      <c r="BV2" s="25"/>
    </row>
    <row r="3" spans="2:76" ht="22" x14ac:dyDescent="0.3">
      <c r="B3" s="26" t="s">
        <v>17</v>
      </c>
      <c r="C3" s="27"/>
      <c r="BS3"/>
      <c r="BV3" s="25"/>
    </row>
    <row r="4" spans="2:76" x14ac:dyDescent="0.2">
      <c r="B4" s="28" t="s">
        <v>0</v>
      </c>
      <c r="C4" s="1">
        <v>46143</v>
      </c>
      <c r="AA4" t="s">
        <v>38</v>
      </c>
      <c r="BS4"/>
      <c r="BV4" s="25"/>
    </row>
    <row r="5" spans="2:76" x14ac:dyDescent="0.2">
      <c r="B5" s="29" t="s">
        <v>16</v>
      </c>
      <c r="C5" s="4" t="s">
        <v>25</v>
      </c>
      <c r="AA5" t="str">
        <f ca="1">CONCATENATE("$",TEXT(C24%%%,"0.00")," M")</f>
        <v>$0.90 M</v>
      </c>
      <c r="BS5"/>
      <c r="BT5"/>
      <c r="BU5"/>
      <c r="BV5" s="25"/>
      <c r="BW5" s="25"/>
      <c r="BX5" s="25"/>
    </row>
    <row r="6" spans="2:76" x14ac:dyDescent="0.2">
      <c r="B6" s="29" t="s">
        <v>178</v>
      </c>
      <c r="C6" s="183">
        <v>1000000</v>
      </c>
      <c r="BS6"/>
      <c r="BT6"/>
      <c r="BU6"/>
      <c r="BV6" s="25"/>
      <c r="BW6" s="25"/>
      <c r="BX6" s="25"/>
    </row>
    <row r="7" spans="2:76" x14ac:dyDescent="0.2">
      <c r="B7" s="29" t="s">
        <v>2</v>
      </c>
      <c r="C7" s="3">
        <v>6000000</v>
      </c>
      <c r="BS7"/>
      <c r="BV7" s="25"/>
    </row>
    <row r="8" spans="2:76" x14ac:dyDescent="0.2">
      <c r="B8" s="29" t="s">
        <v>43</v>
      </c>
      <c r="C8" s="3">
        <v>500000</v>
      </c>
      <c r="BS8"/>
      <c r="BV8" s="25"/>
    </row>
    <row r="9" spans="2:76" x14ac:dyDescent="0.2">
      <c r="B9" s="29" t="s">
        <v>18</v>
      </c>
      <c r="C9" s="3">
        <v>-75000</v>
      </c>
      <c r="D9" s="189" t="str">
        <f>+IF(COUNTA('2.Detailed Cash Burn (Optional)'!$D$11:$AM$11)&gt;0,"Detailed monthly cash burn has been inputted in Tab 2. Delete any detailed financials for these figures to be applied.","")</f>
        <v/>
      </c>
      <c r="BS9"/>
      <c r="BV9" s="25"/>
    </row>
    <row r="10" spans="2:76" x14ac:dyDescent="0.2">
      <c r="B10" s="29" t="s">
        <v>19</v>
      </c>
      <c r="C10" s="3">
        <v>-125000</v>
      </c>
      <c r="D10" s="189"/>
      <c r="BS10"/>
      <c r="BV10" s="25"/>
    </row>
    <row r="11" spans="2:76" x14ac:dyDescent="0.2">
      <c r="B11" s="29" t="s">
        <v>20</v>
      </c>
      <c r="C11" s="3">
        <v>-80000</v>
      </c>
      <c r="D11" s="189"/>
      <c r="BS11"/>
      <c r="BV11" s="25"/>
    </row>
    <row r="12" spans="2:76" x14ac:dyDescent="0.2">
      <c r="B12" s="29" t="s">
        <v>6</v>
      </c>
      <c r="C12" s="8">
        <v>16</v>
      </c>
      <c r="BS12"/>
      <c r="BV12" s="25"/>
    </row>
    <row r="13" spans="2:76" hidden="1" x14ac:dyDescent="0.2">
      <c r="B13" s="30" t="s">
        <v>7</v>
      </c>
      <c r="C13" s="31">
        <f>+IF(C5="Pre Rev",1.2,1)</f>
        <v>1</v>
      </c>
      <c r="BS13"/>
      <c r="BV13" s="25"/>
    </row>
    <row r="14" spans="2:76" hidden="1" x14ac:dyDescent="0.2">
      <c r="B14" s="30" t="s">
        <v>3</v>
      </c>
      <c r="C14" s="32">
        <f>+C13*C9</f>
        <v>-75000</v>
      </c>
      <c r="BS14"/>
      <c r="BV14" s="25"/>
    </row>
    <row r="15" spans="2:76" hidden="1" x14ac:dyDescent="0.2">
      <c r="B15" s="30" t="s">
        <v>4</v>
      </c>
      <c r="C15" s="32">
        <f>+C13*C10</f>
        <v>-125000</v>
      </c>
      <c r="BS15"/>
      <c r="BV15" s="25"/>
    </row>
    <row r="16" spans="2:76" hidden="1" x14ac:dyDescent="0.2">
      <c r="B16" s="30" t="s">
        <v>5</v>
      </c>
      <c r="C16" s="32">
        <f>+C11*C13</f>
        <v>-80000</v>
      </c>
      <c r="BS16"/>
      <c r="BV16" s="25"/>
    </row>
    <row r="17" spans="2:74" x14ac:dyDescent="0.2">
      <c r="B17" s="33"/>
      <c r="C17" s="33"/>
      <c r="BS17"/>
      <c r="BV17" s="25"/>
    </row>
    <row r="18" spans="2:74" ht="22" x14ac:dyDescent="0.3">
      <c r="B18" s="26" t="s">
        <v>22</v>
      </c>
      <c r="C18" s="27"/>
      <c r="BS18"/>
      <c r="BV18" s="25"/>
    </row>
    <row r="19" spans="2:74" x14ac:dyDescent="0.2">
      <c r="B19" s="34" t="s">
        <v>10</v>
      </c>
      <c r="C19" s="35">
        <f>+SUM(CalcSheet!D11:BW11)</f>
        <v>6.666666666666667</v>
      </c>
      <c r="BS19"/>
      <c r="BV19" s="25"/>
    </row>
    <row r="20" spans="2:74" x14ac:dyDescent="0.2">
      <c r="B20" s="36" t="s">
        <v>11</v>
      </c>
      <c r="C20" s="37">
        <f>+C8</f>
        <v>500000</v>
      </c>
      <c r="BS20"/>
      <c r="BV20" s="25"/>
    </row>
    <row r="21" spans="2:74" x14ac:dyDescent="0.2">
      <c r="B21" s="34" t="s">
        <v>23</v>
      </c>
      <c r="C21" s="37">
        <f>+IF(C7&lt;&gt;"",C7,+VLOOKUP(C5,'Assumption Customization'!$B$12:$F$14,5,FALSE))</f>
        <v>6000000</v>
      </c>
      <c r="BS21"/>
      <c r="BV21" s="25"/>
    </row>
    <row r="22" spans="2:74" x14ac:dyDescent="0.2">
      <c r="B22" s="36" t="s">
        <v>26</v>
      </c>
      <c r="C22" s="38">
        <f>+MAX(DATE(YEAR(C4),MONTH(C4)+C19-'Assumption Customization'!$D$5,DAY(C4)),C4)</f>
        <v>46174</v>
      </c>
      <c r="BS22"/>
      <c r="BV22" s="25"/>
    </row>
    <row r="23" spans="2:74" x14ac:dyDescent="0.2">
      <c r="B23" s="39" t="s">
        <v>29</v>
      </c>
      <c r="C23" s="40">
        <f>+DATE(YEAR(C4),MONTH(C4)+C19,DAY(C4))</f>
        <v>46327</v>
      </c>
      <c r="D23" s="41"/>
      <c r="BS23"/>
      <c r="BV23" s="25"/>
    </row>
    <row r="24" spans="2:74" x14ac:dyDescent="0.2">
      <c r="B24" s="42" t="s">
        <v>8</v>
      </c>
      <c r="C24" s="43">
        <f ca="1">ABS(MIN(CalcSheet!$C$10:OFFSET(CalcSheet!$C$10,0,(C12)),0))</f>
        <v>900000</v>
      </c>
      <c r="BS24"/>
      <c r="BV24" s="25"/>
    </row>
    <row r="25" spans="2:74" x14ac:dyDescent="0.2">
      <c r="B25" s="44"/>
      <c r="C25" s="45"/>
      <c r="BS25"/>
      <c r="BV25" s="25"/>
    </row>
    <row r="26" spans="2:74" ht="22" x14ac:dyDescent="0.3">
      <c r="B26" s="26" t="s">
        <v>21</v>
      </c>
      <c r="C26" s="27"/>
      <c r="BS26"/>
      <c r="BV26" s="25"/>
    </row>
    <row r="27" spans="2:74" x14ac:dyDescent="0.2">
      <c r="B27" s="46" t="s">
        <v>30</v>
      </c>
      <c r="C27" s="1"/>
      <c r="BS27"/>
      <c r="BV27" s="25"/>
    </row>
    <row r="28" spans="2:74" x14ac:dyDescent="0.2">
      <c r="B28" s="46" t="s">
        <v>9</v>
      </c>
      <c r="C28" s="3">
        <v>1000000</v>
      </c>
      <c r="BS28"/>
      <c r="BV28" s="25"/>
    </row>
    <row r="29" spans="2:74" x14ac:dyDescent="0.2">
      <c r="B29" s="46" t="s">
        <v>12</v>
      </c>
      <c r="C29" s="47">
        <f>+C28/(+C28+C21)</f>
        <v>0.14285714285714285</v>
      </c>
      <c r="BS29"/>
      <c r="BV29" s="25"/>
    </row>
    <row r="30" spans="2:74" x14ac:dyDescent="0.2">
      <c r="B30" s="46" t="s">
        <v>13</v>
      </c>
      <c r="C30" s="48">
        <f>+C21+C28+C8</f>
        <v>7500000</v>
      </c>
      <c r="BS30"/>
      <c r="BV30" s="25"/>
    </row>
    <row r="31" spans="2:74" x14ac:dyDescent="0.2">
      <c r="B31" s="34" t="s">
        <v>14</v>
      </c>
      <c r="C31" s="48">
        <f>+C8+C28</f>
        <v>1500000</v>
      </c>
      <c r="BS31"/>
      <c r="BV31" s="25"/>
    </row>
    <row r="32" spans="2:74" x14ac:dyDescent="0.2">
      <c r="B32" s="46" t="s">
        <v>44</v>
      </c>
      <c r="C32" s="48">
        <f>+C31+C14*12</f>
        <v>600000</v>
      </c>
      <c r="BS32"/>
      <c r="BV32" s="25"/>
    </row>
    <row r="33" spans="2:74" x14ac:dyDescent="0.2">
      <c r="B33" s="36" t="s">
        <v>45</v>
      </c>
      <c r="C33" s="48">
        <f>C31+C14*12+C15*12</f>
        <v>-900000</v>
      </c>
      <c r="BS33"/>
      <c r="BV33" s="25"/>
    </row>
    <row r="34" spans="2:74" x14ac:dyDescent="0.2">
      <c r="B34" s="36" t="s">
        <v>15</v>
      </c>
      <c r="C34" s="49">
        <f>+SUM(CalcSheet!D20:BW20)</f>
        <v>2390.7333333333336</v>
      </c>
      <c r="BS34"/>
      <c r="BV34" s="25"/>
    </row>
    <row r="35" spans="2:74" x14ac:dyDescent="0.2">
      <c r="B35" s="33"/>
      <c r="BS35"/>
      <c r="BV35" s="25"/>
    </row>
    <row r="36" spans="2:74" ht="22" x14ac:dyDescent="0.3">
      <c r="B36" s="170" t="s">
        <v>135</v>
      </c>
      <c r="C36" s="171"/>
    </row>
    <row r="37" spans="2:74" x14ac:dyDescent="0.2">
      <c r="B37" s="46" t="s">
        <v>136</v>
      </c>
      <c r="C37" s="2">
        <v>12</v>
      </c>
    </row>
    <row r="38" spans="2:74" x14ac:dyDescent="0.2">
      <c r="B38" s="36" t="s">
        <v>139</v>
      </c>
      <c r="C38" s="119">
        <f>+DATE(YEAR(C4),MONTH(C4)+C34-'Assumption Customization'!D5,DAY(C4))</f>
        <v>118737</v>
      </c>
    </row>
    <row r="39" spans="2:74" x14ac:dyDescent="0.2">
      <c r="B39" s="109" t="s">
        <v>140</v>
      </c>
      <c r="C39" s="120">
        <f>+DATE(YEAR(C4),MONTH(C4)+C34,DAY(C4))</f>
        <v>118887</v>
      </c>
    </row>
    <row r="40" spans="2:74" x14ac:dyDescent="0.2">
      <c r="B40" s="110" t="s">
        <v>137</v>
      </c>
      <c r="C40" s="121"/>
    </row>
    <row r="41" spans="2:74" x14ac:dyDescent="0.2">
      <c r="B41" s="46" t="s">
        <v>141</v>
      </c>
      <c r="C41" s="1">
        <v>46357</v>
      </c>
    </row>
    <row r="42" spans="2:74" x14ac:dyDescent="0.2">
      <c r="B42" s="46" t="s">
        <v>142</v>
      </c>
      <c r="C42" s="3">
        <v>2000000</v>
      </c>
    </row>
    <row r="43" spans="2:74" x14ac:dyDescent="0.2">
      <c r="B43" s="36" t="s">
        <v>164</v>
      </c>
      <c r="C43" s="49">
        <f>+SUM(CalcSheet!D30:BW30)-C34</f>
        <v>-2383.8166666666671</v>
      </c>
    </row>
    <row r="44" spans="2:74" x14ac:dyDescent="0.2">
      <c r="B44" s="36" t="s">
        <v>165</v>
      </c>
      <c r="C44" s="49">
        <f>+SUM(CalcSheet!D30:BW30)</f>
        <v>6.916666666666667</v>
      </c>
    </row>
    <row r="46" spans="2:74" ht="22" x14ac:dyDescent="0.3">
      <c r="B46" s="170" t="s">
        <v>163</v>
      </c>
      <c r="C46" s="171"/>
    </row>
    <row r="47" spans="2:74" x14ac:dyDescent="0.2">
      <c r="B47" s="46" t="s">
        <v>136</v>
      </c>
      <c r="C47" s="2">
        <v>12</v>
      </c>
    </row>
    <row r="48" spans="2:74" x14ac:dyDescent="0.2">
      <c r="B48" s="36" t="s">
        <v>166</v>
      </c>
      <c r="C48" s="119">
        <f>+DATE(YEAR(C4),MONTH(C4)+C44-'Assumption Customization'!D5,DAY(C4))</f>
        <v>46174</v>
      </c>
    </row>
    <row r="49" spans="2:3" x14ac:dyDescent="0.2">
      <c r="B49" s="109" t="s">
        <v>167</v>
      </c>
      <c r="C49" s="120">
        <f>+DATE(YEAR(C4),MONTH(C4)+C44,DAY(C4))</f>
        <v>46327</v>
      </c>
    </row>
    <row r="50" spans="2:3" x14ac:dyDescent="0.2">
      <c r="B50" s="110" t="s">
        <v>168</v>
      </c>
      <c r="C50" s="121"/>
    </row>
    <row r="51" spans="2:3" x14ac:dyDescent="0.2">
      <c r="B51" s="46" t="s">
        <v>169</v>
      </c>
      <c r="C51" s="1"/>
    </row>
    <row r="52" spans="2:3" x14ac:dyDescent="0.2">
      <c r="B52" s="46" t="s">
        <v>170</v>
      </c>
      <c r="C52" s="3">
        <v>4000000</v>
      </c>
    </row>
    <row r="53" spans="2:3" x14ac:dyDescent="0.2">
      <c r="B53" s="36" t="s">
        <v>171</v>
      </c>
      <c r="C53" s="49">
        <f>+SUM(CalcSheet!D40:BW40)-C44</f>
        <v>0</v>
      </c>
    </row>
    <row r="54" spans="2:3" x14ac:dyDescent="0.2">
      <c r="B54" s="36" t="s">
        <v>172</v>
      </c>
      <c r="C54" s="49">
        <f>+SUM(CalcSheet!D40:BW40)</f>
        <v>6.916666666666667</v>
      </c>
    </row>
  </sheetData>
  <mergeCells count="2">
    <mergeCell ref="B1:F1"/>
    <mergeCell ref="D9:D11"/>
  </mergeCells>
  <conditionalFormatting sqref="C9:C11">
    <cfRule type="expression" dxfId="2" priority="3">
      <formula>+C9&lt;0</formula>
    </cfRule>
  </conditionalFormatting>
  <conditionalFormatting sqref="C32:C33">
    <cfRule type="expression" dxfId="1" priority="4">
      <formula>C32&lt;0</formula>
    </cfRule>
  </conditionalFormatting>
  <dataValidations xWindow="459" yWindow="499" count="14">
    <dataValidation type="list" allowBlank="1" showInputMessage="1" showErrorMessage="1" promptTitle="Select your company stage" prompt="_x000a_The stage of your company will determine default valuation and variability of monthly burn._x000a__x000a_-Pre Rev: Product not yet available at stores._x000a_-Shelf: Product at stores but not established or prominent._x000a_-Top-Shelf: Product at stores with prominent display._x000a_" sqref="C5" xr:uid="{C0A17495-17CE-43E0-A1EC-59553651BC8A}">
      <formula1>"Pre Rev, Shelf, Top Shelf"</formula1>
    </dataValidation>
    <dataValidation operator="greaterThanOrEqual" allowBlank="1" showInputMessage="1" showErrorMessage="1" promptTitle="Analysis Date" prompt="_x000a_Enter the date at which the analysis is performed (today as default)._x000a_" sqref="C4" xr:uid="{6FC25C34-634E-43C7-ACC4-6A3E3C1C28D0}"/>
    <dataValidation allowBlank="1" showInputMessage="1" showErrorMessage="1" promptTitle="Current Valuation" prompt="_x000a_Enter your current valuation for your business. If not provided, a default valuation will be set based of the stage of your business._x000a_" sqref="C7" xr:uid="{4F25ACBB-DE41-4917-9180-6647D86EFB3D}"/>
    <dataValidation allowBlank="1" showInputMessage="1" showErrorMessage="1" promptTitle="Current Cash" prompt="_x000a_Enter the available cash at the time of the analysis." sqref="C8" xr:uid="{D6FF93C2-9C58-481D-95B5-A23876E3DFAF}"/>
    <dataValidation allowBlank="1" showInputMessage="1" showErrorMessage="1" promptTitle="Year 1 - Monthly Cash Burn" prompt="_x000a_Enter your expected average monthly cash burn for year 1. _x000a__x000a_If you want to provide a detailed monthly cash burn, you may do so in detailed financial inputs." sqref="C9" xr:uid="{43E2207F-170B-4A8A-9AA7-9A2ACE017176}"/>
    <dataValidation allowBlank="1" showInputMessage="1" showErrorMessage="1" promptTitle="Year 2 - Monthly Cash Burn" prompt="_x000a_Enter your expected average monthly cash burn for year 1. _x000a__x000a_If you want to provide a detailed monthly cash burn, you may do so in detailed financial inputs." sqref="C10" xr:uid="{EF1D3AB8-7575-485E-8D5F-F82DD097C943}"/>
    <dataValidation allowBlank="1" showInputMessage="1" showErrorMessage="1" promptTitle="Year 3 - Monthly Cash Burn" prompt="_x000a_Enter your expected average monthly cash burn for year 1. _x000a__x000a_If you want to provide a detailed monthly cash burn, you may do so in detailed financial inputs." sqref="C11" xr:uid="{70F65AE2-4C7D-4FAC-928A-703F9305CCAB}"/>
    <dataValidation allowBlank="1" showInputMessage="1" showErrorMessage="1" promptTitle="Target Runway" prompt="_x000a_Enter how many months of cash runway you target to obtain. Please note that such runway contempletes existing cash._x000a_" sqref="C12 C38:C40 C48:C50" xr:uid="{5689ECD1-A355-479C-9DD5-691539BCCF04}"/>
    <dataValidation allowBlank="1" showInputMessage="1" showErrorMessage="1" promptTitle="Actual Raise Date" prompt="_x000a_Enter the date at which the raise is expected to be concluded. _x000a__x000a_By default, the date will be set 5 months from analysis date or the date at which you will run out of funds, whichever is earlier. You may overwrite default dates._x000a_" sqref="C27" xr:uid="{58D4A728-9090-421D-A43C-19821B2EBBE7}"/>
    <dataValidation allowBlank="1" showInputMessage="1" showErrorMessage="1" promptTitle="Actual Raise Amount" prompt="_x000a_Enter the amount you expect to raise. _x000a__x000a_By default, the targeted amount will be inputed, but you may overwrite it." sqref="C28" xr:uid="{831E5FD4-217B-4617-B5D5-C8E7C429F13C}"/>
    <dataValidation allowBlank="1" showInputMessage="1" showErrorMessage="1" promptTitle="Additional Target Runway" prompt="_x000a_Enter how many months of cash runway you target to obtain in your 2nd Raise._x000a__x000a_" sqref="C37 C47" xr:uid="{C25EF08E-04A0-4D1A-85E2-4B91FF41141D}"/>
    <dataValidation allowBlank="1" showInputMessage="1" showErrorMessage="1" promptTitle="Actual Raise Data" prompt="_x000a_Enter the date at which you expect to concluce your 2nd Raise._x000a_" sqref="C41 C51" xr:uid="{86BF20FC-B632-428F-8F6F-40961CF049EE}"/>
    <dataValidation allowBlank="1" showInputMessage="1" showErrorMessage="1" promptTitle="Actual 2nd Raise Amount" prompt="_x000a_Enter the amount you expect to raise in your 2nd raise._x000a__x000a_By default, the targeted amount will be inputed, but you may overwrite it." sqref="C42:C44 C52:C54" xr:uid="{9C38FE8A-B8C1-4DF1-9E57-54CE0DBE0F22}"/>
    <dataValidation type="whole" allowBlank="1" showInputMessage="1" showErrorMessage="1" promptTitle="Yearly Revenue" prompt="_x000a_Indicate your company current yearly revenue. You may either include the las 12 months of sales, or uses shorter time periods annualized in case your recent growth has been significant (e.g.  last 3 months of sales x 4)_x000a_" sqref="C6" xr:uid="{9DDA8CAD-34E4-4235-9FF8-CC91FAA13D4E}">
      <formula1>0</formula1>
      <formula2>99999999999999</formula2>
    </dataValidation>
  </dataValidations>
  <pageMargins left="0.25" right="0.25" top="0.75" bottom="0.75" header="0.3" footer="0.3"/>
  <pageSetup scale="47" fitToHeight="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Clear_1_2">
                <anchor moveWithCells="1" sizeWithCells="1">
                  <from>
                    <xdr:col>13</xdr:col>
                    <xdr:colOff>444500</xdr:colOff>
                    <xdr:row>0</xdr:row>
                    <xdr:rowOff>76200</xdr:rowOff>
                  </from>
                  <to>
                    <xdr:col>14</xdr:col>
                    <xdr:colOff>444500</xdr:colOff>
                    <xdr:row>0</xdr:row>
                    <xdr:rowOff>444500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6C3CEC31-3DD4-4DAF-BE24-C6F206A871AE}">
            <xm:f>COUNTA('2.Detailed Cash Burn (Optional)'!$D$11:$AM$11)&gt;0</xm:f>
            <x14:dxf>
              <font>
                <color theme="0" tint="-0.14996795556505021"/>
              </font>
              <fill>
                <patternFill>
                  <bgColor theme="0" tint="-0.14996795556505021"/>
                </patternFill>
              </fill>
            </x14:dxf>
          </x14:cfRule>
          <xm:sqref>C9:C11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A01DF5-9A2C-42E8-B109-7F656F36967C}">
  <sheetPr codeName="Sheet1">
    <tabColor rgb="FF00B0F0"/>
  </sheetPr>
  <dimension ref="B1:BW514"/>
  <sheetViews>
    <sheetView showGridLines="0" topLeftCell="C1" zoomScale="85" zoomScaleNormal="85" workbookViewId="0">
      <selection activeCell="H26" sqref="H26"/>
    </sheetView>
  </sheetViews>
  <sheetFormatPr baseColWidth="10" defaultColWidth="8.83203125" defaultRowHeight="15" x14ac:dyDescent="0.2"/>
  <cols>
    <col min="3" max="3" width="35.5" customWidth="1"/>
    <col min="4" max="4" width="12.1640625" style="13" customWidth="1"/>
    <col min="5" max="75" width="12.1640625" customWidth="1"/>
  </cols>
  <sheetData>
    <row r="1" spans="2:75" s="184" customFormat="1" ht="54" customHeight="1" x14ac:dyDescent="0.2">
      <c r="B1" s="190" t="s">
        <v>42</v>
      </c>
      <c r="C1" s="190"/>
      <c r="D1" s="190"/>
      <c r="E1" s="190"/>
      <c r="F1" s="190"/>
      <c r="BS1" s="185"/>
      <c r="BT1" s="185"/>
      <c r="BU1" s="185"/>
    </row>
    <row r="9" spans="2:75" ht="16" thickBot="1" x14ac:dyDescent="0.25"/>
    <row r="10" spans="2:75" ht="16" thickBot="1" x14ac:dyDescent="0.25">
      <c r="C10" t="s">
        <v>40</v>
      </c>
      <c r="D10" s="14">
        <f>+'1. Calculator'!C4</f>
        <v>46143</v>
      </c>
      <c r="E10" s="15">
        <f t="shared" ref="E10:AJ10" si="0">+DATE(YEAR(D10),MONTH(D10)+1,DAY(D10))</f>
        <v>46174</v>
      </c>
      <c r="F10" s="15">
        <f t="shared" si="0"/>
        <v>46204</v>
      </c>
      <c r="G10" s="15">
        <f t="shared" si="0"/>
        <v>46235</v>
      </c>
      <c r="H10" s="15">
        <f t="shared" si="0"/>
        <v>46266</v>
      </c>
      <c r="I10" s="15">
        <f t="shared" si="0"/>
        <v>46296</v>
      </c>
      <c r="J10" s="15">
        <f t="shared" si="0"/>
        <v>46327</v>
      </c>
      <c r="K10" s="15">
        <f t="shared" si="0"/>
        <v>46357</v>
      </c>
      <c r="L10" s="15">
        <f t="shared" si="0"/>
        <v>46388</v>
      </c>
      <c r="M10" s="15">
        <f t="shared" si="0"/>
        <v>46419</v>
      </c>
      <c r="N10" s="15">
        <f t="shared" si="0"/>
        <v>46447</v>
      </c>
      <c r="O10" s="15">
        <f t="shared" si="0"/>
        <v>46478</v>
      </c>
      <c r="P10" s="15">
        <f t="shared" si="0"/>
        <v>46508</v>
      </c>
      <c r="Q10" s="15">
        <f t="shared" si="0"/>
        <v>46539</v>
      </c>
      <c r="R10" s="15">
        <f t="shared" si="0"/>
        <v>46569</v>
      </c>
      <c r="S10" s="15">
        <f t="shared" si="0"/>
        <v>46600</v>
      </c>
      <c r="T10" s="15">
        <f t="shared" si="0"/>
        <v>46631</v>
      </c>
      <c r="U10" s="15">
        <f t="shared" si="0"/>
        <v>46661</v>
      </c>
      <c r="V10" s="15">
        <f t="shared" si="0"/>
        <v>46692</v>
      </c>
      <c r="W10" s="15">
        <f t="shared" si="0"/>
        <v>46722</v>
      </c>
      <c r="X10" s="15">
        <f t="shared" si="0"/>
        <v>46753</v>
      </c>
      <c r="Y10" s="15">
        <f t="shared" si="0"/>
        <v>46784</v>
      </c>
      <c r="Z10" s="15">
        <f t="shared" si="0"/>
        <v>46813</v>
      </c>
      <c r="AA10" s="15">
        <f t="shared" si="0"/>
        <v>46844</v>
      </c>
      <c r="AB10" s="15">
        <f t="shared" si="0"/>
        <v>46874</v>
      </c>
      <c r="AC10" s="15">
        <f t="shared" si="0"/>
        <v>46905</v>
      </c>
      <c r="AD10" s="15">
        <f t="shared" si="0"/>
        <v>46935</v>
      </c>
      <c r="AE10" s="15">
        <f t="shared" si="0"/>
        <v>46966</v>
      </c>
      <c r="AF10" s="15">
        <f t="shared" si="0"/>
        <v>46997</v>
      </c>
      <c r="AG10" s="15">
        <f t="shared" si="0"/>
        <v>47027</v>
      </c>
      <c r="AH10" s="15">
        <f t="shared" si="0"/>
        <v>47058</v>
      </c>
      <c r="AI10" s="15">
        <f t="shared" si="0"/>
        <v>47088</v>
      </c>
      <c r="AJ10" s="15">
        <f t="shared" si="0"/>
        <v>47119</v>
      </c>
      <c r="AK10" s="15">
        <f t="shared" ref="AK10:BP10" si="1">+DATE(YEAR(AJ10),MONTH(AJ10)+1,DAY(AJ10))</f>
        <v>47150</v>
      </c>
      <c r="AL10" s="15">
        <f t="shared" si="1"/>
        <v>47178</v>
      </c>
      <c r="AM10" s="15">
        <f t="shared" si="1"/>
        <v>47209</v>
      </c>
      <c r="AN10" s="15">
        <f t="shared" si="1"/>
        <v>47239</v>
      </c>
      <c r="AO10" s="15">
        <f t="shared" si="1"/>
        <v>47270</v>
      </c>
      <c r="AP10" s="15">
        <f t="shared" si="1"/>
        <v>47300</v>
      </c>
      <c r="AQ10" s="15">
        <f t="shared" si="1"/>
        <v>47331</v>
      </c>
      <c r="AR10" s="15">
        <f t="shared" si="1"/>
        <v>47362</v>
      </c>
      <c r="AS10" s="15">
        <f t="shared" si="1"/>
        <v>47392</v>
      </c>
      <c r="AT10" s="15">
        <f t="shared" si="1"/>
        <v>47423</v>
      </c>
      <c r="AU10" s="15">
        <f t="shared" si="1"/>
        <v>47453</v>
      </c>
      <c r="AV10" s="15">
        <f t="shared" si="1"/>
        <v>47484</v>
      </c>
      <c r="AW10" s="15">
        <f t="shared" si="1"/>
        <v>47515</v>
      </c>
      <c r="AX10" s="15">
        <f t="shared" si="1"/>
        <v>47543</v>
      </c>
      <c r="AY10" s="15">
        <f t="shared" si="1"/>
        <v>47574</v>
      </c>
      <c r="AZ10" s="15">
        <f t="shared" si="1"/>
        <v>47604</v>
      </c>
      <c r="BA10" s="15">
        <f t="shared" si="1"/>
        <v>47635</v>
      </c>
      <c r="BB10" s="15">
        <f t="shared" si="1"/>
        <v>47665</v>
      </c>
      <c r="BC10" s="15">
        <f t="shared" si="1"/>
        <v>47696</v>
      </c>
      <c r="BD10" s="15">
        <f t="shared" si="1"/>
        <v>47727</v>
      </c>
      <c r="BE10" s="15">
        <f t="shared" si="1"/>
        <v>47757</v>
      </c>
      <c r="BF10" s="15">
        <f t="shared" si="1"/>
        <v>47788</v>
      </c>
      <c r="BG10" s="15">
        <f t="shared" si="1"/>
        <v>47818</v>
      </c>
      <c r="BH10" s="15">
        <f t="shared" si="1"/>
        <v>47849</v>
      </c>
      <c r="BI10" s="15">
        <f t="shared" si="1"/>
        <v>47880</v>
      </c>
      <c r="BJ10" s="15">
        <f t="shared" si="1"/>
        <v>47908</v>
      </c>
      <c r="BK10" s="15">
        <f t="shared" si="1"/>
        <v>47939</v>
      </c>
      <c r="BL10" s="15">
        <f t="shared" si="1"/>
        <v>47969</v>
      </c>
      <c r="BM10" s="15">
        <f t="shared" si="1"/>
        <v>48000</v>
      </c>
      <c r="BN10" s="15">
        <f t="shared" si="1"/>
        <v>48030</v>
      </c>
      <c r="BO10" s="15">
        <f t="shared" si="1"/>
        <v>48061</v>
      </c>
      <c r="BP10" s="15">
        <f t="shared" si="1"/>
        <v>48092</v>
      </c>
      <c r="BQ10" s="15">
        <f t="shared" ref="BQ10:BW10" si="2">+DATE(YEAR(BP10),MONTH(BP10)+1,DAY(BP10))</f>
        <v>48122</v>
      </c>
      <c r="BR10" s="15">
        <f t="shared" si="2"/>
        <v>48153</v>
      </c>
      <c r="BS10" s="15">
        <f t="shared" si="2"/>
        <v>48183</v>
      </c>
      <c r="BT10" s="15">
        <f t="shared" si="2"/>
        <v>48214</v>
      </c>
      <c r="BU10" s="15">
        <f t="shared" si="2"/>
        <v>48245</v>
      </c>
      <c r="BV10" s="15">
        <f t="shared" si="2"/>
        <v>48274</v>
      </c>
      <c r="BW10" s="16">
        <f t="shared" si="2"/>
        <v>48305</v>
      </c>
    </row>
    <row r="11" spans="2:75" ht="50" thickTop="1" thickBot="1" x14ac:dyDescent="0.25">
      <c r="C11" s="17" t="s">
        <v>39</v>
      </c>
      <c r="D11" s="186"/>
      <c r="E11" s="187"/>
      <c r="F11" s="187"/>
      <c r="G11" s="187"/>
      <c r="H11" s="187"/>
      <c r="I11" s="187"/>
      <c r="J11" s="187"/>
      <c r="K11" s="187"/>
      <c r="L11" s="187"/>
      <c r="M11" s="187"/>
      <c r="N11" s="187"/>
      <c r="O11" s="187"/>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c r="BS11" s="9"/>
      <c r="BT11" s="9"/>
      <c r="BU11" s="9"/>
      <c r="BV11" s="9"/>
      <c r="BW11" s="10"/>
    </row>
    <row r="12" spans="2:75" ht="32.25" customHeight="1" x14ac:dyDescent="0.2">
      <c r="C12" s="17"/>
      <c r="D12" s="18"/>
      <c r="E12" s="19"/>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c r="AG12" s="20"/>
      <c r="AH12" s="20"/>
      <c r="AI12" s="20"/>
      <c r="AJ12" s="20"/>
      <c r="AK12" s="20"/>
      <c r="AL12" s="20"/>
      <c r="AM12" s="20"/>
    </row>
    <row r="13" spans="2:75" ht="32.25" customHeight="1" x14ac:dyDescent="0.2">
      <c r="C13" s="17"/>
      <c r="D13" s="18"/>
      <c r="E13" s="19"/>
      <c r="F13" s="20"/>
      <c r="G13" s="20"/>
      <c r="H13" s="20"/>
      <c r="I13" s="20"/>
      <c r="J13" s="20"/>
      <c r="K13" s="20"/>
      <c r="L13" s="20"/>
      <c r="M13" s="20"/>
      <c r="N13" s="20"/>
      <c r="O13" s="20"/>
      <c r="P13" s="20"/>
      <c r="Q13" s="20"/>
      <c r="R13" s="20"/>
      <c r="S13" s="20"/>
      <c r="T13" s="20"/>
      <c r="U13" s="20"/>
      <c r="V13" s="20"/>
      <c r="W13" s="20"/>
      <c r="X13" s="20"/>
      <c r="Y13" s="20"/>
      <c r="Z13" s="20"/>
      <c r="AA13" s="20"/>
      <c r="AB13" s="20"/>
      <c r="AC13" s="20"/>
      <c r="AD13" s="20"/>
      <c r="AE13" s="20"/>
      <c r="AF13" s="20"/>
      <c r="AG13" s="20"/>
      <c r="AH13" s="20"/>
      <c r="AI13" s="20"/>
      <c r="AJ13" s="20"/>
      <c r="AK13" s="20"/>
      <c r="AL13" s="20"/>
      <c r="AM13" s="20"/>
    </row>
    <row r="211" spans="3:39" ht="32.25" customHeight="1" x14ac:dyDescent="0.2">
      <c r="C211" s="17"/>
      <c r="D211" s="18"/>
      <c r="E211" s="19"/>
      <c r="F211" s="20"/>
      <c r="G211" s="20"/>
      <c r="H211" s="20"/>
      <c r="I211" s="20"/>
      <c r="J211" s="20"/>
      <c r="K211" s="20"/>
      <c r="L211" s="20"/>
      <c r="M211" s="20"/>
      <c r="N211" s="20"/>
      <c r="O211" s="20"/>
      <c r="P211" s="20"/>
      <c r="Q211" s="20"/>
      <c r="R211" s="20"/>
      <c r="S211" s="20"/>
      <c r="T211" s="20"/>
      <c r="U211" s="20"/>
      <c r="V211" s="20"/>
      <c r="W211" s="20"/>
      <c r="X211" s="20"/>
      <c r="Y211" s="20"/>
      <c r="Z211" s="20"/>
      <c r="AA211" s="20"/>
      <c r="AB211" s="20"/>
      <c r="AC211" s="20"/>
      <c r="AD211" s="20"/>
      <c r="AE211" s="20"/>
      <c r="AF211" s="20"/>
      <c r="AG211" s="20"/>
      <c r="AH211" s="20"/>
      <c r="AI211" s="20"/>
      <c r="AJ211" s="20"/>
      <c r="AK211" s="20"/>
      <c r="AL211" s="20"/>
      <c r="AM211" s="20"/>
    </row>
    <row r="212" spans="3:39" ht="32.25" customHeight="1" x14ac:dyDescent="0.2">
      <c r="C212" s="17"/>
      <c r="D212" s="18"/>
      <c r="E212" s="19"/>
      <c r="F212" s="20"/>
      <c r="G212" s="20"/>
      <c r="H212" s="20"/>
      <c r="I212" s="20"/>
      <c r="J212" s="20"/>
      <c r="K212" s="20"/>
      <c r="L212" s="20"/>
      <c r="M212" s="20"/>
      <c r="N212" s="20"/>
      <c r="O212" s="20"/>
      <c r="P212" s="20"/>
      <c r="Q212" s="20"/>
      <c r="R212" s="20"/>
      <c r="S212" s="20"/>
      <c r="T212" s="20"/>
      <c r="U212" s="20"/>
      <c r="V212" s="20"/>
      <c r="W212" s="20"/>
      <c r="X212" s="20"/>
      <c r="Y212" s="20"/>
      <c r="Z212" s="20"/>
      <c r="AA212" s="20"/>
      <c r="AB212" s="20"/>
      <c r="AC212" s="20"/>
      <c r="AD212" s="20"/>
      <c r="AE212" s="20"/>
      <c r="AF212" s="20"/>
      <c r="AG212" s="20"/>
      <c r="AH212" s="20"/>
      <c r="AI212" s="20"/>
      <c r="AJ212" s="20"/>
      <c r="AK212" s="20"/>
      <c r="AL212" s="20"/>
      <c r="AM212" s="20"/>
    </row>
    <row r="213" spans="3:39" ht="32.25" customHeight="1" x14ac:dyDescent="0.2">
      <c r="C213" s="17"/>
      <c r="D213" s="18"/>
      <c r="E213" s="19"/>
      <c r="F213" s="20"/>
      <c r="G213" s="20"/>
      <c r="H213" s="20"/>
      <c r="I213" s="20"/>
      <c r="J213" s="20"/>
      <c r="K213" s="20"/>
      <c r="L213" s="20"/>
      <c r="M213" s="20"/>
      <c r="N213" s="20"/>
      <c r="O213" s="20"/>
      <c r="P213" s="20"/>
      <c r="Q213" s="20"/>
      <c r="R213" s="20"/>
      <c r="S213" s="20"/>
      <c r="T213" s="20"/>
      <c r="U213" s="20"/>
      <c r="V213" s="20"/>
      <c r="W213" s="20"/>
      <c r="X213" s="20"/>
      <c r="Y213" s="20"/>
      <c r="Z213" s="20"/>
      <c r="AA213" s="20"/>
      <c r="AB213" s="20"/>
      <c r="AC213" s="20"/>
      <c r="AD213" s="20"/>
      <c r="AE213" s="20"/>
      <c r="AF213" s="20"/>
      <c r="AG213" s="20"/>
      <c r="AH213" s="20"/>
      <c r="AI213" s="20"/>
      <c r="AJ213" s="20"/>
      <c r="AK213" s="20"/>
      <c r="AL213" s="20"/>
      <c r="AM213" s="20"/>
    </row>
    <row r="214" spans="3:39" ht="32.25" customHeight="1" x14ac:dyDescent="0.2">
      <c r="C214" s="17"/>
      <c r="D214" s="18"/>
      <c r="E214" s="19"/>
      <c r="F214" s="20"/>
      <c r="G214" s="20"/>
      <c r="H214" s="20"/>
      <c r="I214" s="20"/>
      <c r="J214" s="20"/>
      <c r="K214" s="20"/>
      <c r="L214" s="20"/>
      <c r="M214" s="20"/>
      <c r="N214" s="20"/>
      <c r="O214" s="20"/>
      <c r="P214" s="20"/>
      <c r="Q214" s="20"/>
      <c r="R214" s="20"/>
      <c r="S214" s="20"/>
      <c r="T214" s="20"/>
      <c r="U214" s="20"/>
      <c r="V214" s="20"/>
      <c r="W214" s="20"/>
      <c r="X214" s="20"/>
      <c r="Y214" s="20"/>
      <c r="Z214" s="20"/>
      <c r="AA214" s="20"/>
      <c r="AB214" s="20"/>
      <c r="AC214" s="20"/>
      <c r="AD214" s="20"/>
      <c r="AE214" s="20"/>
      <c r="AF214" s="20"/>
      <c r="AG214" s="20"/>
      <c r="AH214" s="20"/>
      <c r="AI214" s="20"/>
      <c r="AJ214" s="20"/>
      <c r="AK214" s="20"/>
      <c r="AL214" s="20"/>
      <c r="AM214" s="20"/>
    </row>
    <row r="215" spans="3:39" ht="32.25" customHeight="1" x14ac:dyDescent="0.2">
      <c r="C215" s="17"/>
      <c r="D215" s="18"/>
      <c r="E215" s="19"/>
      <c r="F215" s="20"/>
      <c r="G215" s="20"/>
      <c r="H215" s="20"/>
      <c r="I215" s="20"/>
      <c r="J215" s="20"/>
      <c r="K215" s="20"/>
      <c r="L215" s="20"/>
      <c r="M215" s="20"/>
      <c r="N215" s="20"/>
      <c r="O215" s="20"/>
      <c r="P215" s="20"/>
      <c r="Q215" s="20"/>
      <c r="R215" s="20"/>
      <c r="S215" s="20"/>
      <c r="T215" s="20"/>
      <c r="U215" s="20"/>
      <c r="V215" s="20"/>
      <c r="W215" s="20"/>
      <c r="X215" s="20"/>
      <c r="Y215" s="20"/>
      <c r="Z215" s="20"/>
      <c r="AA215" s="20"/>
      <c r="AB215" s="20"/>
      <c r="AC215" s="20"/>
      <c r="AD215" s="20"/>
      <c r="AE215" s="20"/>
      <c r="AF215" s="20"/>
      <c r="AG215" s="20"/>
      <c r="AH215" s="20"/>
      <c r="AI215" s="20"/>
      <c r="AJ215" s="20"/>
      <c r="AK215" s="20"/>
      <c r="AL215" s="20"/>
      <c r="AM215" s="20"/>
    </row>
    <row r="216" spans="3:39" ht="32.25" customHeight="1" x14ac:dyDescent="0.2">
      <c r="C216" s="17"/>
      <c r="D216" s="18"/>
      <c r="E216" s="19"/>
      <c r="F216" s="20"/>
      <c r="G216" s="20"/>
      <c r="H216" s="20"/>
      <c r="I216" s="20"/>
      <c r="J216" s="20"/>
      <c r="K216" s="20"/>
      <c r="L216" s="20"/>
      <c r="M216" s="20"/>
      <c r="N216" s="20"/>
      <c r="O216" s="20"/>
      <c r="P216" s="20"/>
      <c r="Q216" s="20"/>
      <c r="R216" s="20"/>
      <c r="S216" s="20"/>
      <c r="T216" s="20"/>
      <c r="U216" s="20"/>
      <c r="V216" s="20"/>
      <c r="W216" s="20"/>
      <c r="X216" s="20"/>
      <c r="Y216" s="20"/>
      <c r="Z216" s="20"/>
      <c r="AA216" s="20"/>
      <c r="AB216" s="20"/>
      <c r="AC216" s="20"/>
      <c r="AD216" s="20"/>
      <c r="AE216" s="20"/>
      <c r="AF216" s="20"/>
      <c r="AG216" s="20"/>
      <c r="AH216" s="20"/>
      <c r="AI216" s="20"/>
      <c r="AJ216" s="20"/>
      <c r="AK216" s="20"/>
      <c r="AL216" s="20"/>
      <c r="AM216" s="20"/>
    </row>
    <row r="217" spans="3:39" ht="32.25" customHeight="1" x14ac:dyDescent="0.2">
      <c r="C217" s="17"/>
      <c r="D217" s="18"/>
      <c r="E217" s="19"/>
      <c r="F217" s="20"/>
      <c r="G217" s="20"/>
      <c r="H217" s="20"/>
      <c r="I217" s="20"/>
      <c r="J217" s="20"/>
      <c r="K217" s="20"/>
      <c r="L217" s="20"/>
      <c r="M217" s="20"/>
      <c r="N217" s="20"/>
      <c r="O217" s="20"/>
      <c r="P217" s="20"/>
      <c r="Q217" s="20"/>
      <c r="R217" s="20"/>
      <c r="S217" s="20"/>
      <c r="T217" s="20"/>
      <c r="U217" s="20"/>
      <c r="V217" s="20"/>
      <c r="W217" s="20"/>
      <c r="X217" s="20"/>
      <c r="Y217" s="20"/>
      <c r="Z217" s="20"/>
      <c r="AA217" s="20"/>
      <c r="AB217" s="20"/>
      <c r="AC217" s="20"/>
      <c r="AD217" s="20"/>
      <c r="AE217" s="20"/>
      <c r="AF217" s="20"/>
      <c r="AG217" s="20"/>
      <c r="AH217" s="20"/>
      <c r="AI217" s="20"/>
      <c r="AJ217" s="20"/>
      <c r="AK217" s="20"/>
      <c r="AL217" s="20"/>
      <c r="AM217" s="20"/>
    </row>
    <row r="218" spans="3:39" ht="32.25" customHeight="1" x14ac:dyDescent="0.2">
      <c r="C218" s="17"/>
      <c r="D218" s="18"/>
      <c r="E218" s="19"/>
      <c r="F218" s="20"/>
      <c r="G218" s="20"/>
      <c r="H218" s="20"/>
      <c r="I218" s="20"/>
      <c r="J218" s="20"/>
      <c r="K218" s="20"/>
      <c r="L218" s="20"/>
      <c r="M218" s="20"/>
      <c r="N218" s="20"/>
      <c r="O218" s="20"/>
      <c r="P218" s="20"/>
      <c r="Q218" s="20"/>
      <c r="R218" s="20"/>
      <c r="S218" s="20"/>
      <c r="T218" s="20"/>
      <c r="U218" s="20"/>
      <c r="V218" s="20"/>
      <c r="W218" s="20"/>
      <c r="X218" s="20"/>
      <c r="Y218" s="20"/>
      <c r="Z218" s="20"/>
      <c r="AA218" s="20"/>
      <c r="AB218" s="20"/>
      <c r="AC218" s="20"/>
      <c r="AD218" s="20"/>
      <c r="AE218" s="20"/>
      <c r="AF218" s="20"/>
      <c r="AG218" s="20"/>
      <c r="AH218" s="20"/>
      <c r="AI218" s="20"/>
      <c r="AJ218" s="20"/>
      <c r="AK218" s="20"/>
      <c r="AL218" s="20"/>
      <c r="AM218" s="20"/>
    </row>
    <row r="219" spans="3:39" ht="32.25" customHeight="1" x14ac:dyDescent="0.2">
      <c r="C219" s="17"/>
      <c r="D219" s="18"/>
      <c r="E219" s="19"/>
      <c r="F219" s="20"/>
      <c r="G219" s="20"/>
      <c r="H219" s="20"/>
      <c r="I219" s="20"/>
      <c r="J219" s="20"/>
      <c r="K219" s="20"/>
      <c r="L219" s="20"/>
      <c r="M219" s="20"/>
      <c r="N219" s="20"/>
      <c r="O219" s="20"/>
      <c r="P219" s="20"/>
      <c r="Q219" s="20"/>
      <c r="R219" s="20"/>
      <c r="S219" s="20"/>
      <c r="T219" s="20"/>
      <c r="U219" s="20"/>
      <c r="V219" s="20"/>
      <c r="W219" s="20"/>
      <c r="X219" s="20"/>
      <c r="Y219" s="20"/>
      <c r="Z219" s="20"/>
      <c r="AA219" s="20"/>
      <c r="AB219" s="20"/>
      <c r="AC219" s="20"/>
      <c r="AD219" s="20"/>
      <c r="AE219" s="20"/>
      <c r="AF219" s="20"/>
      <c r="AG219" s="20"/>
      <c r="AH219" s="20"/>
      <c r="AI219" s="20"/>
      <c r="AJ219" s="20"/>
      <c r="AK219" s="20"/>
      <c r="AL219" s="20"/>
      <c r="AM219" s="20"/>
    </row>
    <row r="220" spans="3:39" ht="32.25" customHeight="1" x14ac:dyDescent="0.2">
      <c r="C220" s="17"/>
      <c r="D220" s="18"/>
      <c r="E220" s="19"/>
      <c r="F220" s="20"/>
      <c r="G220" s="20"/>
      <c r="H220" s="20"/>
      <c r="I220" s="20"/>
      <c r="J220" s="20"/>
      <c r="K220" s="20"/>
      <c r="L220" s="20"/>
      <c r="M220" s="20"/>
      <c r="N220" s="20"/>
      <c r="O220" s="20"/>
      <c r="P220" s="20"/>
      <c r="Q220" s="20"/>
      <c r="R220" s="20"/>
      <c r="S220" s="20"/>
      <c r="T220" s="20"/>
      <c r="U220" s="20"/>
      <c r="V220" s="20"/>
      <c r="W220" s="20"/>
      <c r="X220" s="20"/>
      <c r="Y220" s="20"/>
      <c r="Z220" s="20"/>
      <c r="AA220" s="20"/>
      <c r="AB220" s="20"/>
      <c r="AC220" s="20"/>
      <c r="AD220" s="20"/>
      <c r="AE220" s="20"/>
      <c r="AF220" s="20"/>
      <c r="AG220" s="20"/>
      <c r="AH220" s="20"/>
      <c r="AI220" s="20"/>
      <c r="AJ220" s="20"/>
      <c r="AK220" s="20"/>
      <c r="AL220" s="20"/>
      <c r="AM220" s="20"/>
    </row>
    <row r="221" spans="3:39" ht="32.25" customHeight="1" x14ac:dyDescent="0.2">
      <c r="C221" s="17"/>
      <c r="D221" s="18"/>
      <c r="E221" s="19"/>
      <c r="F221" s="20"/>
      <c r="G221" s="20"/>
      <c r="H221" s="20"/>
      <c r="I221" s="20"/>
      <c r="J221" s="20"/>
      <c r="K221" s="20"/>
      <c r="L221" s="20"/>
      <c r="M221" s="20"/>
      <c r="N221" s="20"/>
      <c r="O221" s="20"/>
      <c r="P221" s="20"/>
      <c r="Q221" s="20"/>
      <c r="R221" s="20"/>
      <c r="S221" s="20"/>
      <c r="T221" s="20"/>
      <c r="U221" s="20"/>
      <c r="V221" s="20"/>
      <c r="W221" s="20"/>
      <c r="X221" s="20"/>
      <c r="Y221" s="20"/>
      <c r="Z221" s="20"/>
      <c r="AA221" s="20"/>
      <c r="AB221" s="20"/>
      <c r="AC221" s="20"/>
      <c r="AD221" s="20"/>
      <c r="AE221" s="20"/>
      <c r="AF221" s="20"/>
      <c r="AG221" s="20"/>
      <c r="AH221" s="20"/>
      <c r="AI221" s="20"/>
      <c r="AJ221" s="20"/>
      <c r="AK221" s="20"/>
      <c r="AL221" s="20"/>
      <c r="AM221" s="20"/>
    </row>
    <row r="222" spans="3:39" ht="32.25" customHeight="1" x14ac:dyDescent="0.2">
      <c r="C222" s="17"/>
      <c r="D222" s="18"/>
      <c r="E222" s="19"/>
      <c r="F222" s="20"/>
      <c r="G222" s="20"/>
      <c r="H222" s="20"/>
      <c r="I222" s="20"/>
      <c r="J222" s="20"/>
      <c r="K222" s="20"/>
      <c r="L222" s="20"/>
      <c r="M222" s="20"/>
      <c r="N222" s="20"/>
      <c r="O222" s="20"/>
      <c r="P222" s="20"/>
      <c r="Q222" s="20"/>
      <c r="R222" s="20"/>
      <c r="S222" s="20"/>
      <c r="T222" s="20"/>
      <c r="U222" s="20"/>
      <c r="V222" s="20"/>
      <c r="W222" s="20"/>
      <c r="X222" s="20"/>
      <c r="Y222" s="20"/>
      <c r="Z222" s="20"/>
      <c r="AA222" s="20"/>
      <c r="AB222" s="20"/>
      <c r="AC222" s="20"/>
      <c r="AD222" s="20"/>
      <c r="AE222" s="20"/>
      <c r="AF222" s="20"/>
      <c r="AG222" s="20"/>
      <c r="AH222" s="20"/>
      <c r="AI222" s="20"/>
      <c r="AJ222" s="20"/>
      <c r="AK222" s="20"/>
      <c r="AL222" s="20"/>
      <c r="AM222" s="20"/>
    </row>
    <row r="223" spans="3:39" ht="32.25" customHeight="1" x14ac:dyDescent="0.2">
      <c r="C223" s="17"/>
      <c r="D223" s="18"/>
      <c r="E223" s="19"/>
      <c r="F223" s="20"/>
      <c r="G223" s="20"/>
      <c r="H223" s="20"/>
      <c r="I223" s="20"/>
      <c r="J223" s="20"/>
      <c r="K223" s="20"/>
      <c r="L223" s="20"/>
      <c r="M223" s="20"/>
      <c r="N223" s="20"/>
      <c r="O223" s="20"/>
      <c r="P223" s="20"/>
      <c r="Q223" s="20"/>
      <c r="R223" s="20"/>
      <c r="S223" s="20"/>
      <c r="T223" s="20"/>
      <c r="U223" s="20"/>
      <c r="V223" s="20"/>
      <c r="W223" s="20"/>
      <c r="X223" s="20"/>
      <c r="Y223" s="20"/>
      <c r="Z223" s="20"/>
      <c r="AA223" s="20"/>
      <c r="AB223" s="20"/>
      <c r="AC223" s="20"/>
      <c r="AD223" s="20"/>
      <c r="AE223" s="20"/>
      <c r="AF223" s="20"/>
      <c r="AG223" s="20"/>
      <c r="AH223" s="20"/>
      <c r="AI223" s="20"/>
      <c r="AJ223" s="20"/>
      <c r="AK223" s="20"/>
      <c r="AL223" s="20"/>
      <c r="AM223" s="20"/>
    </row>
    <row r="224" spans="3:39" ht="32.25" customHeight="1" x14ac:dyDescent="0.2">
      <c r="C224" s="17"/>
      <c r="D224" s="18"/>
      <c r="E224" s="19"/>
      <c r="F224" s="20"/>
      <c r="G224" s="20"/>
      <c r="H224" s="20"/>
      <c r="I224" s="20"/>
      <c r="J224" s="20"/>
      <c r="K224" s="20"/>
      <c r="L224" s="20"/>
      <c r="M224" s="20"/>
      <c r="N224" s="20"/>
      <c r="O224" s="20"/>
      <c r="P224" s="20"/>
      <c r="Q224" s="20"/>
      <c r="R224" s="20"/>
      <c r="S224" s="20"/>
      <c r="T224" s="20"/>
      <c r="U224" s="20"/>
      <c r="V224" s="20"/>
      <c r="W224" s="20"/>
      <c r="X224" s="20"/>
      <c r="Y224" s="20"/>
      <c r="Z224" s="20"/>
      <c r="AA224" s="20"/>
      <c r="AB224" s="20"/>
      <c r="AC224" s="20"/>
      <c r="AD224" s="20"/>
      <c r="AE224" s="20"/>
      <c r="AF224" s="20"/>
      <c r="AG224" s="20"/>
      <c r="AH224" s="20"/>
      <c r="AI224" s="20"/>
      <c r="AJ224" s="20"/>
      <c r="AK224" s="20"/>
      <c r="AL224" s="20"/>
      <c r="AM224" s="20"/>
    </row>
    <row r="225" spans="3:39" ht="32.25" customHeight="1" x14ac:dyDescent="0.2">
      <c r="C225" s="17"/>
      <c r="D225" s="18"/>
      <c r="E225" s="19"/>
      <c r="F225" s="20"/>
      <c r="G225" s="20"/>
      <c r="H225" s="20"/>
      <c r="I225" s="20"/>
      <c r="J225" s="20"/>
      <c r="K225" s="20"/>
      <c r="L225" s="20"/>
      <c r="M225" s="20"/>
      <c r="N225" s="20"/>
      <c r="O225" s="20"/>
      <c r="P225" s="20"/>
      <c r="Q225" s="20"/>
      <c r="R225" s="20"/>
      <c r="S225" s="20"/>
      <c r="T225" s="20"/>
      <c r="U225" s="20"/>
      <c r="V225" s="20"/>
      <c r="W225" s="20"/>
      <c r="X225" s="20"/>
      <c r="Y225" s="20"/>
      <c r="Z225" s="20"/>
      <c r="AA225" s="20"/>
      <c r="AB225" s="20"/>
      <c r="AC225" s="20"/>
      <c r="AD225" s="20"/>
      <c r="AE225" s="20"/>
      <c r="AF225" s="20"/>
      <c r="AG225" s="20"/>
      <c r="AH225" s="20"/>
      <c r="AI225" s="20"/>
      <c r="AJ225" s="20"/>
      <c r="AK225" s="20"/>
      <c r="AL225" s="20"/>
      <c r="AM225" s="20"/>
    </row>
    <row r="226" spans="3:39" ht="32.25" customHeight="1" x14ac:dyDescent="0.2">
      <c r="C226" s="17"/>
      <c r="D226" s="18"/>
      <c r="E226" s="19"/>
      <c r="F226" s="20"/>
      <c r="G226" s="20"/>
      <c r="H226" s="20"/>
      <c r="I226" s="20"/>
      <c r="J226" s="20"/>
      <c r="K226" s="20"/>
      <c r="L226" s="20"/>
      <c r="M226" s="20"/>
      <c r="N226" s="20"/>
      <c r="O226" s="20"/>
      <c r="P226" s="20"/>
      <c r="Q226" s="20"/>
      <c r="R226" s="20"/>
      <c r="S226" s="20"/>
      <c r="T226" s="20"/>
      <c r="U226" s="20"/>
      <c r="V226" s="20"/>
      <c r="W226" s="20"/>
      <c r="X226" s="20"/>
      <c r="Y226" s="20"/>
      <c r="Z226" s="20"/>
      <c r="AA226" s="20"/>
      <c r="AB226" s="20"/>
      <c r="AC226" s="20"/>
      <c r="AD226" s="20"/>
      <c r="AE226" s="20"/>
      <c r="AF226" s="20"/>
      <c r="AG226" s="20"/>
      <c r="AH226" s="20"/>
      <c r="AI226" s="20"/>
      <c r="AJ226" s="20"/>
      <c r="AK226" s="20"/>
      <c r="AL226" s="20"/>
      <c r="AM226" s="20"/>
    </row>
    <row r="227" spans="3:39" ht="32.25" customHeight="1" x14ac:dyDescent="0.2">
      <c r="C227" s="17"/>
      <c r="D227" s="18"/>
      <c r="E227" s="19"/>
      <c r="F227" s="20"/>
      <c r="G227" s="20"/>
      <c r="H227" s="20"/>
      <c r="I227" s="20"/>
      <c r="J227" s="20"/>
      <c r="K227" s="20"/>
      <c r="L227" s="20"/>
      <c r="M227" s="20"/>
      <c r="N227" s="20"/>
      <c r="O227" s="20"/>
      <c r="P227" s="20"/>
      <c r="Q227" s="20"/>
      <c r="R227" s="20"/>
      <c r="S227" s="20"/>
      <c r="T227" s="20"/>
      <c r="U227" s="20"/>
      <c r="V227" s="20"/>
      <c r="W227" s="20"/>
      <c r="X227" s="20"/>
      <c r="Y227" s="20"/>
      <c r="Z227" s="20"/>
      <c r="AA227" s="20"/>
      <c r="AB227" s="20"/>
      <c r="AC227" s="20"/>
      <c r="AD227" s="20"/>
      <c r="AE227" s="20"/>
      <c r="AF227" s="20"/>
      <c r="AG227" s="20"/>
      <c r="AH227" s="20"/>
      <c r="AI227" s="20"/>
      <c r="AJ227" s="20"/>
      <c r="AK227" s="20"/>
      <c r="AL227" s="20"/>
      <c r="AM227" s="20"/>
    </row>
    <row r="228" spans="3:39" ht="32.25" customHeight="1" x14ac:dyDescent="0.2">
      <c r="C228" s="17"/>
      <c r="D228" s="18"/>
      <c r="E228" s="19"/>
      <c r="F228" s="20"/>
      <c r="G228" s="20"/>
      <c r="H228" s="20"/>
      <c r="I228" s="20"/>
      <c r="J228" s="20"/>
      <c r="K228" s="20"/>
      <c r="L228" s="20"/>
      <c r="M228" s="20"/>
      <c r="N228" s="20"/>
      <c r="O228" s="20"/>
      <c r="P228" s="20"/>
      <c r="Q228" s="20"/>
      <c r="R228" s="20"/>
      <c r="S228" s="20"/>
      <c r="T228" s="20"/>
      <c r="U228" s="20"/>
      <c r="V228" s="20"/>
      <c r="W228" s="20"/>
      <c r="X228" s="20"/>
      <c r="Y228" s="20"/>
      <c r="Z228" s="20"/>
      <c r="AA228" s="20"/>
      <c r="AB228" s="20"/>
      <c r="AC228" s="20"/>
      <c r="AD228" s="20"/>
      <c r="AE228" s="20"/>
      <c r="AF228" s="20"/>
      <c r="AG228" s="20"/>
      <c r="AH228" s="20"/>
      <c r="AI228" s="20"/>
      <c r="AJ228" s="20"/>
      <c r="AK228" s="20"/>
      <c r="AL228" s="20"/>
      <c r="AM228" s="20"/>
    </row>
    <row r="229" spans="3:39" ht="32.25" customHeight="1" x14ac:dyDescent="0.2">
      <c r="C229" s="17"/>
      <c r="D229" s="18"/>
      <c r="E229" s="19"/>
      <c r="F229" s="20"/>
      <c r="G229" s="20"/>
      <c r="H229" s="20"/>
      <c r="I229" s="20"/>
      <c r="J229" s="20"/>
      <c r="K229" s="20"/>
      <c r="L229" s="20"/>
      <c r="M229" s="20"/>
      <c r="N229" s="20"/>
      <c r="O229" s="20"/>
      <c r="P229" s="20"/>
      <c r="Q229" s="20"/>
      <c r="R229" s="20"/>
      <c r="S229" s="20"/>
      <c r="T229" s="20"/>
      <c r="U229" s="20"/>
      <c r="V229" s="20"/>
      <c r="W229" s="20"/>
      <c r="X229" s="20"/>
      <c r="Y229" s="20"/>
      <c r="Z229" s="20"/>
      <c r="AA229" s="20"/>
      <c r="AB229" s="20"/>
      <c r="AC229" s="20"/>
      <c r="AD229" s="20"/>
      <c r="AE229" s="20"/>
      <c r="AF229" s="20"/>
      <c r="AG229" s="20"/>
      <c r="AH229" s="20"/>
      <c r="AI229" s="20"/>
      <c r="AJ229" s="20"/>
      <c r="AK229" s="20"/>
      <c r="AL229" s="20"/>
      <c r="AM229" s="20"/>
    </row>
    <row r="230" spans="3:39" ht="32.25" customHeight="1" x14ac:dyDescent="0.2">
      <c r="C230" s="17"/>
      <c r="D230" s="18"/>
      <c r="E230" s="19"/>
      <c r="F230" s="20"/>
      <c r="G230" s="20"/>
      <c r="H230" s="20"/>
      <c r="I230" s="20"/>
      <c r="J230" s="20"/>
      <c r="K230" s="20"/>
      <c r="L230" s="20"/>
      <c r="M230" s="20"/>
      <c r="N230" s="20"/>
      <c r="O230" s="20"/>
      <c r="P230" s="20"/>
      <c r="Q230" s="20"/>
      <c r="R230" s="20"/>
      <c r="S230" s="20"/>
      <c r="T230" s="20"/>
      <c r="U230" s="20"/>
      <c r="V230" s="20"/>
      <c r="W230" s="20"/>
      <c r="X230" s="20"/>
      <c r="Y230" s="20"/>
      <c r="Z230" s="20"/>
      <c r="AA230" s="20"/>
      <c r="AB230" s="20"/>
      <c r="AC230" s="20"/>
      <c r="AD230" s="20"/>
      <c r="AE230" s="20"/>
      <c r="AF230" s="20"/>
      <c r="AG230" s="20"/>
      <c r="AH230" s="20"/>
      <c r="AI230" s="20"/>
      <c r="AJ230" s="20"/>
      <c r="AK230" s="20"/>
      <c r="AL230" s="20"/>
      <c r="AM230" s="20"/>
    </row>
    <row r="231" spans="3:39" ht="32.25" customHeight="1" x14ac:dyDescent="0.2">
      <c r="C231" s="17"/>
      <c r="D231" s="18"/>
      <c r="E231" s="19"/>
      <c r="F231" s="20"/>
      <c r="G231" s="20"/>
      <c r="H231" s="20"/>
      <c r="I231" s="20"/>
      <c r="J231" s="20"/>
      <c r="K231" s="20"/>
      <c r="L231" s="20"/>
      <c r="M231" s="20"/>
      <c r="N231" s="20"/>
      <c r="O231" s="20"/>
      <c r="P231" s="20"/>
      <c r="Q231" s="20"/>
      <c r="R231" s="20"/>
      <c r="S231" s="20"/>
      <c r="T231" s="20"/>
      <c r="U231" s="20"/>
      <c r="V231" s="20"/>
      <c r="W231" s="20"/>
      <c r="X231" s="20"/>
      <c r="Y231" s="20"/>
      <c r="Z231" s="20"/>
      <c r="AA231" s="20"/>
      <c r="AB231" s="20"/>
      <c r="AC231" s="20"/>
      <c r="AD231" s="20"/>
      <c r="AE231" s="20"/>
      <c r="AF231" s="20"/>
      <c r="AG231" s="20"/>
      <c r="AH231" s="20"/>
      <c r="AI231" s="20"/>
      <c r="AJ231" s="20"/>
      <c r="AK231" s="20"/>
      <c r="AL231" s="20"/>
      <c r="AM231" s="20"/>
    </row>
    <row r="232" spans="3:39" ht="32.25" customHeight="1" x14ac:dyDescent="0.2">
      <c r="C232" s="17"/>
      <c r="D232" s="18"/>
      <c r="E232" s="19"/>
      <c r="F232" s="20"/>
      <c r="G232" s="20"/>
      <c r="H232" s="20"/>
      <c r="I232" s="20"/>
      <c r="J232" s="20"/>
      <c r="K232" s="20"/>
      <c r="L232" s="20"/>
      <c r="M232" s="20"/>
      <c r="N232" s="20"/>
      <c r="O232" s="20"/>
      <c r="P232" s="20"/>
      <c r="Q232" s="20"/>
      <c r="R232" s="20"/>
      <c r="S232" s="20"/>
      <c r="T232" s="20"/>
      <c r="U232" s="20"/>
      <c r="V232" s="20"/>
      <c r="W232" s="20"/>
      <c r="X232" s="20"/>
      <c r="Y232" s="20"/>
      <c r="Z232" s="20"/>
      <c r="AA232" s="20"/>
      <c r="AB232" s="20"/>
      <c r="AC232" s="20"/>
      <c r="AD232" s="20"/>
      <c r="AE232" s="20"/>
      <c r="AF232" s="20"/>
      <c r="AG232" s="20"/>
      <c r="AH232" s="20"/>
      <c r="AI232" s="20"/>
      <c r="AJ232" s="20"/>
      <c r="AK232" s="20"/>
      <c r="AL232" s="20"/>
      <c r="AM232" s="20"/>
    </row>
    <row r="233" spans="3:39" ht="32.25" customHeight="1" x14ac:dyDescent="0.2">
      <c r="C233" s="17"/>
      <c r="D233" s="18"/>
      <c r="E233" s="19"/>
      <c r="F233" s="20"/>
      <c r="G233" s="20"/>
      <c r="H233" s="20"/>
      <c r="I233" s="20"/>
      <c r="J233" s="20"/>
      <c r="K233" s="20"/>
      <c r="L233" s="20"/>
      <c r="M233" s="20"/>
      <c r="N233" s="20"/>
      <c r="O233" s="20"/>
      <c r="P233" s="20"/>
      <c r="Q233" s="20"/>
      <c r="R233" s="20"/>
      <c r="S233" s="20"/>
      <c r="T233" s="20"/>
      <c r="U233" s="20"/>
      <c r="V233" s="20"/>
      <c r="W233" s="20"/>
      <c r="X233" s="20"/>
      <c r="Y233" s="20"/>
      <c r="Z233" s="20"/>
      <c r="AA233" s="20"/>
      <c r="AB233" s="20"/>
      <c r="AC233" s="20"/>
      <c r="AD233" s="20"/>
      <c r="AE233" s="20"/>
      <c r="AF233" s="20"/>
      <c r="AG233" s="20"/>
      <c r="AH233" s="20"/>
      <c r="AI233" s="20"/>
      <c r="AJ233" s="20"/>
      <c r="AK233" s="20"/>
      <c r="AL233" s="20"/>
      <c r="AM233" s="20"/>
    </row>
    <row r="234" spans="3:39" ht="32.25" customHeight="1" x14ac:dyDescent="0.2">
      <c r="C234" s="17"/>
      <c r="D234" s="18"/>
      <c r="E234" s="19"/>
      <c r="F234" s="20"/>
      <c r="G234" s="20"/>
      <c r="H234" s="20"/>
      <c r="I234" s="20"/>
      <c r="J234" s="20"/>
      <c r="K234" s="20"/>
      <c r="L234" s="20"/>
      <c r="M234" s="20"/>
      <c r="N234" s="20"/>
      <c r="O234" s="20"/>
      <c r="P234" s="20"/>
      <c r="Q234" s="20"/>
      <c r="R234" s="20"/>
      <c r="S234" s="20"/>
      <c r="T234" s="20"/>
      <c r="U234" s="20"/>
      <c r="V234" s="20"/>
      <c r="W234" s="20"/>
      <c r="X234" s="20"/>
      <c r="Y234" s="20"/>
      <c r="Z234" s="20"/>
      <c r="AA234" s="20"/>
      <c r="AB234" s="20"/>
      <c r="AC234" s="20"/>
      <c r="AD234" s="20"/>
      <c r="AE234" s="20"/>
      <c r="AF234" s="20"/>
      <c r="AG234" s="20"/>
      <c r="AH234" s="20"/>
      <c r="AI234" s="20"/>
      <c r="AJ234" s="20"/>
      <c r="AK234" s="20"/>
      <c r="AL234" s="20"/>
      <c r="AM234" s="20"/>
    </row>
    <row r="235" spans="3:39" ht="32.25" customHeight="1" x14ac:dyDescent="0.2">
      <c r="C235" s="17"/>
      <c r="D235" s="18"/>
      <c r="E235" s="19"/>
      <c r="F235" s="20"/>
      <c r="G235" s="20"/>
      <c r="H235" s="20"/>
      <c r="I235" s="20"/>
      <c r="J235" s="20"/>
      <c r="K235" s="20"/>
      <c r="L235" s="20"/>
      <c r="M235" s="20"/>
      <c r="N235" s="20"/>
      <c r="O235" s="20"/>
      <c r="P235" s="20"/>
      <c r="Q235" s="20"/>
      <c r="R235" s="20"/>
      <c r="S235" s="20"/>
      <c r="T235" s="20"/>
      <c r="U235" s="20"/>
      <c r="V235" s="20"/>
      <c r="W235" s="20"/>
      <c r="X235" s="20"/>
      <c r="Y235" s="20"/>
      <c r="Z235" s="20"/>
      <c r="AA235" s="20"/>
      <c r="AB235" s="20"/>
      <c r="AC235" s="20"/>
      <c r="AD235" s="20"/>
      <c r="AE235" s="20"/>
      <c r="AF235" s="20"/>
      <c r="AG235" s="20"/>
      <c r="AH235" s="20"/>
      <c r="AI235" s="20"/>
      <c r="AJ235" s="20"/>
      <c r="AK235" s="20"/>
      <c r="AL235" s="20"/>
      <c r="AM235" s="20"/>
    </row>
    <row r="236" spans="3:39" ht="32.25" customHeight="1" x14ac:dyDescent="0.2">
      <c r="C236" s="17"/>
      <c r="D236" s="18"/>
      <c r="E236" s="19"/>
      <c r="F236" s="20"/>
      <c r="G236" s="20"/>
      <c r="H236" s="20"/>
      <c r="I236" s="20"/>
      <c r="J236" s="20"/>
      <c r="K236" s="20"/>
      <c r="L236" s="20"/>
      <c r="M236" s="20"/>
      <c r="N236" s="20"/>
      <c r="O236" s="20"/>
      <c r="P236" s="20"/>
      <c r="Q236" s="20"/>
      <c r="R236" s="20"/>
      <c r="S236" s="20"/>
      <c r="T236" s="20"/>
      <c r="U236" s="20"/>
      <c r="V236" s="20"/>
      <c r="W236" s="20"/>
      <c r="X236" s="20"/>
      <c r="Y236" s="20"/>
      <c r="Z236" s="20"/>
      <c r="AA236" s="20"/>
      <c r="AB236" s="20"/>
      <c r="AC236" s="20"/>
      <c r="AD236" s="20"/>
      <c r="AE236" s="20"/>
      <c r="AF236" s="20"/>
      <c r="AG236" s="20"/>
      <c r="AH236" s="20"/>
      <c r="AI236" s="20"/>
      <c r="AJ236" s="20"/>
      <c r="AK236" s="20"/>
      <c r="AL236" s="20"/>
      <c r="AM236" s="20"/>
    </row>
    <row r="237" spans="3:39" ht="32.25" customHeight="1" x14ac:dyDescent="0.2">
      <c r="C237" s="17"/>
      <c r="D237" s="18"/>
      <c r="E237" s="19"/>
      <c r="F237" s="20"/>
      <c r="G237" s="20"/>
      <c r="H237" s="20"/>
      <c r="I237" s="20"/>
      <c r="J237" s="20"/>
      <c r="K237" s="20"/>
      <c r="L237" s="20"/>
      <c r="M237" s="20"/>
      <c r="N237" s="20"/>
      <c r="O237" s="20"/>
      <c r="P237" s="20"/>
      <c r="Q237" s="20"/>
      <c r="R237" s="20"/>
      <c r="S237" s="20"/>
      <c r="T237" s="20"/>
      <c r="U237" s="20"/>
      <c r="V237" s="20"/>
      <c r="W237" s="20"/>
      <c r="X237" s="20"/>
      <c r="Y237" s="20"/>
      <c r="Z237" s="20"/>
      <c r="AA237" s="20"/>
      <c r="AB237" s="20"/>
      <c r="AC237" s="20"/>
      <c r="AD237" s="20"/>
      <c r="AE237" s="20"/>
      <c r="AF237" s="20"/>
      <c r="AG237" s="20"/>
      <c r="AH237" s="20"/>
      <c r="AI237" s="20"/>
      <c r="AJ237" s="20"/>
      <c r="AK237" s="20"/>
      <c r="AL237" s="20"/>
      <c r="AM237" s="20"/>
    </row>
    <row r="238" spans="3:39" ht="32.25" customHeight="1" x14ac:dyDescent="0.2">
      <c r="C238" s="17"/>
      <c r="D238" s="18"/>
      <c r="E238" s="19"/>
      <c r="F238" s="20"/>
      <c r="G238" s="20"/>
      <c r="H238" s="20"/>
      <c r="I238" s="20"/>
      <c r="J238" s="20"/>
      <c r="K238" s="20"/>
      <c r="L238" s="20"/>
      <c r="M238" s="20"/>
      <c r="N238" s="20"/>
      <c r="O238" s="20"/>
      <c r="P238" s="20"/>
      <c r="Q238" s="20"/>
      <c r="R238" s="20"/>
      <c r="S238" s="20"/>
      <c r="T238" s="20"/>
      <c r="U238" s="20"/>
      <c r="V238" s="20"/>
      <c r="W238" s="20"/>
      <c r="X238" s="20"/>
      <c r="Y238" s="20"/>
      <c r="Z238" s="20"/>
      <c r="AA238" s="20"/>
      <c r="AB238" s="20"/>
      <c r="AC238" s="20"/>
      <c r="AD238" s="20"/>
      <c r="AE238" s="20"/>
      <c r="AF238" s="20"/>
      <c r="AG238" s="20"/>
      <c r="AH238" s="20"/>
      <c r="AI238" s="20"/>
      <c r="AJ238" s="20"/>
      <c r="AK238" s="20"/>
      <c r="AL238" s="20"/>
      <c r="AM238" s="20"/>
    </row>
    <row r="239" spans="3:39" ht="32.25" customHeight="1" x14ac:dyDescent="0.2">
      <c r="C239" s="17"/>
      <c r="D239" s="18"/>
      <c r="E239" s="19"/>
      <c r="F239" s="20"/>
      <c r="G239" s="20"/>
      <c r="H239" s="20"/>
      <c r="I239" s="20"/>
      <c r="J239" s="20"/>
      <c r="K239" s="20"/>
      <c r="L239" s="20"/>
      <c r="M239" s="20"/>
      <c r="N239" s="20"/>
      <c r="O239" s="20"/>
      <c r="P239" s="20"/>
      <c r="Q239" s="20"/>
      <c r="R239" s="20"/>
      <c r="S239" s="20"/>
      <c r="T239" s="20"/>
      <c r="U239" s="20"/>
      <c r="V239" s="20"/>
      <c r="W239" s="20"/>
      <c r="X239" s="20"/>
      <c r="Y239" s="20"/>
      <c r="Z239" s="20"/>
      <c r="AA239" s="20"/>
      <c r="AB239" s="20"/>
      <c r="AC239" s="20"/>
      <c r="AD239" s="20"/>
      <c r="AE239" s="20"/>
      <c r="AF239" s="20"/>
      <c r="AG239" s="20"/>
      <c r="AH239" s="20"/>
      <c r="AI239" s="20"/>
      <c r="AJ239" s="20"/>
      <c r="AK239" s="20"/>
      <c r="AL239" s="20"/>
      <c r="AM239" s="20"/>
    </row>
    <row r="240" spans="3:39" ht="32.25" customHeight="1" x14ac:dyDescent="0.2">
      <c r="C240" s="17"/>
      <c r="D240" s="18"/>
      <c r="E240" s="19"/>
      <c r="F240" s="20"/>
      <c r="G240" s="20"/>
      <c r="H240" s="20"/>
      <c r="I240" s="20"/>
      <c r="J240" s="20"/>
      <c r="K240" s="20"/>
      <c r="L240" s="20"/>
      <c r="M240" s="20"/>
      <c r="N240" s="20"/>
      <c r="O240" s="20"/>
      <c r="P240" s="20"/>
      <c r="Q240" s="20"/>
      <c r="R240" s="20"/>
      <c r="S240" s="20"/>
      <c r="T240" s="20"/>
      <c r="U240" s="20"/>
      <c r="V240" s="20"/>
      <c r="W240" s="20"/>
      <c r="X240" s="20"/>
      <c r="Y240" s="20"/>
      <c r="Z240" s="20"/>
      <c r="AA240" s="20"/>
      <c r="AB240" s="20"/>
      <c r="AC240" s="20"/>
      <c r="AD240" s="20"/>
      <c r="AE240" s="20"/>
      <c r="AF240" s="20"/>
      <c r="AG240" s="20"/>
      <c r="AH240" s="20"/>
      <c r="AI240" s="20"/>
      <c r="AJ240" s="20"/>
      <c r="AK240" s="20"/>
      <c r="AL240" s="20"/>
      <c r="AM240" s="20"/>
    </row>
    <row r="241" spans="3:39" ht="32.25" customHeight="1" x14ac:dyDescent="0.2">
      <c r="C241" s="17"/>
      <c r="D241" s="18"/>
      <c r="E241" s="19"/>
      <c r="F241" s="20"/>
      <c r="G241" s="20"/>
      <c r="H241" s="20"/>
      <c r="I241" s="20"/>
      <c r="J241" s="20"/>
      <c r="K241" s="20"/>
      <c r="L241" s="20"/>
      <c r="M241" s="20"/>
      <c r="N241" s="20"/>
      <c r="O241" s="20"/>
      <c r="P241" s="20"/>
      <c r="Q241" s="20"/>
      <c r="R241" s="20"/>
      <c r="S241" s="20"/>
      <c r="T241" s="20"/>
      <c r="U241" s="20"/>
      <c r="V241" s="20"/>
      <c r="W241" s="20"/>
      <c r="X241" s="20"/>
      <c r="Y241" s="20"/>
      <c r="Z241" s="20"/>
      <c r="AA241" s="20"/>
      <c r="AB241" s="20"/>
      <c r="AC241" s="20"/>
      <c r="AD241" s="20"/>
      <c r="AE241" s="20"/>
      <c r="AF241" s="20"/>
      <c r="AG241" s="20"/>
      <c r="AH241" s="20"/>
      <c r="AI241" s="20"/>
      <c r="AJ241" s="20"/>
      <c r="AK241" s="20"/>
      <c r="AL241" s="20"/>
      <c r="AM241" s="20"/>
    </row>
    <row r="242" spans="3:39" ht="32.25" customHeight="1" x14ac:dyDescent="0.2">
      <c r="C242" s="17"/>
      <c r="D242" s="18"/>
      <c r="E242" s="19"/>
      <c r="F242" s="20"/>
      <c r="G242" s="20"/>
      <c r="H242" s="20"/>
      <c r="I242" s="20"/>
      <c r="J242" s="20"/>
      <c r="K242" s="20"/>
      <c r="L242" s="20"/>
      <c r="M242" s="20"/>
      <c r="N242" s="20"/>
      <c r="O242" s="20"/>
      <c r="P242" s="20"/>
      <c r="Q242" s="20"/>
      <c r="R242" s="20"/>
      <c r="S242" s="20"/>
      <c r="T242" s="20"/>
      <c r="U242" s="20"/>
      <c r="V242" s="20"/>
      <c r="W242" s="20"/>
      <c r="X242" s="20"/>
      <c r="Y242" s="20"/>
      <c r="Z242" s="20"/>
      <c r="AA242" s="20"/>
      <c r="AB242" s="20"/>
      <c r="AC242" s="20"/>
      <c r="AD242" s="20"/>
      <c r="AE242" s="20"/>
      <c r="AF242" s="20"/>
      <c r="AG242" s="20"/>
      <c r="AH242" s="20"/>
      <c r="AI242" s="20"/>
      <c r="AJ242" s="20"/>
      <c r="AK242" s="20"/>
      <c r="AL242" s="20"/>
      <c r="AM242" s="20"/>
    </row>
    <row r="243" spans="3:39" ht="32.25" customHeight="1" x14ac:dyDescent="0.2">
      <c r="C243" s="17"/>
      <c r="D243" s="18"/>
      <c r="E243" s="19"/>
      <c r="F243" s="20"/>
      <c r="G243" s="20"/>
      <c r="H243" s="20"/>
      <c r="I243" s="20"/>
      <c r="J243" s="20"/>
      <c r="K243" s="20"/>
      <c r="L243" s="20"/>
      <c r="M243" s="20"/>
      <c r="N243" s="20"/>
      <c r="O243" s="20"/>
      <c r="P243" s="20"/>
      <c r="Q243" s="20"/>
      <c r="R243" s="20"/>
      <c r="S243" s="20"/>
      <c r="T243" s="20"/>
      <c r="U243" s="20"/>
      <c r="V243" s="20"/>
      <c r="W243" s="20"/>
      <c r="X243" s="20"/>
      <c r="Y243" s="20"/>
      <c r="Z243" s="20"/>
      <c r="AA243" s="20"/>
      <c r="AB243" s="20"/>
      <c r="AC243" s="20"/>
      <c r="AD243" s="20"/>
      <c r="AE243" s="20"/>
      <c r="AF243" s="20"/>
      <c r="AG243" s="20"/>
      <c r="AH243" s="20"/>
      <c r="AI243" s="20"/>
      <c r="AJ243" s="20"/>
      <c r="AK243" s="20"/>
      <c r="AL243" s="20"/>
      <c r="AM243" s="20"/>
    </row>
    <row r="244" spans="3:39" ht="32.25" customHeight="1" x14ac:dyDescent="0.2">
      <c r="C244" s="17"/>
      <c r="D244" s="18"/>
      <c r="E244" s="19"/>
      <c r="F244" s="20"/>
      <c r="G244" s="20"/>
      <c r="H244" s="20"/>
      <c r="I244" s="20"/>
      <c r="J244" s="20"/>
      <c r="K244" s="20"/>
      <c r="L244" s="20"/>
      <c r="M244" s="20"/>
      <c r="N244" s="20"/>
      <c r="O244" s="20"/>
      <c r="P244" s="20"/>
      <c r="Q244" s="20"/>
      <c r="R244" s="20"/>
      <c r="S244" s="20"/>
      <c r="T244" s="20"/>
      <c r="U244" s="20"/>
      <c r="V244" s="20"/>
      <c r="W244" s="20"/>
      <c r="X244" s="20"/>
      <c r="Y244" s="20"/>
      <c r="Z244" s="20"/>
      <c r="AA244" s="20"/>
      <c r="AB244" s="20"/>
      <c r="AC244" s="20"/>
      <c r="AD244" s="20"/>
      <c r="AE244" s="20"/>
      <c r="AF244" s="20"/>
      <c r="AG244" s="20"/>
      <c r="AH244" s="20"/>
      <c r="AI244" s="20"/>
      <c r="AJ244" s="20"/>
      <c r="AK244" s="20"/>
      <c r="AL244" s="20"/>
      <c r="AM244" s="20"/>
    </row>
    <row r="245" spans="3:39" ht="32.25" customHeight="1" x14ac:dyDescent="0.2">
      <c r="C245" s="17"/>
      <c r="D245" s="18"/>
      <c r="E245" s="19"/>
      <c r="F245" s="20"/>
      <c r="G245" s="20"/>
      <c r="H245" s="20"/>
      <c r="I245" s="20"/>
      <c r="J245" s="20"/>
      <c r="K245" s="20"/>
      <c r="L245" s="20"/>
      <c r="M245" s="20"/>
      <c r="N245" s="20"/>
      <c r="O245" s="20"/>
      <c r="P245" s="20"/>
      <c r="Q245" s="20"/>
      <c r="R245" s="20"/>
      <c r="S245" s="20"/>
      <c r="T245" s="20"/>
      <c r="U245" s="20"/>
      <c r="V245" s="20"/>
      <c r="W245" s="20"/>
      <c r="X245" s="20"/>
      <c r="Y245" s="20"/>
      <c r="Z245" s="20"/>
      <c r="AA245" s="20"/>
      <c r="AB245" s="20"/>
      <c r="AC245" s="20"/>
      <c r="AD245" s="20"/>
      <c r="AE245" s="20"/>
      <c r="AF245" s="20"/>
      <c r="AG245" s="20"/>
      <c r="AH245" s="20"/>
      <c r="AI245" s="20"/>
      <c r="AJ245" s="20"/>
      <c r="AK245" s="20"/>
      <c r="AL245" s="20"/>
      <c r="AM245" s="20"/>
    </row>
    <row r="246" spans="3:39" ht="32.25" customHeight="1" x14ac:dyDescent="0.2">
      <c r="C246" s="17"/>
      <c r="D246" s="18"/>
      <c r="E246" s="19"/>
      <c r="F246" s="20"/>
      <c r="G246" s="20"/>
      <c r="H246" s="20"/>
      <c r="I246" s="20"/>
      <c r="J246" s="20"/>
      <c r="K246" s="20"/>
      <c r="L246" s="20"/>
      <c r="M246" s="20"/>
      <c r="N246" s="20"/>
      <c r="O246" s="20"/>
      <c r="P246" s="20"/>
      <c r="Q246" s="20"/>
      <c r="R246" s="20"/>
      <c r="S246" s="20"/>
      <c r="T246" s="20"/>
      <c r="U246" s="20"/>
      <c r="V246" s="20"/>
      <c r="W246" s="20"/>
      <c r="X246" s="20"/>
      <c r="Y246" s="20"/>
      <c r="Z246" s="20"/>
      <c r="AA246" s="20"/>
      <c r="AB246" s="20"/>
      <c r="AC246" s="20"/>
      <c r="AD246" s="20"/>
      <c r="AE246" s="20"/>
      <c r="AF246" s="20"/>
      <c r="AG246" s="20"/>
      <c r="AH246" s="20"/>
      <c r="AI246" s="20"/>
      <c r="AJ246" s="20"/>
      <c r="AK246" s="20"/>
      <c r="AL246" s="20"/>
      <c r="AM246" s="20"/>
    </row>
    <row r="247" spans="3:39" ht="32.25" customHeight="1" x14ac:dyDescent="0.2">
      <c r="C247" s="17"/>
      <c r="D247" s="18"/>
      <c r="E247" s="19"/>
      <c r="F247" s="20"/>
      <c r="G247" s="20"/>
      <c r="H247" s="20"/>
      <c r="I247" s="20"/>
      <c r="J247" s="20"/>
      <c r="K247" s="20"/>
      <c r="L247" s="20"/>
      <c r="M247" s="20"/>
      <c r="N247" s="20"/>
      <c r="O247" s="20"/>
      <c r="P247" s="20"/>
      <c r="Q247" s="20"/>
      <c r="R247" s="20"/>
      <c r="S247" s="20"/>
      <c r="T247" s="20"/>
      <c r="U247" s="20"/>
      <c r="V247" s="20"/>
      <c r="W247" s="20"/>
      <c r="X247" s="20"/>
      <c r="Y247" s="20"/>
      <c r="Z247" s="20"/>
      <c r="AA247" s="20"/>
      <c r="AB247" s="20"/>
      <c r="AC247" s="20"/>
      <c r="AD247" s="20"/>
      <c r="AE247" s="20"/>
      <c r="AF247" s="20"/>
      <c r="AG247" s="20"/>
      <c r="AH247" s="20"/>
      <c r="AI247" s="20"/>
      <c r="AJ247" s="20"/>
      <c r="AK247" s="20"/>
      <c r="AL247" s="20"/>
      <c r="AM247" s="20"/>
    </row>
    <row r="248" spans="3:39" ht="32.25" customHeight="1" x14ac:dyDescent="0.2">
      <c r="C248" s="17"/>
      <c r="D248" s="18"/>
      <c r="E248" s="19"/>
      <c r="F248" s="20"/>
      <c r="G248" s="20"/>
      <c r="H248" s="20"/>
      <c r="I248" s="20"/>
      <c r="J248" s="20"/>
      <c r="K248" s="20"/>
      <c r="L248" s="20"/>
      <c r="M248" s="20"/>
      <c r="N248" s="20"/>
      <c r="O248" s="20"/>
      <c r="P248" s="20"/>
      <c r="Q248" s="20"/>
      <c r="R248" s="20"/>
      <c r="S248" s="20"/>
      <c r="T248" s="20"/>
      <c r="U248" s="20"/>
      <c r="V248" s="20"/>
      <c r="W248" s="20"/>
      <c r="X248" s="20"/>
      <c r="Y248" s="20"/>
      <c r="Z248" s="20"/>
      <c r="AA248" s="20"/>
      <c r="AB248" s="20"/>
      <c r="AC248" s="20"/>
      <c r="AD248" s="20"/>
      <c r="AE248" s="20"/>
      <c r="AF248" s="20"/>
      <c r="AG248" s="20"/>
      <c r="AH248" s="20"/>
      <c r="AI248" s="20"/>
      <c r="AJ248" s="20"/>
      <c r="AK248" s="20"/>
      <c r="AL248" s="20"/>
      <c r="AM248" s="20"/>
    </row>
    <row r="249" spans="3:39" ht="32.25" customHeight="1" x14ac:dyDescent="0.2">
      <c r="C249" s="17"/>
      <c r="D249" s="18"/>
      <c r="E249" s="19"/>
      <c r="F249" s="20"/>
      <c r="G249" s="20"/>
      <c r="H249" s="20"/>
      <c r="I249" s="20"/>
      <c r="J249" s="20"/>
      <c r="K249" s="20"/>
      <c r="L249" s="20"/>
      <c r="M249" s="20"/>
      <c r="N249" s="20"/>
      <c r="O249" s="20"/>
      <c r="P249" s="20"/>
      <c r="Q249" s="20"/>
      <c r="R249" s="20"/>
      <c r="S249" s="20"/>
      <c r="T249" s="20"/>
      <c r="U249" s="20"/>
      <c r="V249" s="20"/>
      <c r="W249" s="20"/>
      <c r="X249" s="20"/>
      <c r="Y249" s="20"/>
      <c r="Z249" s="20"/>
      <c r="AA249" s="20"/>
      <c r="AB249" s="20"/>
      <c r="AC249" s="20"/>
      <c r="AD249" s="20"/>
      <c r="AE249" s="20"/>
      <c r="AF249" s="20"/>
      <c r="AG249" s="20"/>
      <c r="AH249" s="20"/>
      <c r="AI249" s="20"/>
      <c r="AJ249" s="20"/>
      <c r="AK249" s="20"/>
      <c r="AL249" s="20"/>
      <c r="AM249" s="20"/>
    </row>
    <row r="250" spans="3:39" ht="32.25" customHeight="1" x14ac:dyDescent="0.2">
      <c r="C250" s="17"/>
      <c r="D250" s="18"/>
      <c r="E250" s="19"/>
      <c r="F250" s="20"/>
      <c r="G250" s="20"/>
      <c r="H250" s="20"/>
      <c r="I250" s="20"/>
      <c r="J250" s="20"/>
      <c r="K250" s="20"/>
      <c r="L250" s="20"/>
      <c r="M250" s="20"/>
      <c r="N250" s="20"/>
      <c r="O250" s="20"/>
      <c r="P250" s="20"/>
      <c r="Q250" s="20"/>
      <c r="R250" s="20"/>
      <c r="S250" s="20"/>
      <c r="T250" s="20"/>
      <c r="U250" s="20"/>
      <c r="V250" s="20"/>
      <c r="W250" s="20"/>
      <c r="X250" s="20"/>
      <c r="Y250" s="20"/>
      <c r="Z250" s="20"/>
      <c r="AA250" s="20"/>
      <c r="AB250" s="20"/>
      <c r="AC250" s="20"/>
      <c r="AD250" s="20"/>
      <c r="AE250" s="20"/>
      <c r="AF250" s="20"/>
      <c r="AG250" s="20"/>
      <c r="AH250" s="20"/>
      <c r="AI250" s="20"/>
      <c r="AJ250" s="20"/>
      <c r="AK250" s="20"/>
      <c r="AL250" s="20"/>
      <c r="AM250" s="20"/>
    </row>
    <row r="251" spans="3:39" ht="32.25" customHeight="1" x14ac:dyDescent="0.2">
      <c r="C251" s="17"/>
      <c r="D251" s="18"/>
      <c r="E251" s="19"/>
      <c r="F251" s="20"/>
      <c r="G251" s="20"/>
      <c r="H251" s="20"/>
      <c r="I251" s="20"/>
      <c r="J251" s="20"/>
      <c r="K251" s="20"/>
      <c r="L251" s="20"/>
      <c r="M251" s="20"/>
      <c r="N251" s="20"/>
      <c r="O251" s="20"/>
      <c r="P251" s="20"/>
      <c r="Q251" s="20"/>
      <c r="R251" s="20"/>
      <c r="S251" s="20"/>
      <c r="T251" s="20"/>
      <c r="U251" s="20"/>
      <c r="V251" s="20"/>
      <c r="W251" s="20"/>
      <c r="X251" s="20"/>
      <c r="Y251" s="20"/>
      <c r="Z251" s="20"/>
      <c r="AA251" s="20"/>
      <c r="AB251" s="20"/>
      <c r="AC251" s="20"/>
      <c r="AD251" s="20"/>
      <c r="AE251" s="20"/>
      <c r="AF251" s="20"/>
      <c r="AG251" s="20"/>
      <c r="AH251" s="20"/>
      <c r="AI251" s="20"/>
      <c r="AJ251" s="20"/>
      <c r="AK251" s="20"/>
      <c r="AL251" s="20"/>
      <c r="AM251" s="20"/>
    </row>
    <row r="252" spans="3:39" ht="32.25" customHeight="1" x14ac:dyDescent="0.2">
      <c r="C252" s="17"/>
      <c r="D252" s="18"/>
      <c r="E252" s="19"/>
      <c r="F252" s="20"/>
      <c r="G252" s="20"/>
      <c r="H252" s="20"/>
      <c r="I252" s="20"/>
      <c r="J252" s="20"/>
      <c r="K252" s="20"/>
      <c r="L252" s="20"/>
      <c r="M252" s="20"/>
      <c r="N252" s="20"/>
      <c r="O252" s="20"/>
      <c r="P252" s="20"/>
      <c r="Q252" s="20"/>
      <c r="R252" s="20"/>
      <c r="S252" s="20"/>
      <c r="T252" s="20"/>
      <c r="U252" s="20"/>
      <c r="V252" s="20"/>
      <c r="W252" s="20"/>
      <c r="X252" s="20"/>
      <c r="Y252" s="20"/>
      <c r="Z252" s="20"/>
      <c r="AA252" s="20"/>
      <c r="AB252" s="20"/>
      <c r="AC252" s="20"/>
      <c r="AD252" s="20"/>
      <c r="AE252" s="20"/>
      <c r="AF252" s="20"/>
      <c r="AG252" s="20"/>
      <c r="AH252" s="20"/>
      <c r="AI252" s="20"/>
      <c r="AJ252" s="20"/>
      <c r="AK252" s="20"/>
      <c r="AL252" s="20"/>
      <c r="AM252" s="20"/>
    </row>
    <row r="253" spans="3:39" ht="32.25" customHeight="1" x14ac:dyDescent="0.2">
      <c r="C253" s="17"/>
      <c r="D253" s="18"/>
      <c r="E253" s="19"/>
      <c r="F253" s="20"/>
      <c r="G253" s="20"/>
      <c r="H253" s="20"/>
      <c r="I253" s="20"/>
      <c r="J253" s="20"/>
      <c r="K253" s="20"/>
      <c r="L253" s="20"/>
      <c r="M253" s="20"/>
      <c r="N253" s="20"/>
      <c r="O253" s="20"/>
      <c r="P253" s="20"/>
      <c r="Q253" s="20"/>
      <c r="R253" s="20"/>
      <c r="S253" s="20"/>
      <c r="T253" s="20"/>
      <c r="U253" s="20"/>
      <c r="V253" s="20"/>
      <c r="W253" s="20"/>
      <c r="X253" s="20"/>
      <c r="Y253" s="20"/>
      <c r="Z253" s="20"/>
      <c r="AA253" s="20"/>
      <c r="AB253" s="20"/>
      <c r="AC253" s="20"/>
      <c r="AD253" s="20"/>
      <c r="AE253" s="20"/>
      <c r="AF253" s="20"/>
      <c r="AG253" s="20"/>
      <c r="AH253" s="20"/>
      <c r="AI253" s="20"/>
      <c r="AJ253" s="20"/>
      <c r="AK253" s="20"/>
      <c r="AL253" s="20"/>
      <c r="AM253" s="20"/>
    </row>
    <row r="254" spans="3:39" ht="32.25" customHeight="1" x14ac:dyDescent="0.2">
      <c r="C254" s="17"/>
      <c r="D254" s="18"/>
      <c r="E254" s="19"/>
      <c r="F254" s="20"/>
      <c r="G254" s="20"/>
      <c r="H254" s="20"/>
      <c r="I254" s="20"/>
      <c r="J254" s="20"/>
      <c r="K254" s="20"/>
      <c r="L254" s="20"/>
      <c r="M254" s="20"/>
      <c r="N254" s="20"/>
      <c r="O254" s="20"/>
      <c r="P254" s="20"/>
      <c r="Q254" s="20"/>
      <c r="R254" s="20"/>
      <c r="S254" s="20"/>
      <c r="T254" s="20"/>
      <c r="U254" s="20"/>
      <c r="V254" s="20"/>
      <c r="W254" s="20"/>
      <c r="X254" s="20"/>
      <c r="Y254" s="20"/>
      <c r="Z254" s="20"/>
      <c r="AA254" s="20"/>
      <c r="AB254" s="20"/>
      <c r="AC254" s="20"/>
      <c r="AD254" s="20"/>
      <c r="AE254" s="20"/>
      <c r="AF254" s="20"/>
      <c r="AG254" s="20"/>
      <c r="AH254" s="20"/>
      <c r="AI254" s="20"/>
      <c r="AJ254" s="20"/>
      <c r="AK254" s="20"/>
      <c r="AL254" s="20"/>
      <c r="AM254" s="20"/>
    </row>
    <row r="255" spans="3:39" ht="32.25" customHeight="1" x14ac:dyDescent="0.2">
      <c r="C255" s="17"/>
      <c r="D255" s="18"/>
      <c r="E255" s="19"/>
      <c r="F255" s="20"/>
      <c r="G255" s="20"/>
      <c r="H255" s="20"/>
      <c r="I255" s="20"/>
      <c r="J255" s="20"/>
      <c r="K255" s="20"/>
      <c r="L255" s="20"/>
      <c r="M255" s="20"/>
      <c r="N255" s="20"/>
      <c r="O255" s="20"/>
      <c r="P255" s="20"/>
      <c r="Q255" s="20"/>
      <c r="R255" s="20"/>
      <c r="S255" s="20"/>
      <c r="T255" s="20"/>
      <c r="U255" s="20"/>
      <c r="V255" s="20"/>
      <c r="W255" s="20"/>
      <c r="X255" s="20"/>
      <c r="Y255" s="20"/>
      <c r="Z255" s="20"/>
      <c r="AA255" s="20"/>
      <c r="AB255" s="20"/>
      <c r="AC255" s="20"/>
      <c r="AD255" s="20"/>
      <c r="AE255" s="20"/>
      <c r="AF255" s="20"/>
      <c r="AG255" s="20"/>
      <c r="AH255" s="20"/>
      <c r="AI255" s="20"/>
      <c r="AJ255" s="20"/>
      <c r="AK255" s="20"/>
      <c r="AL255" s="20"/>
      <c r="AM255" s="20"/>
    </row>
    <row r="256" spans="3:39" ht="32.25" customHeight="1" x14ac:dyDescent="0.2">
      <c r="C256" s="17"/>
      <c r="D256" s="18"/>
      <c r="E256" s="19"/>
      <c r="F256" s="20"/>
      <c r="G256" s="20"/>
      <c r="H256" s="20"/>
      <c r="I256" s="20"/>
      <c r="J256" s="20"/>
      <c r="K256" s="20"/>
      <c r="L256" s="20"/>
      <c r="M256" s="20"/>
      <c r="N256" s="20"/>
      <c r="O256" s="20"/>
      <c r="P256" s="20"/>
      <c r="Q256" s="20"/>
      <c r="R256" s="20"/>
      <c r="S256" s="20"/>
      <c r="T256" s="20"/>
      <c r="U256" s="20"/>
      <c r="V256" s="20"/>
      <c r="W256" s="20"/>
      <c r="X256" s="20"/>
      <c r="Y256" s="20"/>
      <c r="Z256" s="20"/>
      <c r="AA256" s="20"/>
      <c r="AB256" s="20"/>
      <c r="AC256" s="20"/>
      <c r="AD256" s="20"/>
      <c r="AE256" s="20"/>
      <c r="AF256" s="20"/>
      <c r="AG256" s="20"/>
      <c r="AH256" s="20"/>
      <c r="AI256" s="20"/>
      <c r="AJ256" s="20"/>
      <c r="AK256" s="20"/>
      <c r="AL256" s="20"/>
      <c r="AM256" s="20"/>
    </row>
    <row r="257" spans="3:39" ht="32.25" customHeight="1" x14ac:dyDescent="0.2">
      <c r="C257" s="17"/>
      <c r="D257" s="18"/>
      <c r="E257" s="19"/>
      <c r="F257" s="20"/>
      <c r="G257" s="20"/>
      <c r="H257" s="20"/>
      <c r="I257" s="20"/>
      <c r="J257" s="20"/>
      <c r="K257" s="20"/>
      <c r="L257" s="20"/>
      <c r="M257" s="20"/>
      <c r="N257" s="20"/>
      <c r="O257" s="20"/>
      <c r="P257" s="20"/>
      <c r="Q257" s="20"/>
      <c r="R257" s="20"/>
      <c r="S257" s="20"/>
      <c r="T257" s="20"/>
      <c r="U257" s="20"/>
      <c r="V257" s="20"/>
      <c r="W257" s="20"/>
      <c r="X257" s="20"/>
      <c r="Y257" s="20"/>
      <c r="Z257" s="20"/>
      <c r="AA257" s="20"/>
      <c r="AB257" s="20"/>
      <c r="AC257" s="20"/>
      <c r="AD257" s="20"/>
      <c r="AE257" s="20"/>
      <c r="AF257" s="20"/>
      <c r="AG257" s="20"/>
      <c r="AH257" s="20"/>
      <c r="AI257" s="20"/>
      <c r="AJ257" s="20"/>
      <c r="AK257" s="20"/>
      <c r="AL257" s="20"/>
      <c r="AM257" s="20"/>
    </row>
    <row r="258" spans="3:39" ht="32.25" customHeight="1" x14ac:dyDescent="0.2">
      <c r="C258" s="17"/>
      <c r="D258" s="18"/>
      <c r="E258" s="19"/>
      <c r="F258" s="20"/>
      <c r="G258" s="20"/>
      <c r="H258" s="20"/>
      <c r="I258" s="20"/>
      <c r="J258" s="20"/>
      <c r="K258" s="20"/>
      <c r="L258" s="20"/>
      <c r="M258" s="20"/>
      <c r="N258" s="20"/>
      <c r="O258" s="20"/>
      <c r="P258" s="20"/>
      <c r="Q258" s="20"/>
      <c r="R258" s="20"/>
      <c r="S258" s="20"/>
      <c r="T258" s="20"/>
      <c r="U258" s="20"/>
      <c r="V258" s="20"/>
      <c r="W258" s="20"/>
      <c r="X258" s="20"/>
      <c r="Y258" s="20"/>
      <c r="Z258" s="20"/>
      <c r="AA258" s="20"/>
      <c r="AB258" s="20"/>
      <c r="AC258" s="20"/>
      <c r="AD258" s="20"/>
      <c r="AE258" s="20"/>
      <c r="AF258" s="20"/>
      <c r="AG258" s="20"/>
      <c r="AH258" s="20"/>
      <c r="AI258" s="20"/>
      <c r="AJ258" s="20"/>
      <c r="AK258" s="20"/>
      <c r="AL258" s="20"/>
      <c r="AM258" s="20"/>
    </row>
    <row r="259" spans="3:39" ht="32.25" customHeight="1" x14ac:dyDescent="0.2">
      <c r="C259" s="17"/>
      <c r="D259" s="18"/>
      <c r="E259" s="19"/>
      <c r="F259" s="20"/>
      <c r="G259" s="20"/>
      <c r="H259" s="20"/>
      <c r="I259" s="20"/>
      <c r="J259" s="20"/>
      <c r="K259" s="20"/>
      <c r="L259" s="20"/>
      <c r="M259" s="20"/>
      <c r="N259" s="20"/>
      <c r="O259" s="20"/>
      <c r="P259" s="20"/>
      <c r="Q259" s="20"/>
      <c r="R259" s="20"/>
      <c r="S259" s="20"/>
      <c r="T259" s="20"/>
      <c r="U259" s="20"/>
      <c r="V259" s="20"/>
      <c r="W259" s="20"/>
      <c r="X259" s="20"/>
      <c r="Y259" s="20"/>
      <c r="Z259" s="20"/>
      <c r="AA259" s="20"/>
      <c r="AB259" s="20"/>
      <c r="AC259" s="20"/>
      <c r="AD259" s="20"/>
      <c r="AE259" s="20"/>
      <c r="AF259" s="20"/>
      <c r="AG259" s="20"/>
      <c r="AH259" s="20"/>
      <c r="AI259" s="20"/>
      <c r="AJ259" s="20"/>
      <c r="AK259" s="20"/>
      <c r="AL259" s="20"/>
      <c r="AM259" s="20"/>
    </row>
    <row r="260" spans="3:39" ht="32.25" customHeight="1" x14ac:dyDescent="0.2">
      <c r="C260" s="17"/>
      <c r="D260" s="18"/>
      <c r="E260" s="19"/>
      <c r="F260" s="20"/>
      <c r="G260" s="20"/>
      <c r="H260" s="20"/>
      <c r="I260" s="20"/>
      <c r="J260" s="20"/>
      <c r="K260" s="20"/>
      <c r="L260" s="20"/>
      <c r="M260" s="20"/>
      <c r="N260" s="20"/>
      <c r="O260" s="20"/>
      <c r="P260" s="20"/>
      <c r="Q260" s="20"/>
      <c r="R260" s="20"/>
      <c r="S260" s="20"/>
      <c r="T260" s="20"/>
      <c r="U260" s="20"/>
      <c r="V260" s="20"/>
      <c r="W260" s="20"/>
      <c r="X260" s="20"/>
      <c r="Y260" s="20"/>
      <c r="Z260" s="20"/>
      <c r="AA260" s="20"/>
      <c r="AB260" s="20"/>
      <c r="AC260" s="20"/>
      <c r="AD260" s="20"/>
      <c r="AE260" s="20"/>
      <c r="AF260" s="20"/>
      <c r="AG260" s="20"/>
      <c r="AH260" s="20"/>
      <c r="AI260" s="20"/>
      <c r="AJ260" s="20"/>
      <c r="AK260" s="20"/>
      <c r="AL260" s="20"/>
      <c r="AM260" s="20"/>
    </row>
    <row r="261" spans="3:39" ht="32.25" customHeight="1" x14ac:dyDescent="0.2">
      <c r="C261" s="17"/>
      <c r="D261" s="18"/>
      <c r="E261" s="19"/>
      <c r="F261" s="20"/>
      <c r="G261" s="20"/>
      <c r="H261" s="20"/>
      <c r="I261" s="20"/>
      <c r="J261" s="20"/>
      <c r="K261" s="20"/>
      <c r="L261" s="20"/>
      <c r="M261" s="20"/>
      <c r="N261" s="20"/>
      <c r="O261" s="20"/>
      <c r="P261" s="20"/>
      <c r="Q261" s="20"/>
      <c r="R261" s="20"/>
      <c r="S261" s="20"/>
      <c r="T261" s="20"/>
      <c r="U261" s="20"/>
      <c r="V261" s="20"/>
      <c r="W261" s="20"/>
      <c r="X261" s="20"/>
      <c r="Y261" s="20"/>
      <c r="Z261" s="20"/>
      <c r="AA261" s="20"/>
      <c r="AB261" s="20"/>
      <c r="AC261" s="20"/>
      <c r="AD261" s="20"/>
      <c r="AE261" s="20"/>
      <c r="AF261" s="20"/>
      <c r="AG261" s="20"/>
      <c r="AH261" s="20"/>
      <c r="AI261" s="20"/>
      <c r="AJ261" s="20"/>
      <c r="AK261" s="20"/>
      <c r="AL261" s="20"/>
      <c r="AM261" s="20"/>
    </row>
    <row r="262" spans="3:39" ht="32.25" customHeight="1" x14ac:dyDescent="0.2">
      <c r="C262" s="17"/>
      <c r="D262" s="18"/>
      <c r="E262" s="19"/>
      <c r="F262" s="20"/>
      <c r="G262" s="20"/>
      <c r="H262" s="20"/>
      <c r="I262" s="20"/>
      <c r="J262" s="20"/>
      <c r="K262" s="20"/>
      <c r="L262" s="20"/>
      <c r="M262" s="20"/>
      <c r="N262" s="20"/>
      <c r="O262" s="20"/>
      <c r="P262" s="20"/>
      <c r="Q262" s="20"/>
      <c r="R262" s="20"/>
      <c r="S262" s="20"/>
      <c r="T262" s="20"/>
      <c r="U262" s="20"/>
      <c r="V262" s="20"/>
      <c r="W262" s="20"/>
      <c r="X262" s="20"/>
      <c r="Y262" s="20"/>
      <c r="Z262" s="20"/>
      <c r="AA262" s="20"/>
      <c r="AB262" s="20"/>
      <c r="AC262" s="20"/>
      <c r="AD262" s="20"/>
      <c r="AE262" s="20"/>
      <c r="AF262" s="20"/>
      <c r="AG262" s="20"/>
      <c r="AH262" s="20"/>
      <c r="AI262" s="20"/>
      <c r="AJ262" s="20"/>
      <c r="AK262" s="20"/>
      <c r="AL262" s="20"/>
      <c r="AM262" s="20"/>
    </row>
    <row r="263" spans="3:39" ht="32.25" customHeight="1" x14ac:dyDescent="0.2">
      <c r="C263" s="17"/>
      <c r="D263" s="18"/>
      <c r="E263" s="19"/>
      <c r="F263" s="20"/>
      <c r="G263" s="20"/>
      <c r="H263" s="20"/>
      <c r="I263" s="20"/>
      <c r="J263" s="20"/>
      <c r="K263" s="20"/>
      <c r="L263" s="20"/>
      <c r="M263" s="20"/>
      <c r="N263" s="20"/>
      <c r="O263" s="20"/>
      <c r="P263" s="20"/>
      <c r="Q263" s="20"/>
      <c r="R263" s="20"/>
      <c r="S263" s="20"/>
      <c r="T263" s="20"/>
      <c r="U263" s="20"/>
      <c r="V263" s="20"/>
      <c r="W263" s="20"/>
      <c r="X263" s="20"/>
      <c r="Y263" s="20"/>
      <c r="Z263" s="20"/>
      <c r="AA263" s="20"/>
      <c r="AB263" s="20"/>
      <c r="AC263" s="20"/>
      <c r="AD263" s="20"/>
      <c r="AE263" s="20"/>
      <c r="AF263" s="20"/>
      <c r="AG263" s="20"/>
      <c r="AH263" s="20"/>
      <c r="AI263" s="20"/>
      <c r="AJ263" s="20"/>
      <c r="AK263" s="20"/>
      <c r="AL263" s="20"/>
      <c r="AM263" s="20"/>
    </row>
    <row r="264" spans="3:39" ht="32.25" customHeight="1" x14ac:dyDescent="0.2">
      <c r="C264" s="17"/>
      <c r="D264" s="18"/>
      <c r="E264" s="19"/>
      <c r="F264" s="20"/>
      <c r="G264" s="20"/>
      <c r="H264" s="20"/>
      <c r="I264" s="20"/>
      <c r="J264" s="20"/>
      <c r="K264" s="20"/>
      <c r="L264" s="20"/>
      <c r="M264" s="20"/>
      <c r="N264" s="20"/>
      <c r="O264" s="20"/>
      <c r="P264" s="20"/>
      <c r="Q264" s="20"/>
      <c r="R264" s="20"/>
      <c r="S264" s="20"/>
      <c r="T264" s="20"/>
      <c r="U264" s="20"/>
      <c r="V264" s="20"/>
      <c r="W264" s="20"/>
      <c r="X264" s="20"/>
      <c r="Y264" s="20"/>
      <c r="Z264" s="20"/>
      <c r="AA264" s="20"/>
      <c r="AB264" s="20"/>
      <c r="AC264" s="20"/>
      <c r="AD264" s="20"/>
      <c r="AE264" s="20"/>
      <c r="AF264" s="20"/>
      <c r="AG264" s="20"/>
      <c r="AH264" s="20"/>
      <c r="AI264" s="20"/>
      <c r="AJ264" s="20"/>
      <c r="AK264" s="20"/>
      <c r="AL264" s="20"/>
      <c r="AM264" s="20"/>
    </row>
    <row r="265" spans="3:39" ht="32.25" customHeight="1" x14ac:dyDescent="0.2">
      <c r="C265" s="17"/>
      <c r="D265" s="18"/>
      <c r="E265" s="19"/>
      <c r="F265" s="20"/>
      <c r="G265" s="20"/>
      <c r="H265" s="20"/>
      <c r="I265" s="20"/>
      <c r="J265" s="20"/>
      <c r="K265" s="20"/>
      <c r="L265" s="20"/>
      <c r="M265" s="20"/>
      <c r="N265" s="20"/>
      <c r="O265" s="20"/>
      <c r="P265" s="20"/>
      <c r="Q265" s="20"/>
      <c r="R265" s="20"/>
      <c r="S265" s="20"/>
      <c r="T265" s="20"/>
      <c r="U265" s="20"/>
      <c r="V265" s="20"/>
      <c r="W265" s="20"/>
      <c r="X265" s="20"/>
      <c r="Y265" s="20"/>
      <c r="Z265" s="20"/>
      <c r="AA265" s="20"/>
      <c r="AB265" s="20"/>
      <c r="AC265" s="20"/>
      <c r="AD265" s="20"/>
      <c r="AE265" s="20"/>
      <c r="AF265" s="20"/>
      <c r="AG265" s="20"/>
      <c r="AH265" s="20"/>
      <c r="AI265" s="20"/>
      <c r="AJ265" s="20"/>
      <c r="AK265" s="20"/>
      <c r="AL265" s="20"/>
      <c r="AM265" s="20"/>
    </row>
    <row r="266" spans="3:39" ht="32.25" customHeight="1" x14ac:dyDescent="0.2">
      <c r="C266" s="17"/>
      <c r="D266" s="18"/>
      <c r="E266" s="19"/>
      <c r="F266" s="20"/>
      <c r="G266" s="20"/>
      <c r="H266" s="20"/>
      <c r="I266" s="20"/>
      <c r="J266" s="20"/>
      <c r="K266" s="20"/>
      <c r="L266" s="20"/>
      <c r="M266" s="20"/>
      <c r="N266" s="20"/>
      <c r="O266" s="20"/>
      <c r="P266" s="20"/>
      <c r="Q266" s="20"/>
      <c r="R266" s="20"/>
      <c r="S266" s="20"/>
      <c r="T266" s="20"/>
      <c r="U266" s="20"/>
      <c r="V266" s="20"/>
      <c r="W266" s="20"/>
      <c r="X266" s="20"/>
      <c r="Y266" s="20"/>
      <c r="Z266" s="20"/>
      <c r="AA266" s="20"/>
      <c r="AB266" s="20"/>
      <c r="AC266" s="20"/>
      <c r="AD266" s="20"/>
      <c r="AE266" s="20"/>
      <c r="AF266" s="20"/>
      <c r="AG266" s="20"/>
      <c r="AH266" s="20"/>
      <c r="AI266" s="20"/>
      <c r="AJ266" s="20"/>
      <c r="AK266" s="20"/>
      <c r="AL266" s="20"/>
      <c r="AM266" s="20"/>
    </row>
    <row r="267" spans="3:39" ht="32.25" customHeight="1" x14ac:dyDescent="0.2">
      <c r="C267" s="17"/>
      <c r="D267" s="18"/>
      <c r="E267" s="19"/>
      <c r="F267" s="20"/>
      <c r="G267" s="20"/>
      <c r="H267" s="20"/>
      <c r="I267" s="20"/>
      <c r="J267" s="20"/>
      <c r="K267" s="20"/>
      <c r="L267" s="20"/>
      <c r="M267" s="20"/>
      <c r="N267" s="20"/>
      <c r="O267" s="20"/>
      <c r="P267" s="20"/>
      <c r="Q267" s="20"/>
      <c r="R267" s="20"/>
      <c r="S267" s="20"/>
      <c r="T267" s="20"/>
      <c r="U267" s="20"/>
      <c r="V267" s="20"/>
      <c r="W267" s="20"/>
      <c r="X267" s="20"/>
      <c r="Y267" s="20"/>
      <c r="Z267" s="20"/>
      <c r="AA267" s="20"/>
      <c r="AB267" s="20"/>
      <c r="AC267" s="20"/>
      <c r="AD267" s="20"/>
      <c r="AE267" s="20"/>
      <c r="AF267" s="20"/>
      <c r="AG267" s="20"/>
      <c r="AH267" s="20"/>
      <c r="AI267" s="20"/>
      <c r="AJ267" s="20"/>
      <c r="AK267" s="20"/>
      <c r="AL267" s="20"/>
      <c r="AM267" s="20"/>
    </row>
    <row r="268" spans="3:39" ht="32.25" customHeight="1" x14ac:dyDescent="0.2">
      <c r="C268" s="17"/>
      <c r="D268" s="18"/>
      <c r="E268" s="19"/>
      <c r="F268" s="20"/>
      <c r="G268" s="20"/>
      <c r="H268" s="20"/>
      <c r="I268" s="20"/>
      <c r="J268" s="20"/>
      <c r="K268" s="20"/>
      <c r="L268" s="20"/>
      <c r="M268" s="20"/>
      <c r="N268" s="20"/>
      <c r="O268" s="20"/>
      <c r="P268" s="20"/>
      <c r="Q268" s="20"/>
      <c r="R268" s="20"/>
      <c r="S268" s="20"/>
      <c r="T268" s="20"/>
      <c r="U268" s="20"/>
      <c r="V268" s="20"/>
      <c r="W268" s="20"/>
      <c r="X268" s="20"/>
      <c r="Y268" s="20"/>
      <c r="Z268" s="20"/>
      <c r="AA268" s="20"/>
      <c r="AB268" s="20"/>
      <c r="AC268" s="20"/>
      <c r="AD268" s="20"/>
      <c r="AE268" s="20"/>
      <c r="AF268" s="20"/>
      <c r="AG268" s="20"/>
      <c r="AH268" s="20"/>
      <c r="AI268" s="20"/>
      <c r="AJ268" s="20"/>
      <c r="AK268" s="20"/>
      <c r="AL268" s="20"/>
      <c r="AM268" s="20"/>
    </row>
    <row r="269" spans="3:39" ht="32.25" customHeight="1" x14ac:dyDescent="0.2">
      <c r="C269" s="17"/>
      <c r="D269" s="18"/>
      <c r="E269" s="19"/>
      <c r="F269" s="20"/>
      <c r="G269" s="20"/>
      <c r="H269" s="20"/>
      <c r="I269" s="20"/>
      <c r="J269" s="20"/>
      <c r="K269" s="20"/>
      <c r="L269" s="20"/>
      <c r="M269" s="20"/>
      <c r="N269" s="20"/>
      <c r="O269" s="20"/>
      <c r="P269" s="20"/>
      <c r="Q269" s="20"/>
      <c r="R269" s="20"/>
      <c r="S269" s="20"/>
      <c r="T269" s="20"/>
      <c r="U269" s="20"/>
      <c r="V269" s="20"/>
      <c r="W269" s="20"/>
      <c r="X269" s="20"/>
      <c r="Y269" s="20"/>
      <c r="Z269" s="20"/>
      <c r="AA269" s="20"/>
      <c r="AB269" s="20"/>
      <c r="AC269" s="20"/>
      <c r="AD269" s="20"/>
      <c r="AE269" s="20"/>
      <c r="AF269" s="20"/>
      <c r="AG269" s="20"/>
      <c r="AH269" s="20"/>
      <c r="AI269" s="20"/>
      <c r="AJ269" s="20"/>
      <c r="AK269" s="20"/>
      <c r="AL269" s="20"/>
      <c r="AM269" s="20"/>
    </row>
    <row r="270" spans="3:39" ht="32.25" customHeight="1" x14ac:dyDescent="0.2">
      <c r="C270" s="17"/>
      <c r="D270" s="18"/>
      <c r="E270" s="19"/>
      <c r="F270" s="20"/>
      <c r="G270" s="20"/>
      <c r="H270" s="20"/>
      <c r="I270" s="20"/>
      <c r="J270" s="20"/>
      <c r="K270" s="20"/>
      <c r="L270" s="20"/>
      <c r="M270" s="20"/>
      <c r="N270" s="20"/>
      <c r="O270" s="20"/>
      <c r="P270" s="20"/>
      <c r="Q270" s="20"/>
      <c r="R270" s="20"/>
      <c r="S270" s="20"/>
      <c r="T270" s="20"/>
      <c r="U270" s="20"/>
      <c r="V270" s="20"/>
      <c r="W270" s="20"/>
      <c r="X270" s="20"/>
      <c r="Y270" s="20"/>
      <c r="Z270" s="20"/>
      <c r="AA270" s="20"/>
      <c r="AB270" s="20"/>
      <c r="AC270" s="20"/>
      <c r="AD270" s="20"/>
      <c r="AE270" s="20"/>
      <c r="AF270" s="20"/>
      <c r="AG270" s="20"/>
      <c r="AH270" s="20"/>
      <c r="AI270" s="20"/>
      <c r="AJ270" s="20"/>
      <c r="AK270" s="20"/>
      <c r="AL270" s="20"/>
      <c r="AM270" s="20"/>
    </row>
    <row r="271" spans="3:39" ht="32.25" customHeight="1" x14ac:dyDescent="0.2">
      <c r="C271" s="17"/>
      <c r="D271" s="18"/>
      <c r="E271" s="19"/>
      <c r="F271" s="20"/>
      <c r="G271" s="20"/>
      <c r="H271" s="20"/>
      <c r="I271" s="20"/>
      <c r="J271" s="20"/>
      <c r="K271" s="20"/>
      <c r="L271" s="20"/>
      <c r="M271" s="20"/>
      <c r="N271" s="20"/>
      <c r="O271" s="20"/>
      <c r="P271" s="20"/>
      <c r="Q271" s="20"/>
      <c r="R271" s="20"/>
      <c r="S271" s="20"/>
      <c r="T271" s="20"/>
      <c r="U271" s="20"/>
      <c r="V271" s="20"/>
      <c r="W271" s="20"/>
      <c r="X271" s="20"/>
      <c r="Y271" s="20"/>
      <c r="Z271" s="20"/>
      <c r="AA271" s="20"/>
      <c r="AB271" s="20"/>
      <c r="AC271" s="20"/>
      <c r="AD271" s="20"/>
      <c r="AE271" s="20"/>
      <c r="AF271" s="20"/>
      <c r="AG271" s="20"/>
      <c r="AH271" s="20"/>
      <c r="AI271" s="20"/>
      <c r="AJ271" s="20"/>
      <c r="AK271" s="20"/>
      <c r="AL271" s="20"/>
      <c r="AM271" s="20"/>
    </row>
    <row r="272" spans="3:39" ht="32.25" customHeight="1" x14ac:dyDescent="0.2">
      <c r="C272" s="17"/>
      <c r="D272" s="18"/>
      <c r="E272" s="19"/>
      <c r="F272" s="20"/>
      <c r="G272" s="20"/>
      <c r="H272" s="20"/>
      <c r="I272" s="20"/>
      <c r="J272" s="20"/>
      <c r="K272" s="20"/>
      <c r="L272" s="20"/>
      <c r="M272" s="20"/>
      <c r="N272" s="20"/>
      <c r="O272" s="20"/>
      <c r="P272" s="20"/>
      <c r="Q272" s="20"/>
      <c r="R272" s="20"/>
      <c r="S272" s="20"/>
      <c r="T272" s="20"/>
      <c r="U272" s="20"/>
      <c r="V272" s="20"/>
      <c r="W272" s="20"/>
      <c r="X272" s="20"/>
      <c r="Y272" s="20"/>
      <c r="Z272" s="20"/>
      <c r="AA272" s="20"/>
      <c r="AB272" s="20"/>
      <c r="AC272" s="20"/>
      <c r="AD272" s="20"/>
      <c r="AE272" s="20"/>
      <c r="AF272" s="20"/>
      <c r="AG272" s="20"/>
      <c r="AH272" s="20"/>
      <c r="AI272" s="20"/>
      <c r="AJ272" s="20"/>
      <c r="AK272" s="20"/>
      <c r="AL272" s="20"/>
      <c r="AM272" s="20"/>
    </row>
    <row r="273" spans="3:39" ht="32.25" customHeight="1" x14ac:dyDescent="0.2">
      <c r="C273" s="17"/>
      <c r="D273" s="18"/>
      <c r="E273" s="19"/>
      <c r="F273" s="20"/>
      <c r="G273" s="20"/>
      <c r="H273" s="20"/>
      <c r="I273" s="20"/>
      <c r="J273" s="20"/>
      <c r="K273" s="20"/>
      <c r="L273" s="20"/>
      <c r="M273" s="20"/>
      <c r="N273" s="20"/>
      <c r="O273" s="20"/>
      <c r="P273" s="20"/>
      <c r="Q273" s="20"/>
      <c r="R273" s="20"/>
      <c r="S273" s="20"/>
      <c r="T273" s="20"/>
      <c r="U273" s="20"/>
      <c r="V273" s="20"/>
      <c r="W273" s="20"/>
      <c r="X273" s="20"/>
      <c r="Y273" s="20"/>
      <c r="Z273" s="20"/>
      <c r="AA273" s="20"/>
      <c r="AB273" s="20"/>
      <c r="AC273" s="20"/>
      <c r="AD273" s="20"/>
      <c r="AE273" s="20"/>
      <c r="AF273" s="20"/>
      <c r="AG273" s="20"/>
      <c r="AH273" s="20"/>
      <c r="AI273" s="20"/>
      <c r="AJ273" s="20"/>
      <c r="AK273" s="20"/>
      <c r="AL273" s="20"/>
      <c r="AM273" s="20"/>
    </row>
    <row r="274" spans="3:39" ht="32.25" customHeight="1" x14ac:dyDescent="0.2">
      <c r="C274" s="17"/>
      <c r="D274" s="18"/>
      <c r="E274" s="19"/>
      <c r="F274" s="20"/>
      <c r="G274" s="20"/>
      <c r="H274" s="20"/>
      <c r="I274" s="20"/>
      <c r="J274" s="20"/>
      <c r="K274" s="20"/>
      <c r="L274" s="20"/>
      <c r="M274" s="20"/>
      <c r="N274" s="20"/>
      <c r="O274" s="20"/>
      <c r="P274" s="20"/>
      <c r="Q274" s="20"/>
      <c r="R274" s="20"/>
      <c r="S274" s="20"/>
      <c r="T274" s="20"/>
      <c r="U274" s="20"/>
      <c r="V274" s="20"/>
      <c r="W274" s="20"/>
      <c r="X274" s="20"/>
      <c r="Y274" s="20"/>
      <c r="Z274" s="20"/>
      <c r="AA274" s="20"/>
      <c r="AB274" s="20"/>
      <c r="AC274" s="20"/>
      <c r="AD274" s="20"/>
      <c r="AE274" s="20"/>
      <c r="AF274" s="20"/>
      <c r="AG274" s="20"/>
      <c r="AH274" s="20"/>
      <c r="AI274" s="20"/>
      <c r="AJ274" s="20"/>
      <c r="AK274" s="20"/>
      <c r="AL274" s="20"/>
      <c r="AM274" s="20"/>
    </row>
    <row r="275" spans="3:39" ht="32.25" customHeight="1" x14ac:dyDescent="0.2">
      <c r="C275" s="17"/>
      <c r="D275" s="18"/>
      <c r="E275" s="19"/>
      <c r="F275" s="20"/>
      <c r="G275" s="20"/>
      <c r="H275" s="20"/>
      <c r="I275" s="20"/>
      <c r="J275" s="20"/>
      <c r="K275" s="20"/>
      <c r="L275" s="20"/>
      <c r="M275" s="20"/>
      <c r="N275" s="20"/>
      <c r="O275" s="20"/>
      <c r="P275" s="20"/>
      <c r="Q275" s="20"/>
      <c r="R275" s="20"/>
      <c r="S275" s="20"/>
      <c r="T275" s="20"/>
      <c r="U275" s="20"/>
      <c r="V275" s="20"/>
      <c r="W275" s="20"/>
      <c r="X275" s="20"/>
      <c r="Y275" s="20"/>
      <c r="Z275" s="20"/>
      <c r="AA275" s="20"/>
      <c r="AB275" s="20"/>
      <c r="AC275" s="20"/>
      <c r="AD275" s="20"/>
      <c r="AE275" s="20"/>
      <c r="AF275" s="20"/>
      <c r="AG275" s="20"/>
      <c r="AH275" s="20"/>
      <c r="AI275" s="20"/>
      <c r="AJ275" s="20"/>
      <c r="AK275" s="20"/>
      <c r="AL275" s="20"/>
      <c r="AM275" s="20"/>
    </row>
    <row r="276" spans="3:39" ht="32.25" customHeight="1" x14ac:dyDescent="0.2">
      <c r="C276" s="17"/>
      <c r="D276" s="18"/>
      <c r="E276" s="19"/>
      <c r="F276" s="20"/>
      <c r="G276" s="20"/>
      <c r="H276" s="20"/>
      <c r="I276" s="20"/>
      <c r="J276" s="20"/>
      <c r="K276" s="20"/>
      <c r="L276" s="20"/>
      <c r="M276" s="20"/>
      <c r="N276" s="20"/>
      <c r="O276" s="20"/>
      <c r="P276" s="20"/>
      <c r="Q276" s="20"/>
      <c r="R276" s="20"/>
      <c r="S276" s="20"/>
      <c r="T276" s="20"/>
      <c r="U276" s="20"/>
      <c r="V276" s="20"/>
      <c r="W276" s="20"/>
      <c r="X276" s="20"/>
      <c r="Y276" s="20"/>
      <c r="Z276" s="20"/>
      <c r="AA276" s="20"/>
      <c r="AB276" s="20"/>
      <c r="AC276" s="20"/>
      <c r="AD276" s="20"/>
      <c r="AE276" s="20"/>
      <c r="AF276" s="20"/>
      <c r="AG276" s="20"/>
      <c r="AH276" s="20"/>
      <c r="AI276" s="20"/>
      <c r="AJ276" s="20"/>
      <c r="AK276" s="20"/>
      <c r="AL276" s="20"/>
      <c r="AM276" s="20"/>
    </row>
    <row r="277" spans="3:39" ht="32.25" customHeight="1" x14ac:dyDescent="0.2">
      <c r="C277" s="17"/>
      <c r="D277" s="18"/>
      <c r="E277" s="19"/>
      <c r="F277" s="20"/>
      <c r="G277" s="20"/>
      <c r="H277" s="20"/>
      <c r="I277" s="20"/>
      <c r="J277" s="20"/>
      <c r="K277" s="20"/>
      <c r="L277" s="20"/>
      <c r="M277" s="20"/>
      <c r="N277" s="20"/>
      <c r="O277" s="20"/>
      <c r="P277" s="20"/>
      <c r="Q277" s="20"/>
      <c r="R277" s="20"/>
      <c r="S277" s="20"/>
      <c r="T277" s="20"/>
      <c r="U277" s="20"/>
      <c r="V277" s="20"/>
      <c r="W277" s="20"/>
      <c r="X277" s="20"/>
      <c r="Y277" s="20"/>
      <c r="Z277" s="20"/>
      <c r="AA277" s="20"/>
      <c r="AB277" s="20"/>
      <c r="AC277" s="20"/>
      <c r="AD277" s="20"/>
      <c r="AE277" s="20"/>
      <c r="AF277" s="20"/>
      <c r="AG277" s="20"/>
      <c r="AH277" s="20"/>
      <c r="AI277" s="20"/>
      <c r="AJ277" s="20"/>
      <c r="AK277" s="20"/>
      <c r="AL277" s="20"/>
      <c r="AM277" s="20"/>
    </row>
    <row r="278" spans="3:39" ht="32.25" customHeight="1" x14ac:dyDescent="0.2">
      <c r="C278" s="17"/>
      <c r="D278" s="18"/>
      <c r="E278" s="19"/>
      <c r="F278" s="20"/>
      <c r="G278" s="20"/>
      <c r="H278" s="20"/>
      <c r="I278" s="20"/>
      <c r="J278" s="20"/>
      <c r="K278" s="20"/>
      <c r="L278" s="20"/>
      <c r="M278" s="20"/>
      <c r="N278" s="20"/>
      <c r="O278" s="20"/>
      <c r="P278" s="20"/>
      <c r="Q278" s="20"/>
      <c r="R278" s="20"/>
      <c r="S278" s="20"/>
      <c r="T278" s="20"/>
      <c r="U278" s="20"/>
      <c r="V278" s="20"/>
      <c r="W278" s="20"/>
      <c r="X278" s="20"/>
      <c r="Y278" s="20"/>
      <c r="Z278" s="20"/>
      <c r="AA278" s="20"/>
      <c r="AB278" s="20"/>
      <c r="AC278" s="20"/>
      <c r="AD278" s="20"/>
      <c r="AE278" s="20"/>
      <c r="AF278" s="20"/>
      <c r="AG278" s="20"/>
      <c r="AH278" s="20"/>
      <c r="AI278" s="20"/>
      <c r="AJ278" s="20"/>
      <c r="AK278" s="20"/>
      <c r="AL278" s="20"/>
      <c r="AM278" s="20"/>
    </row>
    <row r="279" spans="3:39" ht="32.25" customHeight="1" x14ac:dyDescent="0.2">
      <c r="C279" s="17"/>
      <c r="D279" s="18"/>
      <c r="E279" s="19"/>
      <c r="F279" s="20"/>
      <c r="G279" s="20"/>
      <c r="H279" s="20"/>
      <c r="I279" s="20"/>
      <c r="J279" s="20"/>
      <c r="K279" s="20"/>
      <c r="L279" s="20"/>
      <c r="M279" s="20"/>
      <c r="N279" s="20"/>
      <c r="O279" s="20"/>
      <c r="P279" s="20"/>
      <c r="Q279" s="20"/>
      <c r="R279" s="20"/>
      <c r="S279" s="20"/>
      <c r="T279" s="20"/>
      <c r="U279" s="20"/>
      <c r="V279" s="20"/>
      <c r="W279" s="20"/>
      <c r="X279" s="20"/>
      <c r="Y279" s="20"/>
      <c r="Z279" s="20"/>
      <c r="AA279" s="20"/>
      <c r="AB279" s="20"/>
      <c r="AC279" s="20"/>
      <c r="AD279" s="20"/>
      <c r="AE279" s="20"/>
      <c r="AF279" s="20"/>
      <c r="AG279" s="20"/>
      <c r="AH279" s="20"/>
      <c r="AI279" s="20"/>
      <c r="AJ279" s="20"/>
      <c r="AK279" s="20"/>
      <c r="AL279" s="20"/>
      <c r="AM279" s="20"/>
    </row>
    <row r="280" spans="3:39" ht="32.25" customHeight="1" x14ac:dyDescent="0.2">
      <c r="C280" s="17"/>
      <c r="D280" s="18"/>
      <c r="E280" s="19"/>
      <c r="F280" s="20"/>
      <c r="G280" s="20"/>
      <c r="H280" s="20"/>
      <c r="I280" s="20"/>
      <c r="J280" s="20"/>
      <c r="K280" s="20"/>
      <c r="L280" s="20"/>
      <c r="M280" s="20"/>
      <c r="N280" s="20"/>
      <c r="O280" s="20"/>
      <c r="P280" s="20"/>
      <c r="Q280" s="20"/>
      <c r="R280" s="20"/>
      <c r="S280" s="20"/>
      <c r="T280" s="20"/>
      <c r="U280" s="20"/>
      <c r="V280" s="20"/>
      <c r="W280" s="20"/>
      <c r="X280" s="20"/>
      <c r="Y280" s="20"/>
      <c r="Z280" s="20"/>
      <c r="AA280" s="20"/>
      <c r="AB280" s="20"/>
      <c r="AC280" s="20"/>
      <c r="AD280" s="20"/>
      <c r="AE280" s="20"/>
      <c r="AF280" s="20"/>
      <c r="AG280" s="20"/>
      <c r="AH280" s="20"/>
      <c r="AI280" s="20"/>
      <c r="AJ280" s="20"/>
      <c r="AK280" s="20"/>
      <c r="AL280" s="20"/>
      <c r="AM280" s="20"/>
    </row>
    <row r="281" spans="3:39" ht="32.25" customHeight="1" x14ac:dyDescent="0.2">
      <c r="C281" s="17"/>
      <c r="D281" s="18"/>
      <c r="E281" s="19"/>
      <c r="F281" s="20"/>
      <c r="G281" s="20"/>
      <c r="H281" s="20"/>
      <c r="I281" s="20"/>
      <c r="J281" s="20"/>
      <c r="K281" s="20"/>
      <c r="L281" s="20"/>
      <c r="M281" s="20"/>
      <c r="N281" s="20"/>
      <c r="O281" s="20"/>
      <c r="P281" s="20"/>
      <c r="Q281" s="20"/>
      <c r="R281" s="20"/>
      <c r="S281" s="20"/>
      <c r="T281" s="20"/>
      <c r="U281" s="20"/>
      <c r="V281" s="20"/>
      <c r="W281" s="20"/>
      <c r="X281" s="20"/>
      <c r="Y281" s="20"/>
      <c r="Z281" s="20"/>
      <c r="AA281" s="20"/>
      <c r="AB281" s="20"/>
      <c r="AC281" s="20"/>
      <c r="AD281" s="20"/>
      <c r="AE281" s="20"/>
      <c r="AF281" s="20"/>
      <c r="AG281" s="20"/>
      <c r="AH281" s="20"/>
      <c r="AI281" s="20"/>
      <c r="AJ281" s="20"/>
      <c r="AK281" s="20"/>
      <c r="AL281" s="20"/>
      <c r="AM281" s="20"/>
    </row>
    <row r="282" spans="3:39" ht="32.25" customHeight="1" x14ac:dyDescent="0.2">
      <c r="C282" s="17"/>
      <c r="D282" s="18"/>
      <c r="E282" s="19"/>
      <c r="F282" s="20"/>
      <c r="G282" s="20"/>
      <c r="H282" s="20"/>
      <c r="I282" s="20"/>
      <c r="J282" s="20"/>
      <c r="K282" s="20"/>
      <c r="L282" s="20"/>
      <c r="M282" s="20"/>
      <c r="N282" s="20"/>
      <c r="O282" s="20"/>
      <c r="P282" s="20"/>
      <c r="Q282" s="20"/>
      <c r="R282" s="20"/>
      <c r="S282" s="20"/>
      <c r="T282" s="20"/>
      <c r="U282" s="20"/>
      <c r="V282" s="20"/>
      <c r="W282" s="20"/>
      <c r="X282" s="20"/>
      <c r="Y282" s="20"/>
      <c r="Z282" s="20"/>
      <c r="AA282" s="20"/>
      <c r="AB282" s="20"/>
      <c r="AC282" s="20"/>
      <c r="AD282" s="20"/>
      <c r="AE282" s="20"/>
      <c r="AF282" s="20"/>
      <c r="AG282" s="20"/>
      <c r="AH282" s="20"/>
      <c r="AI282" s="20"/>
      <c r="AJ282" s="20"/>
      <c r="AK282" s="20"/>
      <c r="AL282" s="20"/>
      <c r="AM282" s="20"/>
    </row>
    <row r="283" spans="3:39" ht="32.25" customHeight="1" x14ac:dyDescent="0.2">
      <c r="C283" s="17"/>
      <c r="D283" s="18"/>
      <c r="E283" s="19"/>
      <c r="F283" s="20"/>
      <c r="G283" s="20"/>
      <c r="H283" s="20"/>
      <c r="I283" s="20"/>
      <c r="J283" s="20"/>
      <c r="K283" s="20"/>
      <c r="L283" s="20"/>
      <c r="M283" s="20"/>
      <c r="N283" s="20"/>
      <c r="O283" s="20"/>
      <c r="P283" s="20"/>
      <c r="Q283" s="20"/>
      <c r="R283" s="20"/>
      <c r="S283" s="20"/>
      <c r="T283" s="20"/>
      <c r="U283" s="20"/>
      <c r="V283" s="20"/>
      <c r="W283" s="20"/>
      <c r="X283" s="20"/>
      <c r="Y283" s="20"/>
      <c r="Z283" s="20"/>
      <c r="AA283" s="20"/>
      <c r="AB283" s="20"/>
      <c r="AC283" s="20"/>
      <c r="AD283" s="20"/>
      <c r="AE283" s="20"/>
      <c r="AF283" s="20"/>
      <c r="AG283" s="20"/>
      <c r="AH283" s="20"/>
      <c r="AI283" s="20"/>
      <c r="AJ283" s="20"/>
      <c r="AK283" s="20"/>
      <c r="AL283" s="20"/>
      <c r="AM283" s="20"/>
    </row>
    <row r="284" spans="3:39" ht="32.25" customHeight="1" x14ac:dyDescent="0.2">
      <c r="C284" s="17"/>
      <c r="D284" s="18"/>
      <c r="E284" s="19"/>
      <c r="F284" s="20"/>
      <c r="G284" s="20"/>
      <c r="H284" s="20"/>
      <c r="I284" s="20"/>
      <c r="J284" s="20"/>
      <c r="K284" s="20"/>
      <c r="L284" s="20"/>
      <c r="M284" s="20"/>
      <c r="N284" s="20"/>
      <c r="O284" s="20"/>
      <c r="P284" s="20"/>
      <c r="Q284" s="20"/>
      <c r="R284" s="20"/>
      <c r="S284" s="20"/>
      <c r="T284" s="20"/>
      <c r="U284" s="20"/>
      <c r="V284" s="20"/>
      <c r="W284" s="20"/>
      <c r="X284" s="20"/>
      <c r="Y284" s="20"/>
      <c r="Z284" s="20"/>
      <c r="AA284" s="20"/>
      <c r="AB284" s="20"/>
      <c r="AC284" s="20"/>
      <c r="AD284" s="20"/>
      <c r="AE284" s="20"/>
      <c r="AF284" s="20"/>
      <c r="AG284" s="20"/>
      <c r="AH284" s="20"/>
      <c r="AI284" s="20"/>
      <c r="AJ284" s="20"/>
      <c r="AK284" s="20"/>
      <c r="AL284" s="20"/>
      <c r="AM284" s="20"/>
    </row>
    <row r="285" spans="3:39" ht="32.25" customHeight="1" x14ac:dyDescent="0.2">
      <c r="C285" s="17"/>
      <c r="D285" s="18"/>
      <c r="E285" s="19"/>
      <c r="F285" s="20"/>
      <c r="G285" s="20"/>
      <c r="H285" s="20"/>
      <c r="I285" s="20"/>
      <c r="J285" s="20"/>
      <c r="K285" s="20"/>
      <c r="L285" s="20"/>
      <c r="M285" s="20"/>
      <c r="N285" s="20"/>
      <c r="O285" s="20"/>
      <c r="P285" s="20"/>
      <c r="Q285" s="20"/>
      <c r="R285" s="20"/>
      <c r="S285" s="20"/>
      <c r="T285" s="20"/>
      <c r="U285" s="20"/>
      <c r="V285" s="20"/>
      <c r="W285" s="20"/>
      <c r="X285" s="20"/>
      <c r="Y285" s="20"/>
      <c r="Z285" s="20"/>
      <c r="AA285" s="20"/>
      <c r="AB285" s="20"/>
      <c r="AC285" s="20"/>
      <c r="AD285" s="20"/>
      <c r="AE285" s="20"/>
      <c r="AF285" s="20"/>
      <c r="AG285" s="20"/>
      <c r="AH285" s="20"/>
      <c r="AI285" s="20"/>
      <c r="AJ285" s="20"/>
      <c r="AK285" s="20"/>
      <c r="AL285" s="20"/>
      <c r="AM285" s="20"/>
    </row>
    <row r="286" spans="3:39" ht="32.25" customHeight="1" x14ac:dyDescent="0.2">
      <c r="C286" s="17"/>
      <c r="D286" s="18"/>
      <c r="E286" s="19"/>
      <c r="F286" s="20"/>
      <c r="G286" s="20"/>
      <c r="H286" s="20"/>
      <c r="I286" s="20"/>
      <c r="J286" s="20"/>
      <c r="K286" s="20"/>
      <c r="L286" s="20"/>
      <c r="M286" s="20"/>
      <c r="N286" s="20"/>
      <c r="O286" s="20"/>
      <c r="P286" s="20"/>
      <c r="Q286" s="20"/>
      <c r="R286" s="20"/>
      <c r="S286" s="20"/>
      <c r="T286" s="20"/>
      <c r="U286" s="20"/>
      <c r="V286" s="20"/>
      <c r="W286" s="20"/>
      <c r="X286" s="20"/>
      <c r="Y286" s="20"/>
      <c r="Z286" s="20"/>
      <c r="AA286" s="20"/>
      <c r="AB286" s="20"/>
      <c r="AC286" s="20"/>
      <c r="AD286" s="20"/>
      <c r="AE286" s="20"/>
      <c r="AF286" s="20"/>
      <c r="AG286" s="20"/>
      <c r="AH286" s="20"/>
      <c r="AI286" s="20"/>
      <c r="AJ286" s="20"/>
      <c r="AK286" s="20"/>
      <c r="AL286" s="20"/>
      <c r="AM286" s="20"/>
    </row>
    <row r="287" spans="3:39" ht="32.25" customHeight="1" x14ac:dyDescent="0.2">
      <c r="C287" s="17"/>
      <c r="D287" s="18"/>
      <c r="E287" s="19"/>
      <c r="F287" s="20"/>
      <c r="G287" s="20"/>
      <c r="H287" s="20"/>
      <c r="I287" s="20"/>
      <c r="J287" s="20"/>
      <c r="K287" s="20"/>
      <c r="L287" s="20"/>
      <c r="M287" s="20"/>
      <c r="N287" s="20"/>
      <c r="O287" s="20"/>
      <c r="P287" s="20"/>
      <c r="Q287" s="20"/>
      <c r="R287" s="20"/>
      <c r="S287" s="20"/>
      <c r="T287" s="20"/>
      <c r="U287" s="20"/>
      <c r="V287" s="20"/>
      <c r="W287" s="20"/>
      <c r="X287" s="20"/>
      <c r="Y287" s="20"/>
      <c r="Z287" s="20"/>
      <c r="AA287" s="20"/>
      <c r="AB287" s="20"/>
      <c r="AC287" s="20"/>
      <c r="AD287" s="20"/>
      <c r="AE287" s="20"/>
      <c r="AF287" s="20"/>
      <c r="AG287" s="20"/>
      <c r="AH287" s="20"/>
      <c r="AI287" s="20"/>
      <c r="AJ287" s="20"/>
      <c r="AK287" s="20"/>
      <c r="AL287" s="20"/>
      <c r="AM287" s="20"/>
    </row>
    <row r="288" spans="3:39" ht="32.25" customHeight="1" x14ac:dyDescent="0.2">
      <c r="C288" s="17"/>
      <c r="D288" s="18"/>
      <c r="E288" s="19"/>
      <c r="F288" s="20"/>
      <c r="G288" s="20"/>
      <c r="H288" s="20"/>
      <c r="I288" s="20"/>
      <c r="J288" s="20"/>
      <c r="K288" s="20"/>
      <c r="L288" s="20"/>
      <c r="M288" s="20"/>
      <c r="N288" s="20"/>
      <c r="O288" s="20"/>
      <c r="P288" s="20"/>
      <c r="Q288" s="20"/>
      <c r="R288" s="20"/>
      <c r="S288" s="20"/>
      <c r="T288" s="20"/>
      <c r="U288" s="20"/>
      <c r="V288" s="20"/>
      <c r="W288" s="20"/>
      <c r="X288" s="20"/>
      <c r="Y288" s="20"/>
      <c r="Z288" s="20"/>
      <c r="AA288" s="20"/>
      <c r="AB288" s="20"/>
      <c r="AC288" s="20"/>
      <c r="AD288" s="20"/>
      <c r="AE288" s="20"/>
      <c r="AF288" s="20"/>
      <c r="AG288" s="20"/>
      <c r="AH288" s="20"/>
      <c r="AI288" s="20"/>
      <c r="AJ288" s="20"/>
      <c r="AK288" s="20"/>
      <c r="AL288" s="20"/>
      <c r="AM288" s="20"/>
    </row>
    <row r="289" spans="3:39" ht="32.25" customHeight="1" x14ac:dyDescent="0.2">
      <c r="C289" s="17"/>
      <c r="D289" s="18"/>
      <c r="E289" s="19"/>
      <c r="F289" s="20"/>
      <c r="G289" s="20"/>
      <c r="H289" s="20"/>
      <c r="I289" s="20"/>
      <c r="J289" s="20"/>
      <c r="K289" s="20"/>
      <c r="L289" s="20"/>
      <c r="M289" s="20"/>
      <c r="N289" s="20"/>
      <c r="O289" s="20"/>
      <c r="P289" s="20"/>
      <c r="Q289" s="20"/>
      <c r="R289" s="20"/>
      <c r="S289" s="20"/>
      <c r="T289" s="20"/>
      <c r="U289" s="20"/>
      <c r="V289" s="20"/>
      <c r="W289" s="20"/>
      <c r="X289" s="20"/>
      <c r="Y289" s="20"/>
      <c r="Z289" s="20"/>
      <c r="AA289" s="20"/>
      <c r="AB289" s="20"/>
      <c r="AC289" s="20"/>
      <c r="AD289" s="20"/>
      <c r="AE289" s="20"/>
      <c r="AF289" s="20"/>
      <c r="AG289" s="20"/>
      <c r="AH289" s="20"/>
      <c r="AI289" s="20"/>
      <c r="AJ289" s="20"/>
      <c r="AK289" s="20"/>
      <c r="AL289" s="20"/>
      <c r="AM289" s="20"/>
    </row>
    <row r="290" spans="3:39" ht="32.25" customHeight="1" x14ac:dyDescent="0.2">
      <c r="C290" s="17"/>
      <c r="D290" s="18"/>
      <c r="E290" s="19"/>
      <c r="F290" s="20"/>
      <c r="G290" s="20"/>
      <c r="H290" s="20"/>
      <c r="I290" s="20"/>
      <c r="J290" s="20"/>
      <c r="K290" s="20"/>
      <c r="L290" s="20"/>
      <c r="M290" s="20"/>
      <c r="N290" s="20"/>
      <c r="O290" s="20"/>
      <c r="P290" s="20"/>
      <c r="Q290" s="20"/>
      <c r="R290" s="20"/>
      <c r="S290" s="20"/>
      <c r="T290" s="20"/>
      <c r="U290" s="20"/>
      <c r="V290" s="20"/>
      <c r="W290" s="20"/>
      <c r="X290" s="20"/>
      <c r="Y290" s="20"/>
      <c r="Z290" s="20"/>
      <c r="AA290" s="20"/>
      <c r="AB290" s="20"/>
      <c r="AC290" s="20"/>
      <c r="AD290" s="20"/>
      <c r="AE290" s="20"/>
      <c r="AF290" s="20"/>
      <c r="AG290" s="20"/>
      <c r="AH290" s="20"/>
      <c r="AI290" s="20"/>
      <c r="AJ290" s="20"/>
      <c r="AK290" s="20"/>
      <c r="AL290" s="20"/>
      <c r="AM290" s="20"/>
    </row>
    <row r="291" spans="3:39" ht="32.25" customHeight="1" x14ac:dyDescent="0.2">
      <c r="C291" s="17"/>
      <c r="D291" s="18"/>
      <c r="E291" s="19"/>
      <c r="F291" s="20"/>
      <c r="G291" s="20"/>
      <c r="H291" s="20"/>
      <c r="I291" s="20"/>
      <c r="J291" s="20"/>
      <c r="K291" s="20"/>
      <c r="L291" s="20"/>
      <c r="M291" s="20"/>
      <c r="N291" s="20"/>
      <c r="O291" s="20"/>
      <c r="P291" s="20"/>
      <c r="Q291" s="20"/>
      <c r="R291" s="20"/>
      <c r="S291" s="20"/>
      <c r="T291" s="20"/>
      <c r="U291" s="20"/>
      <c r="V291" s="20"/>
      <c r="W291" s="20"/>
      <c r="X291" s="20"/>
      <c r="Y291" s="20"/>
      <c r="Z291" s="20"/>
      <c r="AA291" s="20"/>
      <c r="AB291" s="20"/>
      <c r="AC291" s="20"/>
      <c r="AD291" s="20"/>
      <c r="AE291" s="20"/>
      <c r="AF291" s="20"/>
      <c r="AG291" s="20"/>
      <c r="AH291" s="20"/>
      <c r="AI291" s="20"/>
      <c r="AJ291" s="20"/>
      <c r="AK291" s="20"/>
      <c r="AL291" s="20"/>
      <c r="AM291" s="20"/>
    </row>
    <row r="292" spans="3:39" ht="32.25" customHeight="1" x14ac:dyDescent="0.2">
      <c r="C292" s="17"/>
      <c r="D292" s="18"/>
      <c r="E292" s="19"/>
      <c r="F292" s="20"/>
      <c r="G292" s="20"/>
      <c r="H292" s="20"/>
      <c r="I292" s="20"/>
      <c r="J292" s="20"/>
      <c r="K292" s="20"/>
      <c r="L292" s="20"/>
      <c r="M292" s="20"/>
      <c r="N292" s="20"/>
      <c r="O292" s="20"/>
      <c r="P292" s="20"/>
      <c r="Q292" s="20"/>
      <c r="R292" s="20"/>
      <c r="S292" s="20"/>
      <c r="T292" s="20"/>
      <c r="U292" s="20"/>
      <c r="V292" s="20"/>
      <c r="W292" s="20"/>
      <c r="X292" s="20"/>
      <c r="Y292" s="20"/>
      <c r="Z292" s="20"/>
      <c r="AA292" s="20"/>
      <c r="AB292" s="20"/>
      <c r="AC292" s="20"/>
      <c r="AD292" s="20"/>
      <c r="AE292" s="20"/>
      <c r="AF292" s="20"/>
      <c r="AG292" s="20"/>
      <c r="AH292" s="20"/>
      <c r="AI292" s="20"/>
      <c r="AJ292" s="20"/>
      <c r="AK292" s="20"/>
      <c r="AL292" s="20"/>
      <c r="AM292" s="20"/>
    </row>
    <row r="293" spans="3:39" ht="32.25" customHeight="1" x14ac:dyDescent="0.2">
      <c r="C293" s="17"/>
      <c r="D293" s="18"/>
      <c r="E293" s="19"/>
      <c r="F293" s="20"/>
      <c r="G293" s="20"/>
      <c r="H293" s="20"/>
      <c r="I293" s="20"/>
      <c r="J293" s="20"/>
      <c r="K293" s="20"/>
      <c r="L293" s="20"/>
      <c r="M293" s="20"/>
      <c r="N293" s="20"/>
      <c r="O293" s="20"/>
      <c r="P293" s="20"/>
      <c r="Q293" s="20"/>
      <c r="R293" s="20"/>
      <c r="S293" s="20"/>
      <c r="T293" s="20"/>
      <c r="U293" s="20"/>
      <c r="V293" s="20"/>
      <c r="W293" s="20"/>
      <c r="X293" s="20"/>
      <c r="Y293" s="20"/>
      <c r="Z293" s="20"/>
      <c r="AA293" s="20"/>
      <c r="AB293" s="20"/>
      <c r="AC293" s="20"/>
      <c r="AD293" s="20"/>
      <c r="AE293" s="20"/>
      <c r="AF293" s="20"/>
      <c r="AG293" s="20"/>
      <c r="AH293" s="20"/>
      <c r="AI293" s="20"/>
      <c r="AJ293" s="20"/>
      <c r="AK293" s="20"/>
      <c r="AL293" s="20"/>
      <c r="AM293" s="20"/>
    </row>
    <row r="294" spans="3:39" ht="32.25" customHeight="1" x14ac:dyDescent="0.2">
      <c r="C294" s="17"/>
      <c r="D294" s="18"/>
      <c r="E294" s="19"/>
      <c r="F294" s="20"/>
      <c r="G294" s="20"/>
      <c r="H294" s="20"/>
      <c r="I294" s="20"/>
      <c r="J294" s="20"/>
      <c r="K294" s="20"/>
      <c r="L294" s="20"/>
      <c r="M294" s="20"/>
      <c r="N294" s="20"/>
      <c r="O294" s="20"/>
      <c r="P294" s="20"/>
      <c r="Q294" s="20"/>
      <c r="R294" s="20"/>
      <c r="S294" s="20"/>
      <c r="T294" s="20"/>
      <c r="U294" s="20"/>
      <c r="V294" s="20"/>
      <c r="W294" s="20"/>
      <c r="X294" s="20"/>
      <c r="Y294" s="20"/>
      <c r="Z294" s="20"/>
      <c r="AA294" s="20"/>
      <c r="AB294" s="20"/>
      <c r="AC294" s="20"/>
      <c r="AD294" s="20"/>
      <c r="AE294" s="20"/>
      <c r="AF294" s="20"/>
      <c r="AG294" s="20"/>
      <c r="AH294" s="20"/>
      <c r="AI294" s="20"/>
      <c r="AJ294" s="20"/>
      <c r="AK294" s="20"/>
      <c r="AL294" s="20"/>
      <c r="AM294" s="20"/>
    </row>
    <row r="295" spans="3:39" ht="32.25" customHeight="1" x14ac:dyDescent="0.2">
      <c r="C295" s="17"/>
      <c r="D295" s="18"/>
      <c r="E295" s="19"/>
      <c r="F295" s="20"/>
      <c r="G295" s="20"/>
      <c r="H295" s="20"/>
      <c r="I295" s="20"/>
      <c r="J295" s="20"/>
      <c r="K295" s="20"/>
      <c r="L295" s="20"/>
      <c r="M295" s="20"/>
      <c r="N295" s="20"/>
      <c r="O295" s="20"/>
      <c r="P295" s="20"/>
      <c r="Q295" s="20"/>
      <c r="R295" s="20"/>
      <c r="S295" s="20"/>
      <c r="T295" s="20"/>
      <c r="U295" s="20"/>
      <c r="V295" s="20"/>
      <c r="W295" s="20"/>
      <c r="X295" s="20"/>
      <c r="Y295" s="20"/>
      <c r="Z295" s="20"/>
      <c r="AA295" s="20"/>
      <c r="AB295" s="20"/>
      <c r="AC295" s="20"/>
      <c r="AD295" s="20"/>
      <c r="AE295" s="20"/>
      <c r="AF295" s="20"/>
      <c r="AG295" s="20"/>
      <c r="AH295" s="20"/>
      <c r="AI295" s="20"/>
      <c r="AJ295" s="20"/>
      <c r="AK295" s="20"/>
      <c r="AL295" s="20"/>
      <c r="AM295" s="20"/>
    </row>
    <row r="296" spans="3:39" ht="32.25" customHeight="1" x14ac:dyDescent="0.2">
      <c r="C296" s="17"/>
      <c r="D296" s="18"/>
      <c r="E296" s="19"/>
      <c r="F296" s="20"/>
      <c r="G296" s="20"/>
      <c r="H296" s="20"/>
      <c r="I296" s="20"/>
      <c r="J296" s="20"/>
      <c r="K296" s="20"/>
      <c r="L296" s="20"/>
      <c r="M296" s="20"/>
      <c r="N296" s="20"/>
      <c r="O296" s="20"/>
      <c r="P296" s="20"/>
      <c r="Q296" s="20"/>
      <c r="R296" s="20"/>
      <c r="S296" s="20"/>
      <c r="T296" s="20"/>
      <c r="U296" s="20"/>
      <c r="V296" s="20"/>
      <c r="W296" s="20"/>
      <c r="X296" s="20"/>
      <c r="Y296" s="20"/>
      <c r="Z296" s="20"/>
      <c r="AA296" s="20"/>
      <c r="AB296" s="20"/>
      <c r="AC296" s="20"/>
      <c r="AD296" s="20"/>
      <c r="AE296" s="20"/>
      <c r="AF296" s="20"/>
      <c r="AG296" s="20"/>
      <c r="AH296" s="20"/>
      <c r="AI296" s="20"/>
      <c r="AJ296" s="20"/>
      <c r="AK296" s="20"/>
      <c r="AL296" s="20"/>
      <c r="AM296" s="20"/>
    </row>
    <row r="297" spans="3:39" ht="32.25" customHeight="1" x14ac:dyDescent="0.2">
      <c r="C297" s="17"/>
      <c r="D297" s="18"/>
      <c r="E297" s="19"/>
      <c r="F297" s="20"/>
      <c r="G297" s="20"/>
      <c r="H297" s="20"/>
      <c r="I297" s="20"/>
      <c r="J297" s="20"/>
      <c r="K297" s="20"/>
      <c r="L297" s="20"/>
      <c r="M297" s="20"/>
      <c r="N297" s="20"/>
      <c r="O297" s="20"/>
      <c r="P297" s="20"/>
      <c r="Q297" s="20"/>
      <c r="R297" s="20"/>
      <c r="S297" s="20"/>
      <c r="T297" s="20"/>
      <c r="U297" s="20"/>
      <c r="V297" s="20"/>
      <c r="W297" s="20"/>
      <c r="X297" s="20"/>
      <c r="Y297" s="20"/>
      <c r="Z297" s="20"/>
      <c r="AA297" s="20"/>
      <c r="AB297" s="20"/>
      <c r="AC297" s="20"/>
      <c r="AD297" s="20"/>
      <c r="AE297" s="20"/>
      <c r="AF297" s="20"/>
      <c r="AG297" s="20"/>
      <c r="AH297" s="20"/>
      <c r="AI297" s="20"/>
      <c r="AJ297" s="20"/>
      <c r="AK297" s="20"/>
      <c r="AL297" s="20"/>
      <c r="AM297" s="20"/>
    </row>
    <row r="298" spans="3:39" ht="32.25" customHeight="1" x14ac:dyDescent="0.2">
      <c r="C298" s="17"/>
      <c r="D298" s="18"/>
      <c r="E298" s="19"/>
      <c r="F298" s="20"/>
      <c r="G298" s="20"/>
      <c r="H298" s="20"/>
      <c r="I298" s="20"/>
      <c r="J298" s="20"/>
      <c r="K298" s="20"/>
      <c r="L298" s="20"/>
      <c r="M298" s="20"/>
      <c r="N298" s="20"/>
      <c r="O298" s="20"/>
      <c r="P298" s="20"/>
      <c r="Q298" s="20"/>
      <c r="R298" s="20"/>
      <c r="S298" s="20"/>
      <c r="T298" s="20"/>
      <c r="U298" s="20"/>
      <c r="V298" s="20"/>
      <c r="W298" s="20"/>
      <c r="X298" s="20"/>
      <c r="Y298" s="20"/>
      <c r="Z298" s="20"/>
      <c r="AA298" s="20"/>
      <c r="AB298" s="20"/>
      <c r="AC298" s="20"/>
      <c r="AD298" s="20"/>
      <c r="AE298" s="20"/>
      <c r="AF298" s="20"/>
      <c r="AG298" s="20"/>
      <c r="AH298" s="20"/>
      <c r="AI298" s="20"/>
      <c r="AJ298" s="20"/>
      <c r="AK298" s="20"/>
      <c r="AL298" s="20"/>
      <c r="AM298" s="20"/>
    </row>
    <row r="299" spans="3:39" ht="32.25" customHeight="1" x14ac:dyDescent="0.2">
      <c r="C299" s="17"/>
      <c r="D299" s="18"/>
      <c r="E299" s="19"/>
      <c r="F299" s="20"/>
      <c r="G299" s="20"/>
      <c r="H299" s="20"/>
      <c r="I299" s="20"/>
      <c r="J299" s="20"/>
      <c r="K299" s="20"/>
      <c r="L299" s="20"/>
      <c r="M299" s="20"/>
      <c r="N299" s="20"/>
      <c r="O299" s="20"/>
      <c r="P299" s="20"/>
      <c r="Q299" s="20"/>
      <c r="R299" s="20"/>
      <c r="S299" s="20"/>
      <c r="T299" s="20"/>
      <c r="U299" s="20"/>
      <c r="V299" s="20"/>
      <c r="W299" s="20"/>
      <c r="X299" s="20"/>
      <c r="Y299" s="20"/>
      <c r="Z299" s="20"/>
      <c r="AA299" s="20"/>
      <c r="AB299" s="20"/>
      <c r="AC299" s="20"/>
      <c r="AD299" s="20"/>
      <c r="AE299" s="20"/>
      <c r="AF299" s="20"/>
      <c r="AG299" s="20"/>
      <c r="AH299" s="20"/>
      <c r="AI299" s="20"/>
      <c r="AJ299" s="20"/>
      <c r="AK299" s="20"/>
      <c r="AL299" s="20"/>
      <c r="AM299" s="20"/>
    </row>
    <row r="300" spans="3:39" ht="32.25" customHeight="1" x14ac:dyDescent="0.2">
      <c r="C300" s="17"/>
      <c r="D300" s="18"/>
      <c r="E300" s="19"/>
      <c r="F300" s="20"/>
      <c r="G300" s="20"/>
      <c r="H300" s="20"/>
      <c r="I300" s="20"/>
      <c r="J300" s="20"/>
      <c r="K300" s="20"/>
      <c r="L300" s="20"/>
      <c r="M300" s="20"/>
      <c r="N300" s="20"/>
      <c r="O300" s="20"/>
      <c r="P300" s="20"/>
      <c r="Q300" s="20"/>
      <c r="R300" s="20"/>
      <c r="S300" s="20"/>
      <c r="T300" s="20"/>
      <c r="U300" s="20"/>
      <c r="V300" s="20"/>
      <c r="W300" s="20"/>
      <c r="X300" s="20"/>
      <c r="Y300" s="20"/>
      <c r="Z300" s="20"/>
      <c r="AA300" s="20"/>
      <c r="AB300" s="20"/>
      <c r="AC300" s="20"/>
      <c r="AD300" s="20"/>
      <c r="AE300" s="20"/>
      <c r="AF300" s="20"/>
      <c r="AG300" s="20"/>
      <c r="AH300" s="20"/>
      <c r="AI300" s="20"/>
      <c r="AJ300" s="20"/>
      <c r="AK300" s="20"/>
      <c r="AL300" s="20"/>
      <c r="AM300" s="20"/>
    </row>
    <row r="301" spans="3:39" ht="32.25" customHeight="1" x14ac:dyDescent="0.2">
      <c r="C301" s="17"/>
      <c r="D301" s="18"/>
      <c r="E301" s="19"/>
      <c r="F301" s="20"/>
      <c r="G301" s="20"/>
      <c r="H301" s="20"/>
      <c r="I301" s="20"/>
      <c r="J301" s="20"/>
      <c r="K301" s="20"/>
      <c r="L301" s="20"/>
      <c r="M301" s="20"/>
      <c r="N301" s="20"/>
      <c r="O301" s="20"/>
      <c r="P301" s="20"/>
      <c r="Q301" s="20"/>
      <c r="R301" s="20"/>
      <c r="S301" s="20"/>
      <c r="T301" s="20"/>
      <c r="U301" s="20"/>
      <c r="V301" s="20"/>
      <c r="W301" s="20"/>
      <c r="X301" s="20"/>
      <c r="Y301" s="20"/>
      <c r="Z301" s="20"/>
      <c r="AA301" s="20"/>
      <c r="AB301" s="20"/>
      <c r="AC301" s="20"/>
      <c r="AD301" s="20"/>
      <c r="AE301" s="20"/>
      <c r="AF301" s="20"/>
      <c r="AG301" s="20"/>
      <c r="AH301" s="20"/>
      <c r="AI301" s="20"/>
      <c r="AJ301" s="20"/>
      <c r="AK301" s="20"/>
      <c r="AL301" s="20"/>
      <c r="AM301" s="20"/>
    </row>
    <row r="302" spans="3:39" ht="32.25" customHeight="1" x14ac:dyDescent="0.2">
      <c r="C302" s="17"/>
      <c r="D302" s="18"/>
      <c r="E302" s="19"/>
      <c r="F302" s="20"/>
      <c r="G302" s="20"/>
      <c r="H302" s="20"/>
      <c r="I302" s="20"/>
      <c r="J302" s="20"/>
      <c r="K302" s="20"/>
      <c r="L302" s="20"/>
      <c r="M302" s="20"/>
      <c r="N302" s="20"/>
      <c r="O302" s="20"/>
      <c r="P302" s="20"/>
      <c r="Q302" s="20"/>
      <c r="R302" s="20"/>
      <c r="S302" s="20"/>
      <c r="T302" s="20"/>
      <c r="U302" s="20"/>
      <c r="V302" s="20"/>
      <c r="W302" s="20"/>
      <c r="X302" s="20"/>
      <c r="Y302" s="20"/>
      <c r="Z302" s="20"/>
      <c r="AA302" s="20"/>
      <c r="AB302" s="20"/>
      <c r="AC302" s="20"/>
      <c r="AD302" s="20"/>
      <c r="AE302" s="20"/>
      <c r="AF302" s="20"/>
      <c r="AG302" s="20"/>
      <c r="AH302" s="20"/>
      <c r="AI302" s="20"/>
      <c r="AJ302" s="20"/>
      <c r="AK302" s="20"/>
      <c r="AL302" s="20"/>
      <c r="AM302" s="20"/>
    </row>
    <row r="303" spans="3:39" ht="32.25" customHeight="1" x14ac:dyDescent="0.2">
      <c r="C303" s="17"/>
      <c r="D303" s="18"/>
      <c r="E303" s="19"/>
      <c r="F303" s="20"/>
      <c r="G303" s="20"/>
      <c r="H303" s="20"/>
      <c r="I303" s="20"/>
      <c r="J303" s="20"/>
      <c r="K303" s="20"/>
      <c r="L303" s="20"/>
      <c r="M303" s="20"/>
      <c r="N303" s="20"/>
      <c r="O303" s="20"/>
      <c r="P303" s="20"/>
      <c r="Q303" s="20"/>
      <c r="R303" s="20"/>
      <c r="S303" s="20"/>
      <c r="T303" s="20"/>
      <c r="U303" s="20"/>
      <c r="V303" s="20"/>
      <c r="W303" s="20"/>
      <c r="X303" s="20"/>
      <c r="Y303" s="20"/>
      <c r="Z303" s="20"/>
      <c r="AA303" s="20"/>
      <c r="AB303" s="20"/>
      <c r="AC303" s="20"/>
      <c r="AD303" s="20"/>
      <c r="AE303" s="20"/>
      <c r="AF303" s="20"/>
      <c r="AG303" s="20"/>
      <c r="AH303" s="20"/>
      <c r="AI303" s="20"/>
      <c r="AJ303" s="20"/>
      <c r="AK303" s="20"/>
      <c r="AL303" s="20"/>
      <c r="AM303" s="20"/>
    </row>
    <row r="304" spans="3:39" ht="32.25" customHeight="1" x14ac:dyDescent="0.2">
      <c r="C304" s="17"/>
      <c r="D304" s="18"/>
      <c r="E304" s="19"/>
      <c r="F304" s="20"/>
      <c r="G304" s="20"/>
      <c r="H304" s="20"/>
      <c r="I304" s="20"/>
      <c r="J304" s="20"/>
      <c r="K304" s="20"/>
      <c r="L304" s="20"/>
      <c r="M304" s="20"/>
      <c r="N304" s="20"/>
      <c r="O304" s="20"/>
      <c r="P304" s="20"/>
      <c r="Q304" s="20"/>
      <c r="R304" s="20"/>
      <c r="S304" s="20"/>
      <c r="T304" s="20"/>
      <c r="U304" s="20"/>
      <c r="V304" s="20"/>
      <c r="W304" s="20"/>
      <c r="X304" s="20"/>
      <c r="Y304" s="20"/>
      <c r="Z304" s="20"/>
      <c r="AA304" s="20"/>
      <c r="AB304" s="20"/>
      <c r="AC304" s="20"/>
      <c r="AD304" s="20"/>
      <c r="AE304" s="20"/>
      <c r="AF304" s="20"/>
      <c r="AG304" s="20"/>
      <c r="AH304" s="20"/>
      <c r="AI304" s="20"/>
      <c r="AJ304" s="20"/>
      <c r="AK304" s="20"/>
      <c r="AL304" s="20"/>
      <c r="AM304" s="20"/>
    </row>
    <row r="305" spans="3:39" ht="32.25" customHeight="1" x14ac:dyDescent="0.2">
      <c r="C305" s="17"/>
      <c r="D305" s="18"/>
      <c r="E305" s="19"/>
      <c r="F305" s="20"/>
      <c r="G305" s="20"/>
      <c r="H305" s="20"/>
      <c r="I305" s="20"/>
      <c r="J305" s="20"/>
      <c r="K305" s="20"/>
      <c r="L305" s="20"/>
      <c r="M305" s="20"/>
      <c r="N305" s="20"/>
      <c r="O305" s="20"/>
      <c r="P305" s="20"/>
      <c r="Q305" s="20"/>
      <c r="R305" s="20"/>
      <c r="S305" s="20"/>
      <c r="T305" s="20"/>
      <c r="U305" s="20"/>
      <c r="V305" s="20"/>
      <c r="W305" s="20"/>
      <c r="X305" s="20"/>
      <c r="Y305" s="20"/>
      <c r="Z305" s="20"/>
      <c r="AA305" s="20"/>
      <c r="AB305" s="20"/>
      <c r="AC305" s="20"/>
      <c r="AD305" s="20"/>
      <c r="AE305" s="20"/>
      <c r="AF305" s="20"/>
      <c r="AG305" s="20"/>
      <c r="AH305" s="20"/>
      <c r="AI305" s="20"/>
      <c r="AJ305" s="20"/>
      <c r="AK305" s="20"/>
      <c r="AL305" s="20"/>
      <c r="AM305" s="20"/>
    </row>
    <row r="306" spans="3:39" ht="32.25" customHeight="1" x14ac:dyDescent="0.2">
      <c r="C306" s="17"/>
      <c r="D306" s="18"/>
      <c r="E306" s="19"/>
      <c r="F306" s="20"/>
      <c r="G306" s="20"/>
      <c r="H306" s="20"/>
      <c r="I306" s="20"/>
      <c r="J306" s="20"/>
      <c r="K306" s="20"/>
      <c r="L306" s="20"/>
      <c r="M306" s="20"/>
      <c r="N306" s="20"/>
      <c r="O306" s="20"/>
      <c r="P306" s="20"/>
      <c r="Q306" s="20"/>
      <c r="R306" s="20"/>
      <c r="S306" s="20"/>
      <c r="T306" s="20"/>
      <c r="U306" s="20"/>
      <c r="V306" s="20"/>
      <c r="W306" s="20"/>
      <c r="X306" s="20"/>
      <c r="Y306" s="20"/>
      <c r="Z306" s="20"/>
      <c r="AA306" s="20"/>
      <c r="AB306" s="20"/>
      <c r="AC306" s="20"/>
      <c r="AD306" s="20"/>
      <c r="AE306" s="20"/>
      <c r="AF306" s="20"/>
      <c r="AG306" s="20"/>
      <c r="AH306" s="20"/>
      <c r="AI306" s="20"/>
      <c r="AJ306" s="20"/>
      <c r="AK306" s="20"/>
      <c r="AL306" s="20"/>
      <c r="AM306" s="20"/>
    </row>
    <row r="307" spans="3:39" ht="32.25" customHeight="1" x14ac:dyDescent="0.2">
      <c r="C307" s="17"/>
      <c r="D307" s="18"/>
      <c r="E307" s="19"/>
      <c r="F307" s="20"/>
      <c r="G307" s="20"/>
      <c r="H307" s="20"/>
      <c r="I307" s="20"/>
      <c r="J307" s="20"/>
      <c r="K307" s="20"/>
      <c r="L307" s="20"/>
      <c r="M307" s="20"/>
      <c r="N307" s="20"/>
      <c r="O307" s="20"/>
      <c r="P307" s="20"/>
      <c r="Q307" s="20"/>
      <c r="R307" s="20"/>
      <c r="S307" s="20"/>
      <c r="T307" s="20"/>
      <c r="U307" s="20"/>
      <c r="V307" s="20"/>
      <c r="W307" s="20"/>
      <c r="X307" s="20"/>
      <c r="Y307" s="20"/>
      <c r="Z307" s="20"/>
      <c r="AA307" s="20"/>
      <c r="AB307" s="20"/>
      <c r="AC307" s="20"/>
      <c r="AD307" s="20"/>
      <c r="AE307" s="20"/>
      <c r="AF307" s="20"/>
      <c r="AG307" s="20"/>
      <c r="AH307" s="20"/>
      <c r="AI307" s="20"/>
      <c r="AJ307" s="20"/>
      <c r="AK307" s="20"/>
      <c r="AL307" s="20"/>
      <c r="AM307" s="20"/>
    </row>
    <row r="308" spans="3:39" ht="32.25" customHeight="1" x14ac:dyDescent="0.2">
      <c r="C308" s="17"/>
      <c r="D308" s="18"/>
      <c r="E308" s="19"/>
      <c r="F308" s="20"/>
      <c r="G308" s="20"/>
      <c r="H308" s="20"/>
      <c r="I308" s="20"/>
      <c r="J308" s="20"/>
      <c r="K308" s="20"/>
      <c r="L308" s="20"/>
      <c r="M308" s="20"/>
      <c r="N308" s="20"/>
      <c r="O308" s="20"/>
      <c r="P308" s="20"/>
      <c r="Q308" s="20"/>
      <c r="R308" s="20"/>
      <c r="S308" s="20"/>
      <c r="T308" s="20"/>
      <c r="U308" s="20"/>
      <c r="V308" s="20"/>
      <c r="W308" s="20"/>
      <c r="X308" s="20"/>
      <c r="Y308" s="20"/>
      <c r="Z308" s="20"/>
      <c r="AA308" s="20"/>
      <c r="AB308" s="20"/>
      <c r="AC308" s="20"/>
      <c r="AD308" s="20"/>
      <c r="AE308" s="20"/>
      <c r="AF308" s="20"/>
      <c r="AG308" s="20"/>
      <c r="AH308" s="20"/>
      <c r="AI308" s="20"/>
      <c r="AJ308" s="20"/>
      <c r="AK308" s="20"/>
      <c r="AL308" s="20"/>
      <c r="AM308" s="20"/>
    </row>
    <row r="309" spans="3:39" ht="32.25" customHeight="1" x14ac:dyDescent="0.2">
      <c r="C309" s="17"/>
      <c r="D309" s="18"/>
      <c r="E309" s="19"/>
      <c r="F309" s="20"/>
      <c r="G309" s="20"/>
      <c r="H309" s="20"/>
      <c r="I309" s="20"/>
      <c r="J309" s="20"/>
      <c r="K309" s="20"/>
      <c r="L309" s="20"/>
      <c r="M309" s="20"/>
      <c r="N309" s="20"/>
      <c r="O309" s="20"/>
      <c r="P309" s="20"/>
      <c r="Q309" s="20"/>
      <c r="R309" s="20"/>
      <c r="S309" s="20"/>
      <c r="T309" s="20"/>
      <c r="U309" s="20"/>
      <c r="V309" s="20"/>
      <c r="W309" s="20"/>
      <c r="X309" s="20"/>
      <c r="Y309" s="20"/>
      <c r="Z309" s="20"/>
      <c r="AA309" s="20"/>
      <c r="AB309" s="20"/>
      <c r="AC309" s="20"/>
      <c r="AD309" s="20"/>
      <c r="AE309" s="20"/>
      <c r="AF309" s="20"/>
      <c r="AG309" s="20"/>
      <c r="AH309" s="20"/>
      <c r="AI309" s="20"/>
      <c r="AJ309" s="20"/>
      <c r="AK309" s="20"/>
      <c r="AL309" s="20"/>
      <c r="AM309" s="20"/>
    </row>
    <row r="310" spans="3:39" ht="32.25" customHeight="1" x14ac:dyDescent="0.2">
      <c r="C310" s="17"/>
      <c r="D310" s="18"/>
      <c r="E310" s="19"/>
      <c r="F310" s="20"/>
      <c r="G310" s="20"/>
      <c r="H310" s="20"/>
      <c r="I310" s="20"/>
      <c r="J310" s="20"/>
      <c r="K310" s="20"/>
      <c r="L310" s="20"/>
      <c r="M310" s="20"/>
      <c r="N310" s="20"/>
      <c r="O310" s="20"/>
      <c r="P310" s="20"/>
      <c r="Q310" s="20"/>
      <c r="R310" s="20"/>
      <c r="S310" s="20"/>
      <c r="T310" s="20"/>
      <c r="U310" s="20"/>
      <c r="V310" s="20"/>
      <c r="W310" s="20"/>
      <c r="X310" s="20"/>
      <c r="Y310" s="20"/>
      <c r="Z310" s="20"/>
      <c r="AA310" s="20"/>
      <c r="AB310" s="20"/>
      <c r="AC310" s="20"/>
      <c r="AD310" s="20"/>
      <c r="AE310" s="20"/>
      <c r="AF310" s="20"/>
      <c r="AG310" s="20"/>
      <c r="AH310" s="20"/>
      <c r="AI310" s="20"/>
      <c r="AJ310" s="20"/>
      <c r="AK310" s="20"/>
      <c r="AL310" s="20"/>
      <c r="AM310" s="20"/>
    </row>
    <row r="311" spans="3:39" ht="32.25" customHeight="1" x14ac:dyDescent="0.2">
      <c r="C311" s="17"/>
      <c r="D311" s="18"/>
      <c r="E311" s="19"/>
      <c r="F311" s="20"/>
      <c r="G311" s="20"/>
      <c r="H311" s="20"/>
      <c r="I311" s="20"/>
      <c r="J311" s="20"/>
      <c r="K311" s="20"/>
      <c r="L311" s="20"/>
      <c r="M311" s="20"/>
      <c r="N311" s="20"/>
      <c r="O311" s="20"/>
      <c r="P311" s="20"/>
      <c r="Q311" s="20"/>
      <c r="R311" s="20"/>
      <c r="S311" s="20"/>
      <c r="T311" s="20"/>
      <c r="U311" s="20"/>
      <c r="V311" s="20"/>
      <c r="W311" s="20"/>
      <c r="X311" s="20"/>
      <c r="Y311" s="20"/>
      <c r="Z311" s="20"/>
      <c r="AA311" s="20"/>
      <c r="AB311" s="20"/>
      <c r="AC311" s="20"/>
      <c r="AD311" s="20"/>
      <c r="AE311" s="20"/>
      <c r="AF311" s="20"/>
      <c r="AG311" s="20"/>
      <c r="AH311" s="20"/>
      <c r="AI311" s="20"/>
      <c r="AJ311" s="20"/>
      <c r="AK311" s="20"/>
      <c r="AL311" s="20"/>
      <c r="AM311" s="20"/>
    </row>
    <row r="312" spans="3:39" ht="32.25" customHeight="1" x14ac:dyDescent="0.2">
      <c r="C312" s="17"/>
      <c r="D312" s="18"/>
      <c r="E312" s="19"/>
      <c r="F312" s="20"/>
      <c r="G312" s="20"/>
      <c r="H312" s="20"/>
      <c r="I312" s="20"/>
      <c r="J312" s="20"/>
      <c r="K312" s="20"/>
      <c r="L312" s="20"/>
      <c r="M312" s="20"/>
      <c r="N312" s="20"/>
      <c r="O312" s="20"/>
      <c r="P312" s="20"/>
      <c r="Q312" s="20"/>
      <c r="R312" s="20"/>
      <c r="S312" s="20"/>
      <c r="T312" s="20"/>
      <c r="U312" s="20"/>
      <c r="V312" s="20"/>
      <c r="W312" s="20"/>
      <c r="X312" s="20"/>
      <c r="Y312" s="20"/>
      <c r="Z312" s="20"/>
      <c r="AA312" s="20"/>
      <c r="AB312" s="20"/>
      <c r="AC312" s="20"/>
      <c r="AD312" s="20"/>
      <c r="AE312" s="20"/>
      <c r="AF312" s="20"/>
      <c r="AG312" s="20"/>
      <c r="AH312" s="20"/>
      <c r="AI312" s="20"/>
      <c r="AJ312" s="20"/>
      <c r="AK312" s="20"/>
      <c r="AL312" s="20"/>
      <c r="AM312" s="20"/>
    </row>
    <row r="313" spans="3:39" ht="32.25" customHeight="1" x14ac:dyDescent="0.2">
      <c r="C313" s="17"/>
      <c r="D313" s="18"/>
      <c r="E313" s="19"/>
      <c r="F313" s="20"/>
      <c r="G313" s="20"/>
      <c r="H313" s="20"/>
      <c r="I313" s="20"/>
      <c r="J313" s="20"/>
      <c r="K313" s="20"/>
      <c r="L313" s="20"/>
      <c r="M313" s="20"/>
      <c r="N313" s="20"/>
      <c r="O313" s="20"/>
      <c r="P313" s="20"/>
      <c r="Q313" s="20"/>
      <c r="R313" s="20"/>
      <c r="S313" s="20"/>
      <c r="T313" s="20"/>
      <c r="U313" s="20"/>
      <c r="V313" s="20"/>
      <c r="W313" s="20"/>
      <c r="X313" s="20"/>
      <c r="Y313" s="20"/>
      <c r="Z313" s="20"/>
      <c r="AA313" s="20"/>
      <c r="AB313" s="20"/>
      <c r="AC313" s="20"/>
      <c r="AD313" s="20"/>
      <c r="AE313" s="20"/>
      <c r="AF313" s="20"/>
      <c r="AG313" s="20"/>
      <c r="AH313" s="20"/>
      <c r="AI313" s="20"/>
      <c r="AJ313" s="20"/>
      <c r="AK313" s="20"/>
      <c r="AL313" s="20"/>
      <c r="AM313" s="20"/>
    </row>
    <row r="314" spans="3:39" ht="32.25" customHeight="1" x14ac:dyDescent="0.2">
      <c r="C314" s="17"/>
      <c r="D314" s="18"/>
      <c r="E314" s="19"/>
      <c r="F314" s="20"/>
      <c r="G314" s="20"/>
      <c r="H314" s="20"/>
      <c r="I314" s="20"/>
      <c r="J314" s="20"/>
      <c r="K314" s="20"/>
      <c r="L314" s="20"/>
      <c r="M314" s="20"/>
      <c r="N314" s="20"/>
      <c r="O314" s="20"/>
      <c r="P314" s="20"/>
      <c r="Q314" s="20"/>
      <c r="R314" s="20"/>
      <c r="S314" s="20"/>
      <c r="T314" s="20"/>
      <c r="U314" s="20"/>
      <c r="V314" s="20"/>
      <c r="W314" s="20"/>
      <c r="X314" s="20"/>
      <c r="Y314" s="20"/>
      <c r="Z314" s="20"/>
      <c r="AA314" s="20"/>
      <c r="AB314" s="20"/>
      <c r="AC314" s="20"/>
      <c r="AD314" s="20"/>
      <c r="AE314" s="20"/>
      <c r="AF314" s="20"/>
      <c r="AG314" s="20"/>
      <c r="AH314" s="20"/>
      <c r="AI314" s="20"/>
      <c r="AJ314" s="20"/>
      <c r="AK314" s="20"/>
      <c r="AL314" s="20"/>
      <c r="AM314" s="20"/>
    </row>
    <row r="315" spans="3:39" ht="32.25" customHeight="1" x14ac:dyDescent="0.2">
      <c r="C315" s="17"/>
      <c r="D315" s="18"/>
      <c r="E315" s="19"/>
      <c r="F315" s="20"/>
      <c r="G315" s="20"/>
      <c r="H315" s="20"/>
      <c r="I315" s="20"/>
      <c r="J315" s="20"/>
      <c r="K315" s="20"/>
      <c r="L315" s="20"/>
      <c r="M315" s="20"/>
      <c r="N315" s="20"/>
      <c r="O315" s="20"/>
      <c r="P315" s="20"/>
      <c r="Q315" s="20"/>
      <c r="R315" s="20"/>
      <c r="S315" s="20"/>
      <c r="T315" s="20"/>
      <c r="U315" s="20"/>
      <c r="V315" s="20"/>
      <c r="W315" s="20"/>
      <c r="X315" s="20"/>
      <c r="Y315" s="20"/>
      <c r="Z315" s="20"/>
      <c r="AA315" s="20"/>
      <c r="AB315" s="20"/>
      <c r="AC315" s="20"/>
      <c r="AD315" s="20"/>
      <c r="AE315" s="20"/>
      <c r="AF315" s="20"/>
      <c r="AG315" s="20"/>
      <c r="AH315" s="20"/>
      <c r="AI315" s="20"/>
      <c r="AJ315" s="20"/>
      <c r="AK315" s="20"/>
      <c r="AL315" s="20"/>
      <c r="AM315" s="20"/>
    </row>
    <row r="316" spans="3:39" ht="32.25" customHeight="1" x14ac:dyDescent="0.2">
      <c r="C316" s="17"/>
      <c r="D316" s="18"/>
      <c r="E316" s="19"/>
      <c r="F316" s="20"/>
      <c r="G316" s="20"/>
      <c r="H316" s="20"/>
      <c r="I316" s="20"/>
      <c r="J316" s="20"/>
      <c r="K316" s="20"/>
      <c r="L316" s="20"/>
      <c r="M316" s="20"/>
      <c r="N316" s="20"/>
      <c r="O316" s="20"/>
      <c r="P316" s="20"/>
      <c r="Q316" s="20"/>
      <c r="R316" s="20"/>
      <c r="S316" s="20"/>
      <c r="T316" s="20"/>
      <c r="U316" s="20"/>
      <c r="V316" s="20"/>
      <c r="W316" s="20"/>
      <c r="X316" s="20"/>
      <c r="Y316" s="20"/>
      <c r="Z316" s="20"/>
      <c r="AA316" s="20"/>
      <c r="AB316" s="20"/>
      <c r="AC316" s="20"/>
      <c r="AD316" s="20"/>
      <c r="AE316" s="20"/>
      <c r="AF316" s="20"/>
      <c r="AG316" s="20"/>
      <c r="AH316" s="20"/>
      <c r="AI316" s="20"/>
      <c r="AJ316" s="20"/>
      <c r="AK316" s="20"/>
      <c r="AL316" s="20"/>
      <c r="AM316" s="20"/>
    </row>
    <row r="317" spans="3:39" ht="32.25" customHeight="1" x14ac:dyDescent="0.2">
      <c r="C317" s="17"/>
      <c r="D317" s="18"/>
      <c r="E317" s="19"/>
      <c r="F317" s="20"/>
      <c r="G317" s="20"/>
      <c r="H317" s="20"/>
      <c r="I317" s="20"/>
      <c r="J317" s="20"/>
      <c r="K317" s="20"/>
      <c r="L317" s="20"/>
      <c r="M317" s="20"/>
      <c r="N317" s="20"/>
      <c r="O317" s="20"/>
      <c r="P317" s="20"/>
      <c r="Q317" s="20"/>
      <c r="R317" s="20"/>
      <c r="S317" s="20"/>
      <c r="T317" s="20"/>
      <c r="U317" s="20"/>
      <c r="V317" s="20"/>
      <c r="W317" s="20"/>
      <c r="X317" s="20"/>
      <c r="Y317" s="20"/>
      <c r="Z317" s="20"/>
      <c r="AA317" s="20"/>
      <c r="AB317" s="20"/>
      <c r="AC317" s="20"/>
      <c r="AD317" s="20"/>
      <c r="AE317" s="20"/>
      <c r="AF317" s="20"/>
      <c r="AG317" s="20"/>
      <c r="AH317" s="20"/>
      <c r="AI317" s="20"/>
      <c r="AJ317" s="20"/>
      <c r="AK317" s="20"/>
      <c r="AL317" s="20"/>
      <c r="AM317" s="20"/>
    </row>
    <row r="318" spans="3:39" ht="32.25" customHeight="1" x14ac:dyDescent="0.2">
      <c r="C318" s="17"/>
      <c r="D318" s="18"/>
      <c r="E318" s="19"/>
      <c r="F318" s="20"/>
      <c r="G318" s="20"/>
      <c r="H318" s="20"/>
      <c r="I318" s="20"/>
      <c r="J318" s="20"/>
      <c r="K318" s="20"/>
      <c r="L318" s="20"/>
      <c r="M318" s="20"/>
      <c r="N318" s="20"/>
      <c r="O318" s="20"/>
      <c r="P318" s="20"/>
      <c r="Q318" s="20"/>
      <c r="R318" s="20"/>
      <c r="S318" s="20"/>
      <c r="T318" s="20"/>
      <c r="U318" s="20"/>
      <c r="V318" s="20"/>
      <c r="W318" s="20"/>
      <c r="X318" s="20"/>
      <c r="Y318" s="20"/>
      <c r="Z318" s="20"/>
      <c r="AA318" s="20"/>
      <c r="AB318" s="20"/>
      <c r="AC318" s="20"/>
      <c r="AD318" s="20"/>
      <c r="AE318" s="20"/>
      <c r="AF318" s="20"/>
      <c r="AG318" s="20"/>
      <c r="AH318" s="20"/>
      <c r="AI318" s="20"/>
      <c r="AJ318" s="20"/>
      <c r="AK318" s="20"/>
      <c r="AL318" s="20"/>
      <c r="AM318" s="20"/>
    </row>
    <row r="319" spans="3:39" ht="32.25" customHeight="1" x14ac:dyDescent="0.2">
      <c r="C319" s="17"/>
      <c r="D319" s="18"/>
      <c r="E319" s="19"/>
      <c r="F319" s="20"/>
      <c r="G319" s="20"/>
      <c r="H319" s="20"/>
      <c r="I319" s="20"/>
      <c r="J319" s="20"/>
      <c r="K319" s="20"/>
      <c r="L319" s="20"/>
      <c r="M319" s="20"/>
      <c r="N319" s="20"/>
      <c r="O319" s="20"/>
      <c r="P319" s="20"/>
      <c r="Q319" s="20"/>
      <c r="R319" s="20"/>
      <c r="S319" s="20"/>
      <c r="T319" s="20"/>
      <c r="U319" s="20"/>
      <c r="V319" s="20"/>
      <c r="W319" s="20"/>
      <c r="X319" s="20"/>
      <c r="Y319" s="20"/>
      <c r="Z319" s="20"/>
      <c r="AA319" s="20"/>
      <c r="AB319" s="20"/>
      <c r="AC319" s="20"/>
      <c r="AD319" s="20"/>
      <c r="AE319" s="20"/>
      <c r="AF319" s="20"/>
      <c r="AG319" s="20"/>
      <c r="AH319" s="20"/>
      <c r="AI319" s="20"/>
      <c r="AJ319" s="20"/>
      <c r="AK319" s="20"/>
      <c r="AL319" s="20"/>
      <c r="AM319" s="20"/>
    </row>
    <row r="320" spans="3:39" ht="32.25" customHeight="1" x14ac:dyDescent="0.2">
      <c r="C320" s="17"/>
      <c r="D320" s="18"/>
      <c r="E320" s="19"/>
      <c r="F320" s="20"/>
      <c r="G320" s="20"/>
      <c r="H320" s="20"/>
      <c r="I320" s="20"/>
      <c r="J320" s="20"/>
      <c r="K320" s="20"/>
      <c r="L320" s="20"/>
      <c r="M320" s="20"/>
      <c r="N320" s="20"/>
      <c r="O320" s="20"/>
      <c r="P320" s="20"/>
      <c r="Q320" s="20"/>
      <c r="R320" s="20"/>
      <c r="S320" s="20"/>
      <c r="T320" s="20"/>
      <c r="U320" s="20"/>
      <c r="V320" s="20"/>
      <c r="W320" s="20"/>
      <c r="X320" s="20"/>
      <c r="Y320" s="20"/>
      <c r="Z320" s="20"/>
      <c r="AA320" s="20"/>
      <c r="AB320" s="20"/>
      <c r="AC320" s="20"/>
      <c r="AD320" s="20"/>
      <c r="AE320" s="20"/>
      <c r="AF320" s="20"/>
      <c r="AG320" s="20"/>
      <c r="AH320" s="20"/>
      <c r="AI320" s="20"/>
      <c r="AJ320" s="20"/>
      <c r="AK320" s="20"/>
      <c r="AL320" s="20"/>
      <c r="AM320" s="20"/>
    </row>
    <row r="321" spans="3:39" ht="32.25" customHeight="1" x14ac:dyDescent="0.2">
      <c r="C321" s="17"/>
      <c r="D321" s="18"/>
      <c r="E321" s="19"/>
      <c r="F321" s="20"/>
      <c r="G321" s="20"/>
      <c r="H321" s="20"/>
      <c r="I321" s="20"/>
      <c r="J321" s="20"/>
      <c r="K321" s="20"/>
      <c r="L321" s="20"/>
      <c r="M321" s="20"/>
      <c r="N321" s="20"/>
      <c r="O321" s="20"/>
      <c r="P321" s="20"/>
      <c r="Q321" s="20"/>
      <c r="R321" s="20"/>
      <c r="S321" s="20"/>
      <c r="T321" s="20"/>
      <c r="U321" s="20"/>
      <c r="V321" s="20"/>
      <c r="W321" s="20"/>
      <c r="X321" s="20"/>
      <c r="Y321" s="20"/>
      <c r="Z321" s="20"/>
      <c r="AA321" s="20"/>
      <c r="AB321" s="20"/>
      <c r="AC321" s="20"/>
      <c r="AD321" s="20"/>
      <c r="AE321" s="20"/>
      <c r="AF321" s="20"/>
      <c r="AG321" s="20"/>
      <c r="AH321" s="20"/>
      <c r="AI321" s="20"/>
      <c r="AJ321" s="20"/>
      <c r="AK321" s="20"/>
      <c r="AL321" s="20"/>
      <c r="AM321" s="20"/>
    </row>
    <row r="322" spans="3:39" ht="32.25" customHeight="1" x14ac:dyDescent="0.2">
      <c r="C322" s="17"/>
      <c r="D322" s="18"/>
      <c r="E322" s="19"/>
      <c r="F322" s="20"/>
      <c r="G322" s="20"/>
      <c r="H322" s="20"/>
      <c r="I322" s="20"/>
      <c r="J322" s="20"/>
      <c r="K322" s="20"/>
      <c r="L322" s="20"/>
      <c r="M322" s="20"/>
      <c r="N322" s="20"/>
      <c r="O322" s="20"/>
      <c r="P322" s="20"/>
      <c r="Q322" s="20"/>
      <c r="R322" s="20"/>
      <c r="S322" s="20"/>
      <c r="T322" s="20"/>
      <c r="U322" s="20"/>
      <c r="V322" s="20"/>
      <c r="W322" s="20"/>
      <c r="X322" s="20"/>
      <c r="Y322" s="20"/>
      <c r="Z322" s="20"/>
      <c r="AA322" s="20"/>
      <c r="AB322" s="20"/>
      <c r="AC322" s="20"/>
      <c r="AD322" s="20"/>
      <c r="AE322" s="20"/>
      <c r="AF322" s="20"/>
      <c r="AG322" s="20"/>
      <c r="AH322" s="20"/>
      <c r="AI322" s="20"/>
      <c r="AJ322" s="20"/>
      <c r="AK322" s="20"/>
      <c r="AL322" s="20"/>
      <c r="AM322" s="20"/>
    </row>
    <row r="323" spans="3:39" ht="32.25" customHeight="1" x14ac:dyDescent="0.2">
      <c r="C323" s="17"/>
      <c r="D323" s="18"/>
      <c r="E323" s="19"/>
      <c r="F323" s="20"/>
      <c r="G323" s="20"/>
      <c r="H323" s="20"/>
      <c r="I323" s="20"/>
      <c r="J323" s="20"/>
      <c r="K323" s="20"/>
      <c r="L323" s="20"/>
      <c r="M323" s="20"/>
      <c r="N323" s="20"/>
      <c r="O323" s="20"/>
      <c r="P323" s="20"/>
      <c r="Q323" s="20"/>
      <c r="R323" s="20"/>
      <c r="S323" s="20"/>
      <c r="T323" s="20"/>
      <c r="U323" s="20"/>
      <c r="V323" s="20"/>
      <c r="W323" s="20"/>
      <c r="X323" s="20"/>
      <c r="Y323" s="20"/>
      <c r="Z323" s="20"/>
      <c r="AA323" s="20"/>
      <c r="AB323" s="20"/>
      <c r="AC323" s="20"/>
      <c r="AD323" s="20"/>
      <c r="AE323" s="20"/>
      <c r="AF323" s="20"/>
      <c r="AG323" s="20"/>
      <c r="AH323" s="20"/>
      <c r="AI323" s="20"/>
      <c r="AJ323" s="20"/>
      <c r="AK323" s="20"/>
      <c r="AL323" s="20"/>
      <c r="AM323" s="20"/>
    </row>
    <row r="324" spans="3:39" ht="32.25" customHeight="1" x14ac:dyDescent="0.2">
      <c r="C324" s="17"/>
      <c r="D324" s="18"/>
      <c r="E324" s="19"/>
      <c r="F324" s="20"/>
      <c r="G324" s="20"/>
      <c r="H324" s="20"/>
      <c r="I324" s="20"/>
      <c r="J324" s="20"/>
      <c r="K324" s="20"/>
      <c r="L324" s="20"/>
      <c r="M324" s="20"/>
      <c r="N324" s="20"/>
      <c r="O324" s="20"/>
      <c r="P324" s="20"/>
      <c r="Q324" s="20"/>
      <c r="R324" s="20"/>
      <c r="S324" s="20"/>
      <c r="T324" s="20"/>
      <c r="U324" s="20"/>
      <c r="V324" s="20"/>
      <c r="W324" s="20"/>
      <c r="X324" s="20"/>
      <c r="Y324" s="20"/>
      <c r="Z324" s="20"/>
      <c r="AA324" s="20"/>
      <c r="AB324" s="20"/>
      <c r="AC324" s="20"/>
      <c r="AD324" s="20"/>
      <c r="AE324" s="20"/>
      <c r="AF324" s="20"/>
      <c r="AG324" s="20"/>
      <c r="AH324" s="20"/>
      <c r="AI324" s="20"/>
      <c r="AJ324" s="20"/>
      <c r="AK324" s="20"/>
      <c r="AL324" s="20"/>
      <c r="AM324" s="20"/>
    </row>
    <row r="325" spans="3:39" ht="32.25" customHeight="1" x14ac:dyDescent="0.2">
      <c r="C325" s="17"/>
      <c r="D325" s="18"/>
      <c r="E325" s="19"/>
      <c r="F325" s="20"/>
      <c r="G325" s="20"/>
      <c r="H325" s="20"/>
      <c r="I325" s="20"/>
      <c r="J325" s="20"/>
      <c r="K325" s="20"/>
      <c r="L325" s="20"/>
      <c r="M325" s="20"/>
      <c r="N325" s="20"/>
      <c r="O325" s="20"/>
      <c r="P325" s="20"/>
      <c r="Q325" s="20"/>
      <c r="R325" s="20"/>
      <c r="S325" s="20"/>
      <c r="T325" s="20"/>
      <c r="U325" s="20"/>
      <c r="V325" s="20"/>
      <c r="W325" s="20"/>
      <c r="X325" s="20"/>
      <c r="Y325" s="20"/>
      <c r="Z325" s="20"/>
      <c r="AA325" s="20"/>
      <c r="AB325" s="20"/>
      <c r="AC325" s="20"/>
      <c r="AD325" s="20"/>
      <c r="AE325" s="20"/>
      <c r="AF325" s="20"/>
      <c r="AG325" s="20"/>
      <c r="AH325" s="20"/>
      <c r="AI325" s="20"/>
      <c r="AJ325" s="20"/>
      <c r="AK325" s="20"/>
      <c r="AL325" s="20"/>
      <c r="AM325" s="20"/>
    </row>
    <row r="326" spans="3:39" ht="32.25" customHeight="1" x14ac:dyDescent="0.2">
      <c r="C326" s="17"/>
      <c r="D326" s="18"/>
      <c r="E326" s="19"/>
      <c r="F326" s="20"/>
      <c r="G326" s="20"/>
      <c r="H326" s="20"/>
      <c r="I326" s="20"/>
      <c r="J326" s="20"/>
      <c r="K326" s="20"/>
      <c r="L326" s="20"/>
      <c r="M326" s="20"/>
      <c r="N326" s="20"/>
      <c r="O326" s="20"/>
      <c r="P326" s="20"/>
      <c r="Q326" s="20"/>
      <c r="R326" s="20"/>
      <c r="S326" s="20"/>
      <c r="T326" s="20"/>
      <c r="U326" s="20"/>
      <c r="V326" s="20"/>
      <c r="W326" s="20"/>
      <c r="X326" s="20"/>
      <c r="Y326" s="20"/>
      <c r="Z326" s="20"/>
      <c r="AA326" s="20"/>
      <c r="AB326" s="20"/>
      <c r="AC326" s="20"/>
      <c r="AD326" s="20"/>
      <c r="AE326" s="20"/>
      <c r="AF326" s="20"/>
      <c r="AG326" s="20"/>
      <c r="AH326" s="20"/>
      <c r="AI326" s="20"/>
      <c r="AJ326" s="20"/>
      <c r="AK326" s="20"/>
      <c r="AL326" s="20"/>
      <c r="AM326" s="20"/>
    </row>
    <row r="327" spans="3:39" ht="32.25" customHeight="1" x14ac:dyDescent="0.2">
      <c r="C327" s="17"/>
      <c r="D327" s="18"/>
      <c r="E327" s="19"/>
      <c r="F327" s="20"/>
      <c r="G327" s="20"/>
      <c r="H327" s="20"/>
      <c r="I327" s="20"/>
      <c r="J327" s="20"/>
      <c r="K327" s="20"/>
      <c r="L327" s="20"/>
      <c r="M327" s="20"/>
      <c r="N327" s="20"/>
      <c r="O327" s="20"/>
      <c r="P327" s="20"/>
      <c r="Q327" s="20"/>
      <c r="R327" s="20"/>
      <c r="S327" s="20"/>
      <c r="T327" s="20"/>
      <c r="U327" s="20"/>
      <c r="V327" s="20"/>
      <c r="W327" s="20"/>
      <c r="X327" s="20"/>
      <c r="Y327" s="20"/>
      <c r="Z327" s="20"/>
      <c r="AA327" s="20"/>
      <c r="AB327" s="20"/>
      <c r="AC327" s="20"/>
      <c r="AD327" s="20"/>
      <c r="AE327" s="20"/>
      <c r="AF327" s="20"/>
      <c r="AG327" s="20"/>
      <c r="AH327" s="20"/>
      <c r="AI327" s="20"/>
      <c r="AJ327" s="20"/>
      <c r="AK327" s="20"/>
      <c r="AL327" s="20"/>
      <c r="AM327" s="20"/>
    </row>
    <row r="328" spans="3:39" ht="32.25" customHeight="1" x14ac:dyDescent="0.2">
      <c r="C328" s="17"/>
      <c r="D328" s="18"/>
      <c r="E328" s="19"/>
      <c r="F328" s="20"/>
      <c r="G328" s="20"/>
      <c r="H328" s="20"/>
      <c r="I328" s="20"/>
      <c r="J328" s="20"/>
      <c r="K328" s="20"/>
      <c r="L328" s="20"/>
      <c r="M328" s="20"/>
      <c r="N328" s="20"/>
      <c r="O328" s="20"/>
      <c r="P328" s="20"/>
      <c r="Q328" s="20"/>
      <c r="R328" s="20"/>
      <c r="S328" s="20"/>
      <c r="T328" s="20"/>
      <c r="U328" s="20"/>
      <c r="V328" s="20"/>
      <c r="W328" s="20"/>
      <c r="X328" s="20"/>
      <c r="Y328" s="20"/>
      <c r="Z328" s="20"/>
      <c r="AA328" s="20"/>
      <c r="AB328" s="20"/>
      <c r="AC328" s="20"/>
      <c r="AD328" s="20"/>
      <c r="AE328" s="20"/>
      <c r="AF328" s="20"/>
      <c r="AG328" s="20"/>
      <c r="AH328" s="20"/>
      <c r="AI328" s="20"/>
      <c r="AJ328" s="20"/>
      <c r="AK328" s="20"/>
      <c r="AL328" s="20"/>
      <c r="AM328" s="20"/>
    </row>
    <row r="329" spans="3:39" ht="32.25" customHeight="1" x14ac:dyDescent="0.2">
      <c r="C329" s="17"/>
      <c r="D329" s="18"/>
      <c r="E329" s="19"/>
      <c r="F329" s="20"/>
      <c r="G329" s="20"/>
      <c r="H329" s="20"/>
      <c r="I329" s="20"/>
      <c r="J329" s="20"/>
      <c r="K329" s="20"/>
      <c r="L329" s="20"/>
      <c r="M329" s="20"/>
      <c r="N329" s="20"/>
      <c r="O329" s="20"/>
      <c r="P329" s="20"/>
      <c r="Q329" s="20"/>
      <c r="R329" s="20"/>
      <c r="S329" s="20"/>
      <c r="T329" s="20"/>
      <c r="U329" s="20"/>
      <c r="V329" s="20"/>
      <c r="W329" s="20"/>
      <c r="X329" s="20"/>
      <c r="Y329" s="20"/>
      <c r="Z329" s="20"/>
      <c r="AA329" s="20"/>
      <c r="AB329" s="20"/>
      <c r="AC329" s="20"/>
      <c r="AD329" s="20"/>
      <c r="AE329" s="20"/>
      <c r="AF329" s="20"/>
      <c r="AG329" s="20"/>
      <c r="AH329" s="20"/>
      <c r="AI329" s="20"/>
      <c r="AJ329" s="20"/>
      <c r="AK329" s="20"/>
      <c r="AL329" s="20"/>
      <c r="AM329" s="20"/>
    </row>
    <row r="330" spans="3:39" ht="32.25" customHeight="1" x14ac:dyDescent="0.2">
      <c r="C330" s="17"/>
      <c r="D330" s="18"/>
      <c r="E330" s="19"/>
      <c r="F330" s="20"/>
      <c r="G330" s="20"/>
      <c r="H330" s="20"/>
      <c r="I330" s="20"/>
      <c r="J330" s="20"/>
      <c r="K330" s="20"/>
      <c r="L330" s="20"/>
      <c r="M330" s="20"/>
      <c r="N330" s="20"/>
      <c r="O330" s="20"/>
      <c r="P330" s="20"/>
      <c r="Q330" s="20"/>
      <c r="R330" s="20"/>
      <c r="S330" s="20"/>
      <c r="T330" s="20"/>
      <c r="U330" s="20"/>
      <c r="V330" s="20"/>
      <c r="W330" s="20"/>
      <c r="X330" s="20"/>
      <c r="Y330" s="20"/>
      <c r="Z330" s="20"/>
      <c r="AA330" s="20"/>
      <c r="AB330" s="20"/>
      <c r="AC330" s="20"/>
      <c r="AD330" s="20"/>
      <c r="AE330" s="20"/>
      <c r="AF330" s="20"/>
      <c r="AG330" s="20"/>
      <c r="AH330" s="20"/>
      <c r="AI330" s="20"/>
      <c r="AJ330" s="20"/>
      <c r="AK330" s="20"/>
      <c r="AL330" s="20"/>
      <c r="AM330" s="20"/>
    </row>
    <row r="331" spans="3:39" ht="32.25" customHeight="1" x14ac:dyDescent="0.2">
      <c r="C331" s="17"/>
      <c r="D331" s="18"/>
      <c r="E331" s="19"/>
      <c r="F331" s="20"/>
      <c r="G331" s="20"/>
      <c r="H331" s="20"/>
      <c r="I331" s="20"/>
      <c r="J331" s="20"/>
      <c r="K331" s="20"/>
      <c r="L331" s="20"/>
      <c r="M331" s="20"/>
      <c r="N331" s="20"/>
      <c r="O331" s="20"/>
      <c r="P331" s="20"/>
      <c r="Q331" s="20"/>
      <c r="R331" s="20"/>
      <c r="S331" s="20"/>
      <c r="T331" s="20"/>
      <c r="U331" s="20"/>
      <c r="V331" s="20"/>
      <c r="W331" s="20"/>
      <c r="X331" s="20"/>
      <c r="Y331" s="20"/>
      <c r="Z331" s="20"/>
      <c r="AA331" s="20"/>
      <c r="AB331" s="20"/>
      <c r="AC331" s="20"/>
      <c r="AD331" s="20"/>
      <c r="AE331" s="20"/>
      <c r="AF331" s="20"/>
      <c r="AG331" s="20"/>
      <c r="AH331" s="20"/>
      <c r="AI331" s="20"/>
      <c r="AJ331" s="20"/>
      <c r="AK331" s="20"/>
      <c r="AL331" s="20"/>
      <c r="AM331" s="20"/>
    </row>
    <row r="332" spans="3:39" ht="32.25" customHeight="1" x14ac:dyDescent="0.2">
      <c r="C332" s="17"/>
      <c r="D332" s="18"/>
      <c r="E332" s="19"/>
      <c r="F332" s="20"/>
      <c r="G332" s="20"/>
      <c r="H332" s="20"/>
      <c r="I332" s="20"/>
      <c r="J332" s="20"/>
      <c r="K332" s="20"/>
      <c r="L332" s="20"/>
      <c r="M332" s="20"/>
      <c r="N332" s="20"/>
      <c r="O332" s="20"/>
      <c r="P332" s="20"/>
      <c r="Q332" s="20"/>
      <c r="R332" s="20"/>
      <c r="S332" s="20"/>
      <c r="T332" s="20"/>
      <c r="U332" s="20"/>
      <c r="V332" s="20"/>
      <c r="W332" s="20"/>
      <c r="X332" s="20"/>
      <c r="Y332" s="20"/>
      <c r="Z332" s="20"/>
      <c r="AA332" s="20"/>
      <c r="AB332" s="20"/>
      <c r="AC332" s="20"/>
      <c r="AD332" s="20"/>
      <c r="AE332" s="20"/>
      <c r="AF332" s="20"/>
      <c r="AG332" s="20"/>
      <c r="AH332" s="20"/>
      <c r="AI332" s="20"/>
      <c r="AJ332" s="20"/>
      <c r="AK332" s="20"/>
      <c r="AL332" s="20"/>
      <c r="AM332" s="20"/>
    </row>
    <row r="333" spans="3:39" ht="32.25" customHeight="1" x14ac:dyDescent="0.2">
      <c r="C333" s="17"/>
      <c r="D333" s="18"/>
      <c r="E333" s="19"/>
      <c r="F333" s="20"/>
      <c r="G333" s="20"/>
      <c r="H333" s="20"/>
      <c r="I333" s="20"/>
      <c r="J333" s="20"/>
      <c r="K333" s="20"/>
      <c r="L333" s="20"/>
      <c r="M333" s="20"/>
      <c r="N333" s="20"/>
      <c r="O333" s="20"/>
      <c r="P333" s="20"/>
      <c r="Q333" s="20"/>
      <c r="R333" s="20"/>
      <c r="S333" s="20"/>
      <c r="T333" s="20"/>
      <c r="U333" s="20"/>
      <c r="V333" s="20"/>
      <c r="W333" s="20"/>
      <c r="X333" s="20"/>
      <c r="Y333" s="20"/>
      <c r="Z333" s="20"/>
      <c r="AA333" s="20"/>
      <c r="AB333" s="20"/>
      <c r="AC333" s="20"/>
      <c r="AD333" s="20"/>
      <c r="AE333" s="20"/>
      <c r="AF333" s="20"/>
      <c r="AG333" s="20"/>
      <c r="AH333" s="20"/>
      <c r="AI333" s="20"/>
      <c r="AJ333" s="20"/>
      <c r="AK333" s="20"/>
      <c r="AL333" s="20"/>
      <c r="AM333" s="20"/>
    </row>
    <row r="334" spans="3:39" ht="32.25" customHeight="1" x14ac:dyDescent="0.2">
      <c r="C334" s="17"/>
      <c r="D334" s="18"/>
      <c r="E334" s="19"/>
      <c r="F334" s="20"/>
      <c r="G334" s="20"/>
      <c r="H334" s="20"/>
      <c r="I334" s="20"/>
      <c r="J334" s="20"/>
      <c r="K334" s="20"/>
      <c r="L334" s="20"/>
      <c r="M334" s="20"/>
      <c r="N334" s="20"/>
      <c r="O334" s="20"/>
      <c r="P334" s="20"/>
      <c r="Q334" s="20"/>
      <c r="R334" s="20"/>
      <c r="S334" s="20"/>
      <c r="T334" s="20"/>
      <c r="U334" s="20"/>
      <c r="V334" s="20"/>
      <c r="W334" s="20"/>
      <c r="X334" s="20"/>
      <c r="Y334" s="20"/>
      <c r="Z334" s="20"/>
      <c r="AA334" s="20"/>
      <c r="AB334" s="20"/>
      <c r="AC334" s="20"/>
      <c r="AD334" s="20"/>
      <c r="AE334" s="20"/>
      <c r="AF334" s="20"/>
      <c r="AG334" s="20"/>
      <c r="AH334" s="20"/>
      <c r="AI334" s="20"/>
      <c r="AJ334" s="20"/>
      <c r="AK334" s="20"/>
      <c r="AL334" s="20"/>
      <c r="AM334" s="20"/>
    </row>
    <row r="335" spans="3:39" ht="32.25" customHeight="1" x14ac:dyDescent="0.2">
      <c r="C335" s="17"/>
      <c r="D335" s="18"/>
      <c r="E335" s="19"/>
      <c r="F335" s="20"/>
      <c r="G335" s="20"/>
      <c r="H335" s="20"/>
      <c r="I335" s="20"/>
      <c r="J335" s="20"/>
      <c r="K335" s="20"/>
      <c r="L335" s="20"/>
      <c r="M335" s="20"/>
      <c r="N335" s="20"/>
      <c r="O335" s="20"/>
      <c r="P335" s="20"/>
      <c r="Q335" s="20"/>
      <c r="R335" s="20"/>
      <c r="S335" s="20"/>
      <c r="T335" s="20"/>
      <c r="U335" s="20"/>
      <c r="V335" s="20"/>
      <c r="W335" s="20"/>
      <c r="X335" s="20"/>
      <c r="Y335" s="20"/>
      <c r="Z335" s="20"/>
      <c r="AA335" s="20"/>
      <c r="AB335" s="20"/>
      <c r="AC335" s="20"/>
      <c r="AD335" s="20"/>
      <c r="AE335" s="20"/>
      <c r="AF335" s="20"/>
      <c r="AG335" s="20"/>
      <c r="AH335" s="20"/>
      <c r="AI335" s="20"/>
      <c r="AJ335" s="20"/>
      <c r="AK335" s="20"/>
      <c r="AL335" s="20"/>
      <c r="AM335" s="20"/>
    </row>
    <row r="336" spans="3:39" ht="32.25" customHeight="1" x14ac:dyDescent="0.2">
      <c r="C336" s="17"/>
      <c r="D336" s="18"/>
      <c r="E336" s="19"/>
      <c r="F336" s="20"/>
      <c r="G336" s="20"/>
      <c r="H336" s="20"/>
      <c r="I336" s="20"/>
      <c r="J336" s="20"/>
      <c r="K336" s="20"/>
      <c r="L336" s="20"/>
      <c r="M336" s="20"/>
      <c r="N336" s="20"/>
      <c r="O336" s="20"/>
      <c r="P336" s="20"/>
      <c r="Q336" s="20"/>
      <c r="R336" s="20"/>
      <c r="S336" s="20"/>
      <c r="T336" s="20"/>
      <c r="U336" s="20"/>
      <c r="V336" s="20"/>
      <c r="W336" s="20"/>
      <c r="X336" s="20"/>
      <c r="Y336" s="20"/>
      <c r="Z336" s="20"/>
      <c r="AA336" s="20"/>
      <c r="AB336" s="20"/>
      <c r="AC336" s="20"/>
      <c r="AD336" s="20"/>
      <c r="AE336" s="20"/>
      <c r="AF336" s="20"/>
      <c r="AG336" s="20"/>
      <c r="AH336" s="20"/>
      <c r="AI336" s="20"/>
      <c r="AJ336" s="20"/>
      <c r="AK336" s="20"/>
      <c r="AL336" s="20"/>
      <c r="AM336" s="20"/>
    </row>
    <row r="337" spans="3:39" ht="32.25" customHeight="1" x14ac:dyDescent="0.2">
      <c r="C337" s="17"/>
      <c r="D337" s="18"/>
      <c r="E337" s="19"/>
      <c r="F337" s="20"/>
      <c r="G337" s="20"/>
      <c r="H337" s="20"/>
      <c r="I337" s="20"/>
      <c r="J337" s="20"/>
      <c r="K337" s="20"/>
      <c r="L337" s="20"/>
      <c r="M337" s="20"/>
      <c r="N337" s="20"/>
      <c r="O337" s="20"/>
      <c r="P337" s="20"/>
      <c r="Q337" s="20"/>
      <c r="R337" s="20"/>
      <c r="S337" s="20"/>
      <c r="T337" s="20"/>
      <c r="U337" s="20"/>
      <c r="V337" s="20"/>
      <c r="W337" s="20"/>
      <c r="X337" s="20"/>
      <c r="Y337" s="20"/>
      <c r="Z337" s="20"/>
      <c r="AA337" s="20"/>
      <c r="AB337" s="20"/>
      <c r="AC337" s="20"/>
      <c r="AD337" s="20"/>
      <c r="AE337" s="20"/>
      <c r="AF337" s="20"/>
      <c r="AG337" s="20"/>
      <c r="AH337" s="20"/>
      <c r="AI337" s="20"/>
      <c r="AJ337" s="20"/>
      <c r="AK337" s="20"/>
      <c r="AL337" s="20"/>
      <c r="AM337" s="20"/>
    </row>
    <row r="338" spans="3:39" ht="32.25" customHeight="1" x14ac:dyDescent="0.2">
      <c r="C338" s="17"/>
      <c r="D338" s="18"/>
      <c r="E338" s="19"/>
      <c r="F338" s="20"/>
      <c r="G338" s="20"/>
      <c r="H338" s="20"/>
      <c r="I338" s="20"/>
      <c r="J338" s="20"/>
      <c r="K338" s="20"/>
      <c r="L338" s="20"/>
      <c r="M338" s="20"/>
      <c r="N338" s="20"/>
      <c r="O338" s="20"/>
      <c r="P338" s="20"/>
      <c r="Q338" s="20"/>
      <c r="R338" s="20"/>
      <c r="S338" s="20"/>
      <c r="T338" s="20"/>
      <c r="U338" s="20"/>
      <c r="V338" s="20"/>
      <c r="W338" s="20"/>
      <c r="X338" s="20"/>
      <c r="Y338" s="20"/>
      <c r="Z338" s="20"/>
      <c r="AA338" s="20"/>
      <c r="AB338" s="20"/>
      <c r="AC338" s="20"/>
      <c r="AD338" s="20"/>
      <c r="AE338" s="20"/>
      <c r="AF338" s="20"/>
      <c r="AG338" s="20"/>
      <c r="AH338" s="20"/>
      <c r="AI338" s="20"/>
      <c r="AJ338" s="20"/>
      <c r="AK338" s="20"/>
      <c r="AL338" s="20"/>
      <c r="AM338" s="20"/>
    </row>
    <row r="339" spans="3:39" ht="32.25" customHeight="1" x14ac:dyDescent="0.2">
      <c r="C339" s="17"/>
      <c r="D339" s="18"/>
      <c r="E339" s="19"/>
      <c r="F339" s="20"/>
      <c r="G339" s="20"/>
      <c r="H339" s="20"/>
      <c r="I339" s="20"/>
      <c r="J339" s="20"/>
      <c r="K339" s="20"/>
      <c r="L339" s="20"/>
      <c r="M339" s="20"/>
      <c r="N339" s="20"/>
      <c r="O339" s="20"/>
      <c r="P339" s="20"/>
      <c r="Q339" s="20"/>
      <c r="R339" s="20"/>
      <c r="S339" s="20"/>
      <c r="T339" s="20"/>
      <c r="U339" s="20"/>
      <c r="V339" s="20"/>
      <c r="W339" s="20"/>
      <c r="X339" s="20"/>
      <c r="Y339" s="20"/>
      <c r="Z339" s="20"/>
      <c r="AA339" s="20"/>
      <c r="AB339" s="20"/>
      <c r="AC339" s="20"/>
      <c r="AD339" s="20"/>
      <c r="AE339" s="20"/>
      <c r="AF339" s="20"/>
      <c r="AG339" s="20"/>
      <c r="AH339" s="20"/>
      <c r="AI339" s="20"/>
      <c r="AJ339" s="20"/>
      <c r="AK339" s="20"/>
      <c r="AL339" s="20"/>
      <c r="AM339" s="20"/>
    </row>
    <row r="340" spans="3:39" ht="32.25" customHeight="1" x14ac:dyDescent="0.2">
      <c r="C340" s="17"/>
      <c r="D340" s="18"/>
      <c r="E340" s="19"/>
      <c r="F340" s="20"/>
      <c r="G340" s="20"/>
      <c r="H340" s="20"/>
      <c r="I340" s="20"/>
      <c r="J340" s="20"/>
      <c r="K340" s="20"/>
      <c r="L340" s="20"/>
      <c r="M340" s="20"/>
      <c r="N340" s="20"/>
      <c r="O340" s="20"/>
      <c r="P340" s="20"/>
      <c r="Q340" s="20"/>
      <c r="R340" s="20"/>
      <c r="S340" s="20"/>
      <c r="T340" s="20"/>
      <c r="U340" s="20"/>
      <c r="V340" s="20"/>
      <c r="W340" s="20"/>
      <c r="X340" s="20"/>
      <c r="Y340" s="20"/>
      <c r="Z340" s="20"/>
      <c r="AA340" s="20"/>
      <c r="AB340" s="20"/>
      <c r="AC340" s="20"/>
      <c r="AD340" s="20"/>
      <c r="AE340" s="20"/>
      <c r="AF340" s="20"/>
      <c r="AG340" s="20"/>
      <c r="AH340" s="20"/>
      <c r="AI340" s="20"/>
      <c r="AJ340" s="20"/>
      <c r="AK340" s="20"/>
      <c r="AL340" s="20"/>
      <c r="AM340" s="20"/>
    </row>
    <row r="341" spans="3:39" ht="32.25" customHeight="1" x14ac:dyDescent="0.2">
      <c r="C341" s="17"/>
      <c r="D341" s="18"/>
      <c r="E341" s="19"/>
      <c r="F341" s="20"/>
      <c r="G341" s="20"/>
      <c r="H341" s="20"/>
      <c r="I341" s="20"/>
      <c r="J341" s="20"/>
      <c r="K341" s="20"/>
      <c r="L341" s="20"/>
      <c r="M341" s="20"/>
      <c r="N341" s="20"/>
      <c r="O341" s="20"/>
      <c r="P341" s="20"/>
      <c r="Q341" s="20"/>
      <c r="R341" s="20"/>
      <c r="S341" s="20"/>
      <c r="T341" s="20"/>
      <c r="U341" s="20"/>
      <c r="V341" s="20"/>
      <c r="W341" s="20"/>
      <c r="X341" s="20"/>
      <c r="Y341" s="20"/>
      <c r="Z341" s="20"/>
      <c r="AA341" s="20"/>
      <c r="AB341" s="20"/>
      <c r="AC341" s="20"/>
      <c r="AD341" s="20"/>
      <c r="AE341" s="20"/>
      <c r="AF341" s="20"/>
      <c r="AG341" s="20"/>
      <c r="AH341" s="20"/>
      <c r="AI341" s="20"/>
      <c r="AJ341" s="20"/>
      <c r="AK341" s="20"/>
      <c r="AL341" s="20"/>
      <c r="AM341" s="20"/>
    </row>
    <row r="342" spans="3:39" ht="32.25" customHeight="1" x14ac:dyDescent="0.2">
      <c r="C342" s="17"/>
      <c r="D342" s="18"/>
      <c r="E342" s="19"/>
      <c r="F342" s="20"/>
      <c r="G342" s="20"/>
      <c r="H342" s="20"/>
      <c r="I342" s="20"/>
      <c r="J342" s="20"/>
      <c r="K342" s="20"/>
      <c r="L342" s="20"/>
      <c r="M342" s="20"/>
      <c r="N342" s="20"/>
      <c r="O342" s="20"/>
      <c r="P342" s="20"/>
      <c r="Q342" s="20"/>
      <c r="R342" s="20"/>
      <c r="S342" s="20"/>
      <c r="T342" s="20"/>
      <c r="U342" s="20"/>
      <c r="V342" s="20"/>
      <c r="W342" s="20"/>
      <c r="X342" s="20"/>
      <c r="Y342" s="20"/>
      <c r="Z342" s="20"/>
      <c r="AA342" s="20"/>
      <c r="AB342" s="20"/>
      <c r="AC342" s="20"/>
      <c r="AD342" s="20"/>
      <c r="AE342" s="20"/>
      <c r="AF342" s="20"/>
      <c r="AG342" s="20"/>
      <c r="AH342" s="20"/>
      <c r="AI342" s="20"/>
      <c r="AJ342" s="20"/>
      <c r="AK342" s="20"/>
      <c r="AL342" s="20"/>
      <c r="AM342" s="20"/>
    </row>
    <row r="343" spans="3:39" ht="32.25" customHeight="1" x14ac:dyDescent="0.2">
      <c r="C343" s="17"/>
      <c r="D343" s="18"/>
      <c r="E343" s="19"/>
      <c r="F343" s="20"/>
      <c r="G343" s="20"/>
      <c r="H343" s="20"/>
      <c r="I343" s="20"/>
      <c r="J343" s="20"/>
      <c r="K343" s="20"/>
      <c r="L343" s="20"/>
      <c r="M343" s="20"/>
      <c r="N343" s="20"/>
      <c r="O343" s="20"/>
      <c r="P343" s="20"/>
      <c r="Q343" s="20"/>
      <c r="R343" s="20"/>
      <c r="S343" s="20"/>
      <c r="T343" s="20"/>
      <c r="U343" s="20"/>
      <c r="V343" s="20"/>
      <c r="W343" s="20"/>
      <c r="X343" s="20"/>
      <c r="Y343" s="20"/>
      <c r="Z343" s="20"/>
      <c r="AA343" s="20"/>
      <c r="AB343" s="20"/>
      <c r="AC343" s="20"/>
      <c r="AD343" s="20"/>
      <c r="AE343" s="20"/>
      <c r="AF343" s="20"/>
      <c r="AG343" s="20"/>
      <c r="AH343" s="20"/>
      <c r="AI343" s="20"/>
      <c r="AJ343" s="20"/>
      <c r="AK343" s="20"/>
      <c r="AL343" s="20"/>
      <c r="AM343" s="20"/>
    </row>
    <row r="344" spans="3:39" ht="32.25" customHeight="1" x14ac:dyDescent="0.2">
      <c r="C344" s="17"/>
      <c r="D344" s="18"/>
      <c r="E344" s="19"/>
      <c r="F344" s="20"/>
      <c r="G344" s="20"/>
      <c r="H344" s="20"/>
      <c r="I344" s="20"/>
      <c r="J344" s="20"/>
      <c r="K344" s="20"/>
      <c r="L344" s="20"/>
      <c r="M344" s="20"/>
      <c r="N344" s="20"/>
      <c r="O344" s="20"/>
      <c r="P344" s="20"/>
      <c r="Q344" s="20"/>
      <c r="R344" s="20"/>
      <c r="S344" s="20"/>
      <c r="T344" s="20"/>
      <c r="U344" s="20"/>
      <c r="V344" s="20"/>
      <c r="W344" s="20"/>
      <c r="X344" s="20"/>
      <c r="Y344" s="20"/>
      <c r="Z344" s="20"/>
      <c r="AA344" s="20"/>
      <c r="AB344" s="20"/>
      <c r="AC344" s="20"/>
      <c r="AD344" s="20"/>
      <c r="AE344" s="20"/>
      <c r="AF344" s="20"/>
      <c r="AG344" s="20"/>
      <c r="AH344" s="20"/>
      <c r="AI344" s="20"/>
      <c r="AJ344" s="20"/>
      <c r="AK344" s="20"/>
      <c r="AL344" s="20"/>
      <c r="AM344" s="20"/>
    </row>
    <row r="345" spans="3:39" ht="32.25" customHeight="1" x14ac:dyDescent="0.2">
      <c r="C345" s="17"/>
      <c r="D345" s="18"/>
      <c r="E345" s="19"/>
      <c r="F345" s="20"/>
      <c r="G345" s="20"/>
      <c r="H345" s="20"/>
      <c r="I345" s="20"/>
      <c r="J345" s="20"/>
      <c r="K345" s="20"/>
      <c r="L345" s="20"/>
      <c r="M345" s="20"/>
      <c r="N345" s="20"/>
      <c r="O345" s="20"/>
      <c r="P345" s="20"/>
      <c r="Q345" s="20"/>
      <c r="R345" s="20"/>
      <c r="S345" s="20"/>
      <c r="T345" s="20"/>
      <c r="U345" s="20"/>
      <c r="V345" s="20"/>
      <c r="W345" s="20"/>
      <c r="X345" s="20"/>
      <c r="Y345" s="20"/>
      <c r="Z345" s="20"/>
      <c r="AA345" s="20"/>
      <c r="AB345" s="20"/>
      <c r="AC345" s="20"/>
      <c r="AD345" s="20"/>
      <c r="AE345" s="20"/>
      <c r="AF345" s="20"/>
      <c r="AG345" s="20"/>
      <c r="AH345" s="20"/>
      <c r="AI345" s="20"/>
      <c r="AJ345" s="20"/>
      <c r="AK345" s="20"/>
      <c r="AL345" s="20"/>
      <c r="AM345" s="20"/>
    </row>
    <row r="346" spans="3:39" ht="32.25" customHeight="1" x14ac:dyDescent="0.2">
      <c r="C346" s="17"/>
      <c r="D346" s="18"/>
      <c r="E346" s="19"/>
      <c r="F346" s="20"/>
      <c r="G346" s="20"/>
      <c r="H346" s="20"/>
      <c r="I346" s="20"/>
      <c r="J346" s="20"/>
      <c r="K346" s="20"/>
      <c r="L346" s="20"/>
      <c r="M346" s="20"/>
      <c r="N346" s="20"/>
      <c r="O346" s="20"/>
      <c r="P346" s="20"/>
      <c r="Q346" s="20"/>
      <c r="R346" s="20"/>
      <c r="S346" s="20"/>
      <c r="T346" s="20"/>
      <c r="U346" s="20"/>
      <c r="V346" s="20"/>
      <c r="W346" s="20"/>
      <c r="X346" s="20"/>
      <c r="Y346" s="20"/>
      <c r="Z346" s="20"/>
      <c r="AA346" s="20"/>
      <c r="AB346" s="20"/>
      <c r="AC346" s="20"/>
      <c r="AD346" s="20"/>
      <c r="AE346" s="20"/>
      <c r="AF346" s="20"/>
      <c r="AG346" s="20"/>
      <c r="AH346" s="20"/>
      <c r="AI346" s="20"/>
      <c r="AJ346" s="20"/>
      <c r="AK346" s="20"/>
      <c r="AL346" s="20"/>
      <c r="AM346" s="20"/>
    </row>
    <row r="347" spans="3:39" ht="32.25" customHeight="1" x14ac:dyDescent="0.2">
      <c r="C347" s="17"/>
      <c r="D347" s="18"/>
      <c r="E347" s="19"/>
      <c r="F347" s="20"/>
      <c r="G347" s="20"/>
      <c r="H347" s="20"/>
      <c r="I347" s="20"/>
      <c r="J347" s="20"/>
      <c r="K347" s="20"/>
      <c r="L347" s="20"/>
      <c r="M347" s="20"/>
      <c r="N347" s="20"/>
      <c r="O347" s="20"/>
      <c r="P347" s="20"/>
      <c r="Q347" s="20"/>
      <c r="R347" s="20"/>
      <c r="S347" s="20"/>
      <c r="T347" s="20"/>
      <c r="U347" s="20"/>
      <c r="V347" s="20"/>
      <c r="W347" s="20"/>
      <c r="X347" s="20"/>
      <c r="Y347" s="20"/>
      <c r="Z347" s="20"/>
      <c r="AA347" s="20"/>
      <c r="AB347" s="20"/>
      <c r="AC347" s="20"/>
      <c r="AD347" s="20"/>
      <c r="AE347" s="20"/>
      <c r="AF347" s="20"/>
      <c r="AG347" s="20"/>
      <c r="AH347" s="20"/>
      <c r="AI347" s="20"/>
      <c r="AJ347" s="20"/>
      <c r="AK347" s="20"/>
      <c r="AL347" s="20"/>
      <c r="AM347" s="20"/>
    </row>
    <row r="348" spans="3:39" ht="32.25" customHeight="1" x14ac:dyDescent="0.2">
      <c r="C348" s="17"/>
      <c r="D348" s="18"/>
      <c r="E348" s="19"/>
      <c r="F348" s="20"/>
      <c r="G348" s="20"/>
      <c r="H348" s="20"/>
      <c r="I348" s="20"/>
      <c r="J348" s="20"/>
      <c r="K348" s="20"/>
      <c r="L348" s="20"/>
      <c r="M348" s="20"/>
      <c r="N348" s="20"/>
      <c r="O348" s="20"/>
      <c r="P348" s="20"/>
      <c r="Q348" s="20"/>
      <c r="R348" s="20"/>
      <c r="S348" s="20"/>
      <c r="T348" s="20"/>
      <c r="U348" s="20"/>
      <c r="V348" s="20"/>
      <c r="W348" s="20"/>
      <c r="X348" s="20"/>
      <c r="Y348" s="20"/>
      <c r="Z348" s="20"/>
      <c r="AA348" s="20"/>
      <c r="AB348" s="20"/>
      <c r="AC348" s="20"/>
      <c r="AD348" s="20"/>
      <c r="AE348" s="20"/>
      <c r="AF348" s="20"/>
      <c r="AG348" s="20"/>
      <c r="AH348" s="20"/>
      <c r="AI348" s="20"/>
      <c r="AJ348" s="20"/>
      <c r="AK348" s="20"/>
      <c r="AL348" s="20"/>
      <c r="AM348" s="20"/>
    </row>
    <row r="349" spans="3:39" ht="32.25" customHeight="1" x14ac:dyDescent="0.2">
      <c r="C349" s="17"/>
      <c r="D349" s="18"/>
      <c r="E349" s="19"/>
      <c r="F349" s="20"/>
      <c r="G349" s="20"/>
      <c r="H349" s="20"/>
      <c r="I349" s="20"/>
      <c r="J349" s="20"/>
      <c r="K349" s="20"/>
      <c r="L349" s="20"/>
      <c r="M349" s="20"/>
      <c r="N349" s="20"/>
      <c r="O349" s="20"/>
      <c r="P349" s="20"/>
      <c r="Q349" s="20"/>
      <c r="R349" s="20"/>
      <c r="S349" s="20"/>
      <c r="T349" s="20"/>
      <c r="U349" s="20"/>
      <c r="V349" s="20"/>
      <c r="W349" s="20"/>
      <c r="X349" s="20"/>
      <c r="Y349" s="20"/>
      <c r="Z349" s="20"/>
      <c r="AA349" s="20"/>
      <c r="AB349" s="20"/>
      <c r="AC349" s="20"/>
      <c r="AD349" s="20"/>
      <c r="AE349" s="20"/>
      <c r="AF349" s="20"/>
      <c r="AG349" s="20"/>
      <c r="AH349" s="20"/>
      <c r="AI349" s="20"/>
      <c r="AJ349" s="20"/>
      <c r="AK349" s="20"/>
      <c r="AL349" s="20"/>
      <c r="AM349" s="20"/>
    </row>
    <row r="350" spans="3:39" ht="32.25" customHeight="1" x14ac:dyDescent="0.2">
      <c r="C350" s="17"/>
      <c r="D350" s="18"/>
      <c r="E350" s="19"/>
      <c r="F350" s="20"/>
      <c r="G350" s="20"/>
      <c r="H350" s="20"/>
      <c r="I350" s="20"/>
      <c r="J350" s="20"/>
      <c r="K350" s="20"/>
      <c r="L350" s="20"/>
      <c r="M350" s="20"/>
      <c r="N350" s="20"/>
      <c r="O350" s="20"/>
      <c r="P350" s="20"/>
      <c r="Q350" s="20"/>
      <c r="R350" s="20"/>
      <c r="S350" s="20"/>
      <c r="T350" s="20"/>
      <c r="U350" s="20"/>
      <c r="V350" s="20"/>
      <c r="W350" s="20"/>
      <c r="X350" s="20"/>
      <c r="Y350" s="20"/>
      <c r="Z350" s="20"/>
      <c r="AA350" s="20"/>
      <c r="AB350" s="20"/>
      <c r="AC350" s="20"/>
      <c r="AD350" s="20"/>
      <c r="AE350" s="20"/>
      <c r="AF350" s="20"/>
      <c r="AG350" s="20"/>
      <c r="AH350" s="20"/>
      <c r="AI350" s="20"/>
      <c r="AJ350" s="20"/>
      <c r="AK350" s="20"/>
      <c r="AL350" s="20"/>
      <c r="AM350" s="20"/>
    </row>
    <row r="351" spans="3:39" ht="32.25" customHeight="1" x14ac:dyDescent="0.2">
      <c r="C351" s="17"/>
      <c r="D351" s="18"/>
      <c r="E351" s="19"/>
      <c r="F351" s="20"/>
      <c r="G351" s="20"/>
      <c r="H351" s="20"/>
      <c r="I351" s="20"/>
      <c r="J351" s="20"/>
      <c r="K351" s="20"/>
      <c r="L351" s="20"/>
      <c r="M351" s="20"/>
      <c r="N351" s="20"/>
      <c r="O351" s="20"/>
      <c r="P351" s="20"/>
      <c r="Q351" s="20"/>
      <c r="R351" s="20"/>
      <c r="S351" s="20"/>
      <c r="T351" s="20"/>
      <c r="U351" s="20"/>
      <c r="V351" s="20"/>
      <c r="W351" s="20"/>
      <c r="X351" s="20"/>
      <c r="Y351" s="20"/>
      <c r="Z351" s="20"/>
      <c r="AA351" s="20"/>
      <c r="AB351" s="20"/>
      <c r="AC351" s="20"/>
      <c r="AD351" s="20"/>
      <c r="AE351" s="20"/>
      <c r="AF351" s="20"/>
      <c r="AG351" s="20"/>
      <c r="AH351" s="20"/>
      <c r="AI351" s="20"/>
      <c r="AJ351" s="20"/>
      <c r="AK351" s="20"/>
      <c r="AL351" s="20"/>
      <c r="AM351" s="20"/>
    </row>
    <row r="352" spans="3:39" ht="32.25" customHeight="1" x14ac:dyDescent="0.2">
      <c r="C352" s="17"/>
      <c r="D352" s="18"/>
      <c r="E352" s="19"/>
      <c r="F352" s="20"/>
      <c r="G352" s="20"/>
      <c r="H352" s="20"/>
      <c r="I352" s="20"/>
      <c r="J352" s="20"/>
      <c r="K352" s="20"/>
      <c r="L352" s="20"/>
      <c r="M352" s="20"/>
      <c r="N352" s="20"/>
      <c r="O352" s="20"/>
      <c r="P352" s="20"/>
      <c r="Q352" s="20"/>
      <c r="R352" s="20"/>
      <c r="S352" s="20"/>
      <c r="T352" s="20"/>
      <c r="U352" s="20"/>
      <c r="V352" s="20"/>
      <c r="W352" s="20"/>
      <c r="X352" s="20"/>
      <c r="Y352" s="20"/>
      <c r="Z352" s="20"/>
      <c r="AA352" s="20"/>
      <c r="AB352" s="20"/>
      <c r="AC352" s="20"/>
      <c r="AD352" s="20"/>
      <c r="AE352" s="20"/>
      <c r="AF352" s="20"/>
      <c r="AG352" s="20"/>
      <c r="AH352" s="20"/>
      <c r="AI352" s="20"/>
      <c r="AJ352" s="20"/>
      <c r="AK352" s="20"/>
      <c r="AL352" s="20"/>
      <c r="AM352" s="20"/>
    </row>
    <row r="353" spans="3:39" ht="32.25" customHeight="1" x14ac:dyDescent="0.2">
      <c r="C353" s="17"/>
      <c r="D353" s="18"/>
      <c r="E353" s="19"/>
      <c r="F353" s="20"/>
      <c r="G353" s="20"/>
      <c r="H353" s="20"/>
      <c r="I353" s="20"/>
      <c r="J353" s="20"/>
      <c r="K353" s="20"/>
      <c r="L353" s="20"/>
      <c r="M353" s="20"/>
      <c r="N353" s="20"/>
      <c r="O353" s="20"/>
      <c r="P353" s="20"/>
      <c r="Q353" s="20"/>
      <c r="R353" s="20"/>
      <c r="S353" s="20"/>
      <c r="T353" s="20"/>
      <c r="U353" s="20"/>
      <c r="V353" s="20"/>
      <c r="W353" s="20"/>
      <c r="X353" s="20"/>
      <c r="Y353" s="20"/>
      <c r="Z353" s="20"/>
      <c r="AA353" s="20"/>
      <c r="AB353" s="20"/>
      <c r="AC353" s="20"/>
      <c r="AD353" s="20"/>
      <c r="AE353" s="20"/>
      <c r="AF353" s="20"/>
      <c r="AG353" s="20"/>
      <c r="AH353" s="20"/>
      <c r="AI353" s="20"/>
      <c r="AJ353" s="20"/>
      <c r="AK353" s="20"/>
      <c r="AL353" s="20"/>
      <c r="AM353" s="20"/>
    </row>
    <row r="354" spans="3:39" ht="32.25" customHeight="1" x14ac:dyDescent="0.2">
      <c r="C354" s="17"/>
      <c r="D354" s="18"/>
      <c r="E354" s="19"/>
      <c r="F354" s="20"/>
      <c r="G354" s="20"/>
      <c r="H354" s="20"/>
      <c r="I354" s="20"/>
      <c r="J354" s="20"/>
      <c r="K354" s="20"/>
      <c r="L354" s="20"/>
      <c r="M354" s="20"/>
      <c r="N354" s="20"/>
      <c r="O354" s="20"/>
      <c r="P354" s="20"/>
      <c r="Q354" s="20"/>
      <c r="R354" s="20"/>
      <c r="S354" s="20"/>
      <c r="T354" s="20"/>
      <c r="U354" s="20"/>
      <c r="V354" s="20"/>
      <c r="W354" s="20"/>
      <c r="X354" s="20"/>
      <c r="Y354" s="20"/>
      <c r="Z354" s="20"/>
      <c r="AA354" s="20"/>
      <c r="AB354" s="20"/>
      <c r="AC354" s="20"/>
      <c r="AD354" s="20"/>
      <c r="AE354" s="20"/>
      <c r="AF354" s="20"/>
      <c r="AG354" s="20"/>
      <c r="AH354" s="20"/>
      <c r="AI354" s="20"/>
      <c r="AJ354" s="20"/>
      <c r="AK354" s="20"/>
      <c r="AL354" s="20"/>
      <c r="AM354" s="20"/>
    </row>
    <row r="355" spans="3:39" ht="32.25" customHeight="1" x14ac:dyDescent="0.2">
      <c r="C355" s="17"/>
      <c r="D355" s="18"/>
      <c r="E355" s="19"/>
      <c r="F355" s="20"/>
      <c r="G355" s="20"/>
      <c r="H355" s="20"/>
      <c r="I355" s="20"/>
      <c r="J355" s="20"/>
      <c r="K355" s="20"/>
      <c r="L355" s="20"/>
      <c r="M355" s="20"/>
      <c r="N355" s="20"/>
      <c r="O355" s="20"/>
      <c r="P355" s="20"/>
      <c r="Q355" s="20"/>
      <c r="R355" s="20"/>
      <c r="S355" s="20"/>
      <c r="T355" s="20"/>
      <c r="U355" s="20"/>
      <c r="V355" s="20"/>
      <c r="W355" s="20"/>
      <c r="X355" s="20"/>
      <c r="Y355" s="20"/>
      <c r="Z355" s="20"/>
      <c r="AA355" s="20"/>
      <c r="AB355" s="20"/>
      <c r="AC355" s="20"/>
      <c r="AD355" s="20"/>
      <c r="AE355" s="20"/>
      <c r="AF355" s="20"/>
      <c r="AG355" s="20"/>
      <c r="AH355" s="20"/>
      <c r="AI355" s="20"/>
      <c r="AJ355" s="20"/>
      <c r="AK355" s="20"/>
      <c r="AL355" s="20"/>
      <c r="AM355" s="20"/>
    </row>
    <row r="356" spans="3:39" ht="32.25" customHeight="1" x14ac:dyDescent="0.2">
      <c r="C356" s="17"/>
      <c r="D356" s="18"/>
      <c r="E356" s="19"/>
      <c r="F356" s="20"/>
      <c r="G356" s="20"/>
      <c r="H356" s="20"/>
      <c r="I356" s="20"/>
      <c r="J356" s="20"/>
      <c r="K356" s="20"/>
      <c r="L356" s="20"/>
      <c r="M356" s="20"/>
      <c r="N356" s="20"/>
      <c r="O356" s="20"/>
      <c r="P356" s="20"/>
      <c r="Q356" s="20"/>
      <c r="R356" s="20"/>
      <c r="S356" s="20"/>
      <c r="T356" s="20"/>
      <c r="U356" s="20"/>
      <c r="V356" s="20"/>
      <c r="W356" s="20"/>
      <c r="X356" s="20"/>
      <c r="Y356" s="20"/>
      <c r="Z356" s="20"/>
      <c r="AA356" s="20"/>
      <c r="AB356" s="20"/>
      <c r="AC356" s="20"/>
      <c r="AD356" s="20"/>
      <c r="AE356" s="20"/>
      <c r="AF356" s="20"/>
      <c r="AG356" s="20"/>
      <c r="AH356" s="20"/>
      <c r="AI356" s="20"/>
      <c r="AJ356" s="20"/>
      <c r="AK356" s="20"/>
      <c r="AL356" s="20"/>
      <c r="AM356" s="20"/>
    </row>
    <row r="357" spans="3:39" ht="32.25" customHeight="1" x14ac:dyDescent="0.2">
      <c r="C357" s="17"/>
      <c r="D357" s="18"/>
      <c r="E357" s="19"/>
      <c r="F357" s="20"/>
      <c r="G357" s="20"/>
      <c r="H357" s="20"/>
      <c r="I357" s="20"/>
      <c r="J357" s="20"/>
      <c r="K357" s="20"/>
      <c r="L357" s="20"/>
      <c r="M357" s="20"/>
      <c r="N357" s="20"/>
      <c r="O357" s="20"/>
      <c r="P357" s="20"/>
      <c r="Q357" s="20"/>
      <c r="R357" s="20"/>
      <c r="S357" s="20"/>
      <c r="T357" s="20"/>
      <c r="U357" s="20"/>
      <c r="V357" s="20"/>
      <c r="W357" s="20"/>
      <c r="X357" s="20"/>
      <c r="Y357" s="20"/>
      <c r="Z357" s="20"/>
      <c r="AA357" s="20"/>
      <c r="AB357" s="20"/>
      <c r="AC357" s="20"/>
      <c r="AD357" s="20"/>
      <c r="AE357" s="20"/>
      <c r="AF357" s="20"/>
      <c r="AG357" s="20"/>
      <c r="AH357" s="20"/>
      <c r="AI357" s="20"/>
      <c r="AJ357" s="20"/>
      <c r="AK357" s="20"/>
      <c r="AL357" s="20"/>
      <c r="AM357" s="20"/>
    </row>
    <row r="358" spans="3:39" ht="32.25" customHeight="1" x14ac:dyDescent="0.2">
      <c r="C358" s="17"/>
      <c r="D358" s="18"/>
      <c r="E358" s="19"/>
      <c r="F358" s="20"/>
      <c r="G358" s="20"/>
      <c r="H358" s="20"/>
      <c r="I358" s="20"/>
      <c r="J358" s="20"/>
      <c r="K358" s="20"/>
      <c r="L358" s="20"/>
      <c r="M358" s="20"/>
      <c r="N358" s="20"/>
      <c r="O358" s="20"/>
      <c r="P358" s="20"/>
      <c r="Q358" s="20"/>
      <c r="R358" s="20"/>
      <c r="S358" s="20"/>
      <c r="T358" s="20"/>
      <c r="U358" s="20"/>
      <c r="V358" s="20"/>
      <c r="W358" s="20"/>
      <c r="X358" s="20"/>
      <c r="Y358" s="20"/>
      <c r="Z358" s="20"/>
      <c r="AA358" s="20"/>
      <c r="AB358" s="20"/>
      <c r="AC358" s="20"/>
      <c r="AD358" s="20"/>
      <c r="AE358" s="20"/>
      <c r="AF358" s="20"/>
      <c r="AG358" s="20"/>
      <c r="AH358" s="20"/>
      <c r="AI358" s="20"/>
      <c r="AJ358" s="20"/>
      <c r="AK358" s="20"/>
      <c r="AL358" s="20"/>
      <c r="AM358" s="20"/>
    </row>
    <row r="359" spans="3:39" ht="32.25" customHeight="1" x14ac:dyDescent="0.2">
      <c r="C359" s="17"/>
      <c r="D359" s="18"/>
      <c r="E359" s="19"/>
      <c r="F359" s="20"/>
      <c r="G359" s="20"/>
      <c r="H359" s="20"/>
      <c r="I359" s="20"/>
      <c r="J359" s="20"/>
      <c r="K359" s="20"/>
      <c r="L359" s="20"/>
      <c r="M359" s="20"/>
      <c r="N359" s="20"/>
      <c r="O359" s="20"/>
      <c r="P359" s="20"/>
      <c r="Q359" s="20"/>
      <c r="R359" s="20"/>
      <c r="S359" s="20"/>
      <c r="T359" s="20"/>
      <c r="U359" s="20"/>
      <c r="V359" s="20"/>
      <c r="W359" s="20"/>
      <c r="X359" s="20"/>
      <c r="Y359" s="20"/>
      <c r="Z359" s="20"/>
      <c r="AA359" s="20"/>
      <c r="AB359" s="20"/>
      <c r="AC359" s="20"/>
      <c r="AD359" s="20"/>
      <c r="AE359" s="20"/>
      <c r="AF359" s="20"/>
      <c r="AG359" s="20"/>
      <c r="AH359" s="20"/>
      <c r="AI359" s="20"/>
      <c r="AJ359" s="20"/>
      <c r="AK359" s="20"/>
      <c r="AL359" s="20"/>
      <c r="AM359" s="20"/>
    </row>
    <row r="360" spans="3:39" ht="32.25" customHeight="1" x14ac:dyDescent="0.2">
      <c r="C360" s="17"/>
      <c r="D360" s="18"/>
      <c r="E360" s="19"/>
      <c r="F360" s="20"/>
      <c r="G360" s="20"/>
      <c r="H360" s="20"/>
      <c r="I360" s="20"/>
      <c r="J360" s="20"/>
      <c r="K360" s="20"/>
      <c r="L360" s="20"/>
      <c r="M360" s="20"/>
      <c r="N360" s="20"/>
      <c r="O360" s="20"/>
      <c r="P360" s="20"/>
      <c r="Q360" s="20"/>
      <c r="R360" s="20"/>
      <c r="S360" s="20"/>
      <c r="T360" s="20"/>
      <c r="U360" s="20"/>
      <c r="V360" s="20"/>
      <c r="W360" s="20"/>
      <c r="X360" s="20"/>
      <c r="Y360" s="20"/>
      <c r="Z360" s="20"/>
      <c r="AA360" s="20"/>
      <c r="AB360" s="20"/>
      <c r="AC360" s="20"/>
      <c r="AD360" s="20"/>
      <c r="AE360" s="20"/>
      <c r="AF360" s="20"/>
      <c r="AG360" s="20"/>
      <c r="AH360" s="20"/>
      <c r="AI360" s="20"/>
      <c r="AJ360" s="20"/>
      <c r="AK360" s="20"/>
      <c r="AL360" s="20"/>
      <c r="AM360" s="20"/>
    </row>
    <row r="361" spans="3:39" ht="32.25" customHeight="1" x14ac:dyDescent="0.2">
      <c r="C361" s="17"/>
      <c r="D361" s="18"/>
      <c r="E361" s="19"/>
      <c r="F361" s="20"/>
      <c r="G361" s="20"/>
      <c r="H361" s="20"/>
      <c r="I361" s="20"/>
      <c r="J361" s="20"/>
      <c r="K361" s="20"/>
      <c r="L361" s="20"/>
      <c r="M361" s="20"/>
      <c r="N361" s="20"/>
      <c r="O361" s="20"/>
      <c r="P361" s="20"/>
      <c r="Q361" s="20"/>
      <c r="R361" s="20"/>
      <c r="S361" s="20"/>
      <c r="T361" s="20"/>
      <c r="U361" s="20"/>
      <c r="V361" s="20"/>
      <c r="W361" s="20"/>
      <c r="X361" s="20"/>
      <c r="Y361" s="20"/>
      <c r="Z361" s="20"/>
      <c r="AA361" s="20"/>
      <c r="AB361" s="20"/>
      <c r="AC361" s="20"/>
      <c r="AD361" s="20"/>
      <c r="AE361" s="20"/>
      <c r="AF361" s="20"/>
      <c r="AG361" s="20"/>
      <c r="AH361" s="20"/>
      <c r="AI361" s="20"/>
      <c r="AJ361" s="20"/>
      <c r="AK361" s="20"/>
      <c r="AL361" s="20"/>
      <c r="AM361" s="20"/>
    </row>
    <row r="362" spans="3:39" ht="32.25" customHeight="1" x14ac:dyDescent="0.2">
      <c r="C362" s="17"/>
      <c r="D362" s="18"/>
      <c r="E362" s="19"/>
      <c r="F362" s="20"/>
      <c r="G362" s="20"/>
      <c r="H362" s="20"/>
      <c r="I362" s="20"/>
      <c r="J362" s="20"/>
      <c r="K362" s="20"/>
      <c r="L362" s="20"/>
      <c r="M362" s="20"/>
      <c r="N362" s="20"/>
      <c r="O362" s="20"/>
      <c r="P362" s="20"/>
      <c r="Q362" s="20"/>
      <c r="R362" s="20"/>
      <c r="S362" s="20"/>
      <c r="T362" s="20"/>
      <c r="U362" s="20"/>
      <c r="V362" s="20"/>
      <c r="W362" s="20"/>
      <c r="X362" s="20"/>
      <c r="Y362" s="20"/>
      <c r="Z362" s="20"/>
      <c r="AA362" s="20"/>
      <c r="AB362" s="20"/>
      <c r="AC362" s="20"/>
      <c r="AD362" s="20"/>
      <c r="AE362" s="20"/>
      <c r="AF362" s="20"/>
      <c r="AG362" s="20"/>
      <c r="AH362" s="20"/>
      <c r="AI362" s="20"/>
      <c r="AJ362" s="20"/>
      <c r="AK362" s="20"/>
      <c r="AL362" s="20"/>
      <c r="AM362" s="20"/>
    </row>
    <row r="363" spans="3:39" ht="32.25" customHeight="1" x14ac:dyDescent="0.2">
      <c r="C363" s="17"/>
      <c r="D363" s="18"/>
      <c r="E363" s="19"/>
      <c r="F363" s="20"/>
      <c r="G363" s="20"/>
      <c r="H363" s="20"/>
      <c r="I363" s="20"/>
      <c r="J363" s="20"/>
      <c r="K363" s="20"/>
      <c r="L363" s="20"/>
      <c r="M363" s="20"/>
      <c r="N363" s="20"/>
      <c r="O363" s="20"/>
      <c r="P363" s="20"/>
      <c r="Q363" s="20"/>
      <c r="R363" s="20"/>
      <c r="S363" s="20"/>
      <c r="T363" s="20"/>
      <c r="U363" s="20"/>
      <c r="V363" s="20"/>
      <c r="W363" s="20"/>
      <c r="X363" s="20"/>
      <c r="Y363" s="20"/>
      <c r="Z363" s="20"/>
      <c r="AA363" s="20"/>
      <c r="AB363" s="20"/>
      <c r="AC363" s="20"/>
      <c r="AD363" s="20"/>
      <c r="AE363" s="20"/>
      <c r="AF363" s="20"/>
      <c r="AG363" s="20"/>
      <c r="AH363" s="20"/>
      <c r="AI363" s="20"/>
      <c r="AJ363" s="20"/>
      <c r="AK363" s="20"/>
      <c r="AL363" s="20"/>
      <c r="AM363" s="20"/>
    </row>
    <row r="364" spans="3:39" ht="32.25" customHeight="1" x14ac:dyDescent="0.2">
      <c r="C364" s="17"/>
      <c r="D364" s="18"/>
      <c r="E364" s="19"/>
      <c r="F364" s="20"/>
      <c r="G364" s="20"/>
      <c r="H364" s="20"/>
      <c r="I364" s="20"/>
      <c r="J364" s="20"/>
      <c r="K364" s="20"/>
      <c r="L364" s="20"/>
      <c r="M364" s="20"/>
      <c r="N364" s="20"/>
      <c r="O364" s="20"/>
      <c r="P364" s="20"/>
      <c r="Q364" s="20"/>
      <c r="R364" s="20"/>
      <c r="S364" s="20"/>
      <c r="T364" s="20"/>
      <c r="U364" s="20"/>
      <c r="V364" s="20"/>
      <c r="W364" s="20"/>
      <c r="X364" s="20"/>
      <c r="Y364" s="20"/>
      <c r="Z364" s="20"/>
      <c r="AA364" s="20"/>
      <c r="AB364" s="20"/>
      <c r="AC364" s="20"/>
      <c r="AD364" s="20"/>
      <c r="AE364" s="20"/>
      <c r="AF364" s="20"/>
      <c r="AG364" s="20"/>
      <c r="AH364" s="20"/>
      <c r="AI364" s="20"/>
      <c r="AJ364" s="20"/>
      <c r="AK364" s="20"/>
      <c r="AL364" s="20"/>
      <c r="AM364" s="20"/>
    </row>
    <row r="365" spans="3:39" ht="32.25" customHeight="1" x14ac:dyDescent="0.2">
      <c r="C365" s="17"/>
      <c r="D365" s="18"/>
      <c r="E365" s="19"/>
      <c r="F365" s="20"/>
      <c r="G365" s="20"/>
      <c r="H365" s="20"/>
      <c r="I365" s="20"/>
      <c r="J365" s="20"/>
      <c r="K365" s="20"/>
      <c r="L365" s="20"/>
      <c r="M365" s="20"/>
      <c r="N365" s="20"/>
      <c r="O365" s="20"/>
      <c r="P365" s="20"/>
      <c r="Q365" s="20"/>
      <c r="R365" s="20"/>
      <c r="S365" s="20"/>
      <c r="T365" s="20"/>
      <c r="U365" s="20"/>
      <c r="V365" s="20"/>
      <c r="W365" s="20"/>
      <c r="X365" s="20"/>
      <c r="Y365" s="20"/>
      <c r="Z365" s="20"/>
      <c r="AA365" s="20"/>
      <c r="AB365" s="20"/>
      <c r="AC365" s="20"/>
      <c r="AD365" s="20"/>
      <c r="AE365" s="20"/>
      <c r="AF365" s="20"/>
      <c r="AG365" s="20"/>
      <c r="AH365" s="20"/>
      <c r="AI365" s="20"/>
      <c r="AJ365" s="20"/>
      <c r="AK365" s="20"/>
      <c r="AL365" s="20"/>
      <c r="AM365" s="20"/>
    </row>
    <row r="366" spans="3:39" ht="32.25" customHeight="1" x14ac:dyDescent="0.2">
      <c r="C366" s="17"/>
      <c r="D366" s="18"/>
      <c r="E366" s="19"/>
      <c r="F366" s="20"/>
      <c r="G366" s="20"/>
      <c r="H366" s="20"/>
      <c r="I366" s="20"/>
      <c r="J366" s="20"/>
      <c r="K366" s="20"/>
      <c r="L366" s="20"/>
      <c r="M366" s="20"/>
      <c r="N366" s="20"/>
      <c r="O366" s="20"/>
      <c r="P366" s="20"/>
      <c r="Q366" s="20"/>
      <c r="R366" s="20"/>
      <c r="S366" s="20"/>
      <c r="T366" s="20"/>
      <c r="U366" s="20"/>
      <c r="V366" s="20"/>
      <c r="W366" s="20"/>
      <c r="X366" s="20"/>
      <c r="Y366" s="20"/>
      <c r="Z366" s="20"/>
      <c r="AA366" s="20"/>
      <c r="AB366" s="20"/>
      <c r="AC366" s="20"/>
      <c r="AD366" s="20"/>
      <c r="AE366" s="20"/>
      <c r="AF366" s="20"/>
      <c r="AG366" s="20"/>
      <c r="AH366" s="20"/>
      <c r="AI366" s="20"/>
      <c r="AJ366" s="20"/>
      <c r="AK366" s="20"/>
      <c r="AL366" s="20"/>
      <c r="AM366" s="20"/>
    </row>
    <row r="367" spans="3:39" ht="32.25" customHeight="1" x14ac:dyDescent="0.2">
      <c r="C367" s="17"/>
      <c r="D367" s="18"/>
      <c r="E367" s="19"/>
      <c r="F367" s="20"/>
      <c r="G367" s="20"/>
      <c r="H367" s="20"/>
      <c r="I367" s="20"/>
      <c r="J367" s="20"/>
      <c r="K367" s="20"/>
      <c r="L367" s="20"/>
      <c r="M367" s="20"/>
      <c r="N367" s="20"/>
      <c r="O367" s="20"/>
      <c r="P367" s="20"/>
      <c r="Q367" s="20"/>
      <c r="R367" s="20"/>
      <c r="S367" s="20"/>
      <c r="T367" s="20"/>
      <c r="U367" s="20"/>
      <c r="V367" s="20"/>
      <c r="W367" s="20"/>
      <c r="X367" s="20"/>
      <c r="Y367" s="20"/>
      <c r="Z367" s="20"/>
      <c r="AA367" s="20"/>
      <c r="AB367" s="20"/>
      <c r="AC367" s="20"/>
      <c r="AD367" s="20"/>
      <c r="AE367" s="20"/>
      <c r="AF367" s="20"/>
      <c r="AG367" s="20"/>
      <c r="AH367" s="20"/>
      <c r="AI367" s="20"/>
      <c r="AJ367" s="20"/>
      <c r="AK367" s="20"/>
      <c r="AL367" s="20"/>
      <c r="AM367" s="20"/>
    </row>
    <row r="368" spans="3:39" ht="32.25" customHeight="1" x14ac:dyDescent="0.2">
      <c r="C368" s="17"/>
      <c r="D368" s="18"/>
      <c r="E368" s="19"/>
      <c r="F368" s="20"/>
      <c r="G368" s="20"/>
      <c r="H368" s="20"/>
      <c r="I368" s="20"/>
      <c r="J368" s="20"/>
      <c r="K368" s="20"/>
      <c r="L368" s="20"/>
      <c r="M368" s="20"/>
      <c r="N368" s="20"/>
      <c r="O368" s="20"/>
      <c r="P368" s="20"/>
      <c r="Q368" s="20"/>
      <c r="R368" s="20"/>
      <c r="S368" s="20"/>
      <c r="T368" s="20"/>
      <c r="U368" s="20"/>
      <c r="V368" s="20"/>
      <c r="W368" s="20"/>
      <c r="X368" s="20"/>
      <c r="Y368" s="20"/>
      <c r="Z368" s="20"/>
      <c r="AA368" s="20"/>
      <c r="AB368" s="20"/>
      <c r="AC368" s="20"/>
      <c r="AD368" s="20"/>
      <c r="AE368" s="20"/>
      <c r="AF368" s="20"/>
      <c r="AG368" s="20"/>
      <c r="AH368" s="20"/>
      <c r="AI368" s="20"/>
      <c r="AJ368" s="20"/>
      <c r="AK368" s="20"/>
      <c r="AL368" s="20"/>
      <c r="AM368" s="20"/>
    </row>
    <row r="369" spans="3:39" ht="32.25" customHeight="1" x14ac:dyDescent="0.2">
      <c r="C369" s="17"/>
      <c r="D369" s="18"/>
      <c r="E369" s="19"/>
      <c r="F369" s="20"/>
      <c r="G369" s="20"/>
      <c r="H369" s="20"/>
      <c r="I369" s="20"/>
      <c r="J369" s="20"/>
      <c r="K369" s="20"/>
      <c r="L369" s="20"/>
      <c r="M369" s="20"/>
      <c r="N369" s="20"/>
      <c r="O369" s="20"/>
      <c r="P369" s="20"/>
      <c r="Q369" s="20"/>
      <c r="R369" s="20"/>
      <c r="S369" s="20"/>
      <c r="T369" s="20"/>
      <c r="U369" s="20"/>
      <c r="V369" s="20"/>
      <c r="W369" s="20"/>
      <c r="X369" s="20"/>
      <c r="Y369" s="20"/>
      <c r="Z369" s="20"/>
      <c r="AA369" s="20"/>
      <c r="AB369" s="20"/>
      <c r="AC369" s="20"/>
      <c r="AD369" s="20"/>
      <c r="AE369" s="20"/>
      <c r="AF369" s="20"/>
      <c r="AG369" s="20"/>
      <c r="AH369" s="20"/>
      <c r="AI369" s="20"/>
      <c r="AJ369" s="20"/>
      <c r="AK369" s="20"/>
      <c r="AL369" s="20"/>
      <c r="AM369" s="20"/>
    </row>
    <row r="370" spans="3:39" ht="32.25" customHeight="1" x14ac:dyDescent="0.2">
      <c r="C370" s="17"/>
      <c r="D370" s="18"/>
      <c r="E370" s="19"/>
      <c r="F370" s="20"/>
      <c r="G370" s="20"/>
      <c r="H370" s="20"/>
      <c r="I370" s="20"/>
      <c r="J370" s="20"/>
      <c r="K370" s="20"/>
      <c r="L370" s="20"/>
      <c r="M370" s="20"/>
      <c r="N370" s="20"/>
      <c r="O370" s="20"/>
      <c r="P370" s="20"/>
      <c r="Q370" s="20"/>
      <c r="R370" s="20"/>
      <c r="S370" s="20"/>
      <c r="T370" s="20"/>
      <c r="U370" s="20"/>
      <c r="V370" s="20"/>
      <c r="W370" s="20"/>
      <c r="X370" s="20"/>
      <c r="Y370" s="20"/>
      <c r="Z370" s="20"/>
      <c r="AA370" s="20"/>
      <c r="AB370" s="20"/>
      <c r="AC370" s="20"/>
      <c r="AD370" s="20"/>
      <c r="AE370" s="20"/>
      <c r="AF370" s="20"/>
      <c r="AG370" s="20"/>
      <c r="AH370" s="20"/>
      <c r="AI370" s="20"/>
      <c r="AJ370" s="20"/>
      <c r="AK370" s="20"/>
      <c r="AL370" s="20"/>
      <c r="AM370" s="20"/>
    </row>
    <row r="371" spans="3:39" ht="32.25" customHeight="1" x14ac:dyDescent="0.2">
      <c r="C371" s="17"/>
      <c r="D371" s="18"/>
      <c r="E371" s="19"/>
      <c r="F371" s="20"/>
      <c r="G371" s="20"/>
      <c r="H371" s="20"/>
      <c r="I371" s="20"/>
      <c r="J371" s="20"/>
      <c r="K371" s="20"/>
      <c r="L371" s="20"/>
      <c r="M371" s="20"/>
      <c r="N371" s="20"/>
      <c r="O371" s="20"/>
      <c r="P371" s="20"/>
      <c r="Q371" s="20"/>
      <c r="R371" s="20"/>
      <c r="S371" s="20"/>
      <c r="T371" s="20"/>
      <c r="U371" s="20"/>
      <c r="V371" s="20"/>
      <c r="W371" s="20"/>
      <c r="X371" s="20"/>
      <c r="Y371" s="20"/>
      <c r="Z371" s="20"/>
      <c r="AA371" s="20"/>
      <c r="AB371" s="20"/>
      <c r="AC371" s="20"/>
      <c r="AD371" s="20"/>
      <c r="AE371" s="20"/>
      <c r="AF371" s="20"/>
      <c r="AG371" s="20"/>
      <c r="AH371" s="20"/>
      <c r="AI371" s="20"/>
      <c r="AJ371" s="20"/>
      <c r="AK371" s="20"/>
      <c r="AL371" s="20"/>
      <c r="AM371" s="20"/>
    </row>
    <row r="372" spans="3:39" ht="32.25" customHeight="1" x14ac:dyDescent="0.2">
      <c r="C372" s="17"/>
      <c r="D372" s="18"/>
      <c r="E372" s="19"/>
      <c r="F372" s="20"/>
      <c r="G372" s="20"/>
      <c r="H372" s="20"/>
      <c r="I372" s="20"/>
      <c r="J372" s="20"/>
      <c r="K372" s="20"/>
      <c r="L372" s="20"/>
      <c r="M372" s="20"/>
      <c r="N372" s="20"/>
      <c r="O372" s="20"/>
      <c r="P372" s="20"/>
      <c r="Q372" s="20"/>
      <c r="R372" s="20"/>
      <c r="S372" s="20"/>
      <c r="T372" s="20"/>
      <c r="U372" s="20"/>
      <c r="V372" s="20"/>
      <c r="W372" s="20"/>
      <c r="X372" s="20"/>
      <c r="Y372" s="20"/>
      <c r="Z372" s="20"/>
      <c r="AA372" s="20"/>
      <c r="AB372" s="20"/>
      <c r="AC372" s="20"/>
      <c r="AD372" s="20"/>
      <c r="AE372" s="20"/>
      <c r="AF372" s="20"/>
      <c r="AG372" s="20"/>
      <c r="AH372" s="20"/>
      <c r="AI372" s="20"/>
      <c r="AJ372" s="20"/>
      <c r="AK372" s="20"/>
      <c r="AL372" s="20"/>
      <c r="AM372" s="20"/>
    </row>
    <row r="373" spans="3:39" ht="32.25" customHeight="1" x14ac:dyDescent="0.2">
      <c r="C373" s="17"/>
      <c r="D373" s="18"/>
      <c r="E373" s="19"/>
      <c r="F373" s="20"/>
      <c r="G373" s="20"/>
      <c r="H373" s="20"/>
      <c r="I373" s="20"/>
      <c r="J373" s="20"/>
      <c r="K373" s="20"/>
      <c r="L373" s="20"/>
      <c r="M373" s="20"/>
      <c r="N373" s="20"/>
      <c r="O373" s="20"/>
      <c r="P373" s="20"/>
      <c r="Q373" s="20"/>
      <c r="R373" s="20"/>
      <c r="S373" s="20"/>
      <c r="T373" s="20"/>
      <c r="U373" s="20"/>
      <c r="V373" s="20"/>
      <c r="W373" s="20"/>
      <c r="X373" s="20"/>
      <c r="Y373" s="20"/>
      <c r="Z373" s="20"/>
      <c r="AA373" s="20"/>
      <c r="AB373" s="20"/>
      <c r="AC373" s="20"/>
      <c r="AD373" s="20"/>
      <c r="AE373" s="20"/>
      <c r="AF373" s="20"/>
      <c r="AG373" s="20"/>
      <c r="AH373" s="20"/>
      <c r="AI373" s="20"/>
      <c r="AJ373" s="20"/>
      <c r="AK373" s="20"/>
      <c r="AL373" s="20"/>
      <c r="AM373" s="20"/>
    </row>
    <row r="374" spans="3:39" ht="32.25" customHeight="1" x14ac:dyDescent="0.2">
      <c r="C374" s="17"/>
      <c r="D374" s="18"/>
      <c r="E374" s="19"/>
      <c r="F374" s="20"/>
      <c r="G374" s="20"/>
      <c r="H374" s="20"/>
      <c r="I374" s="20"/>
      <c r="J374" s="20"/>
      <c r="K374" s="20"/>
      <c r="L374" s="20"/>
      <c r="M374" s="20"/>
      <c r="N374" s="20"/>
      <c r="O374" s="20"/>
      <c r="P374" s="20"/>
      <c r="Q374" s="20"/>
      <c r="R374" s="20"/>
      <c r="S374" s="20"/>
      <c r="T374" s="20"/>
      <c r="U374" s="20"/>
      <c r="V374" s="20"/>
      <c r="W374" s="20"/>
      <c r="X374" s="20"/>
      <c r="Y374" s="20"/>
      <c r="Z374" s="20"/>
      <c r="AA374" s="20"/>
      <c r="AB374" s="20"/>
      <c r="AC374" s="20"/>
      <c r="AD374" s="20"/>
      <c r="AE374" s="20"/>
      <c r="AF374" s="20"/>
      <c r="AG374" s="20"/>
      <c r="AH374" s="20"/>
      <c r="AI374" s="20"/>
      <c r="AJ374" s="20"/>
      <c r="AK374" s="20"/>
      <c r="AL374" s="20"/>
      <c r="AM374" s="20"/>
    </row>
    <row r="375" spans="3:39" ht="32.25" customHeight="1" x14ac:dyDescent="0.2">
      <c r="C375" s="17"/>
      <c r="D375" s="18"/>
      <c r="E375" s="19"/>
      <c r="F375" s="20"/>
      <c r="G375" s="20"/>
      <c r="H375" s="20"/>
      <c r="I375" s="20"/>
      <c r="J375" s="20"/>
      <c r="K375" s="20"/>
      <c r="L375" s="20"/>
      <c r="M375" s="20"/>
      <c r="N375" s="20"/>
      <c r="O375" s="20"/>
      <c r="P375" s="20"/>
      <c r="Q375" s="20"/>
      <c r="R375" s="20"/>
      <c r="S375" s="20"/>
      <c r="T375" s="20"/>
      <c r="U375" s="20"/>
      <c r="V375" s="20"/>
      <c r="W375" s="20"/>
      <c r="X375" s="20"/>
      <c r="Y375" s="20"/>
      <c r="Z375" s="20"/>
      <c r="AA375" s="20"/>
      <c r="AB375" s="20"/>
      <c r="AC375" s="20"/>
      <c r="AD375" s="20"/>
      <c r="AE375" s="20"/>
      <c r="AF375" s="20"/>
      <c r="AG375" s="20"/>
      <c r="AH375" s="20"/>
      <c r="AI375" s="20"/>
      <c r="AJ375" s="20"/>
      <c r="AK375" s="20"/>
      <c r="AL375" s="20"/>
      <c r="AM375" s="20"/>
    </row>
    <row r="376" spans="3:39" ht="32.25" customHeight="1" x14ac:dyDescent="0.2">
      <c r="C376" s="17"/>
      <c r="D376" s="18"/>
      <c r="E376" s="19"/>
      <c r="F376" s="20"/>
      <c r="G376" s="20"/>
      <c r="H376" s="20"/>
      <c r="I376" s="20"/>
      <c r="J376" s="20"/>
      <c r="K376" s="20"/>
      <c r="L376" s="20"/>
      <c r="M376" s="20"/>
      <c r="N376" s="20"/>
      <c r="O376" s="20"/>
      <c r="P376" s="20"/>
      <c r="Q376" s="20"/>
      <c r="R376" s="20"/>
      <c r="S376" s="20"/>
      <c r="T376" s="20"/>
      <c r="U376" s="20"/>
      <c r="V376" s="20"/>
      <c r="W376" s="20"/>
      <c r="X376" s="20"/>
      <c r="Y376" s="20"/>
      <c r="Z376" s="20"/>
      <c r="AA376" s="20"/>
      <c r="AB376" s="20"/>
      <c r="AC376" s="20"/>
      <c r="AD376" s="20"/>
      <c r="AE376" s="20"/>
      <c r="AF376" s="20"/>
      <c r="AG376" s="20"/>
      <c r="AH376" s="20"/>
      <c r="AI376" s="20"/>
      <c r="AJ376" s="20"/>
      <c r="AK376" s="20"/>
      <c r="AL376" s="20"/>
      <c r="AM376" s="20"/>
    </row>
    <row r="377" spans="3:39" ht="32.25" customHeight="1" x14ac:dyDescent="0.2">
      <c r="C377" s="17"/>
      <c r="D377" s="18"/>
      <c r="E377" s="19"/>
      <c r="F377" s="20"/>
      <c r="G377" s="20"/>
      <c r="H377" s="20"/>
      <c r="I377" s="20"/>
      <c r="J377" s="20"/>
      <c r="K377" s="20"/>
      <c r="L377" s="20"/>
      <c r="M377" s="20"/>
      <c r="N377" s="20"/>
      <c r="O377" s="20"/>
      <c r="P377" s="20"/>
      <c r="Q377" s="20"/>
      <c r="R377" s="20"/>
      <c r="S377" s="20"/>
      <c r="T377" s="20"/>
      <c r="U377" s="20"/>
      <c r="V377" s="20"/>
      <c r="W377" s="20"/>
      <c r="X377" s="20"/>
      <c r="Y377" s="20"/>
      <c r="Z377" s="20"/>
      <c r="AA377" s="20"/>
      <c r="AB377" s="20"/>
      <c r="AC377" s="20"/>
      <c r="AD377" s="20"/>
      <c r="AE377" s="20"/>
      <c r="AF377" s="20"/>
      <c r="AG377" s="20"/>
      <c r="AH377" s="20"/>
      <c r="AI377" s="20"/>
      <c r="AJ377" s="20"/>
      <c r="AK377" s="20"/>
      <c r="AL377" s="20"/>
      <c r="AM377" s="20"/>
    </row>
    <row r="378" spans="3:39" ht="32.25" customHeight="1" x14ac:dyDescent="0.2">
      <c r="C378" s="17"/>
      <c r="D378" s="18"/>
      <c r="E378" s="19"/>
      <c r="F378" s="20"/>
      <c r="G378" s="20"/>
      <c r="H378" s="20"/>
      <c r="I378" s="20"/>
      <c r="J378" s="20"/>
      <c r="K378" s="20"/>
      <c r="L378" s="20"/>
      <c r="M378" s="20"/>
      <c r="N378" s="20"/>
      <c r="O378" s="20"/>
      <c r="P378" s="20"/>
      <c r="Q378" s="20"/>
      <c r="R378" s="20"/>
      <c r="S378" s="20"/>
      <c r="T378" s="20"/>
      <c r="U378" s="20"/>
      <c r="V378" s="20"/>
      <c r="W378" s="20"/>
      <c r="X378" s="20"/>
      <c r="Y378" s="20"/>
      <c r="Z378" s="20"/>
      <c r="AA378" s="20"/>
      <c r="AB378" s="20"/>
      <c r="AC378" s="20"/>
      <c r="AD378" s="20"/>
      <c r="AE378" s="20"/>
      <c r="AF378" s="20"/>
      <c r="AG378" s="20"/>
      <c r="AH378" s="20"/>
      <c r="AI378" s="20"/>
      <c r="AJ378" s="20"/>
      <c r="AK378" s="20"/>
      <c r="AL378" s="20"/>
      <c r="AM378" s="20"/>
    </row>
    <row r="379" spans="3:39" ht="32.25" customHeight="1" x14ac:dyDescent="0.2">
      <c r="C379" s="17"/>
      <c r="D379" s="18"/>
      <c r="E379" s="19"/>
      <c r="F379" s="20"/>
      <c r="G379" s="20"/>
      <c r="H379" s="20"/>
      <c r="I379" s="20"/>
      <c r="J379" s="20"/>
      <c r="K379" s="20"/>
      <c r="L379" s="20"/>
      <c r="M379" s="20"/>
      <c r="N379" s="20"/>
      <c r="O379" s="20"/>
      <c r="P379" s="20"/>
      <c r="Q379" s="20"/>
      <c r="R379" s="20"/>
      <c r="S379" s="20"/>
      <c r="T379" s="20"/>
      <c r="U379" s="20"/>
      <c r="V379" s="20"/>
      <c r="W379" s="20"/>
      <c r="X379" s="20"/>
      <c r="Y379" s="20"/>
      <c r="Z379" s="20"/>
      <c r="AA379" s="20"/>
      <c r="AB379" s="20"/>
      <c r="AC379" s="20"/>
      <c r="AD379" s="20"/>
      <c r="AE379" s="20"/>
      <c r="AF379" s="20"/>
      <c r="AG379" s="20"/>
      <c r="AH379" s="20"/>
      <c r="AI379" s="20"/>
      <c r="AJ379" s="20"/>
      <c r="AK379" s="20"/>
      <c r="AL379" s="20"/>
      <c r="AM379" s="20"/>
    </row>
    <row r="380" spans="3:39" ht="32.25" customHeight="1" x14ac:dyDescent="0.2">
      <c r="C380" s="17"/>
      <c r="D380" s="18"/>
      <c r="E380" s="19"/>
      <c r="F380" s="20"/>
      <c r="G380" s="20"/>
      <c r="H380" s="20"/>
      <c r="I380" s="20"/>
      <c r="J380" s="20"/>
      <c r="K380" s="20"/>
      <c r="L380" s="20"/>
      <c r="M380" s="20"/>
      <c r="N380" s="20"/>
      <c r="O380" s="20"/>
      <c r="P380" s="20"/>
      <c r="Q380" s="20"/>
      <c r="R380" s="20"/>
      <c r="S380" s="20"/>
      <c r="T380" s="20"/>
      <c r="U380" s="20"/>
      <c r="V380" s="20"/>
      <c r="W380" s="20"/>
      <c r="X380" s="20"/>
      <c r="Y380" s="20"/>
      <c r="Z380" s="20"/>
      <c r="AA380" s="20"/>
      <c r="AB380" s="20"/>
      <c r="AC380" s="20"/>
      <c r="AD380" s="20"/>
      <c r="AE380" s="20"/>
      <c r="AF380" s="20"/>
      <c r="AG380" s="20"/>
      <c r="AH380" s="20"/>
      <c r="AI380" s="20"/>
      <c r="AJ380" s="20"/>
      <c r="AK380" s="20"/>
      <c r="AL380" s="20"/>
      <c r="AM380" s="20"/>
    </row>
    <row r="381" spans="3:39" ht="32.25" customHeight="1" x14ac:dyDescent="0.2">
      <c r="C381" s="17"/>
      <c r="D381" s="18"/>
      <c r="E381" s="19"/>
      <c r="F381" s="20"/>
      <c r="G381" s="20"/>
      <c r="H381" s="20"/>
      <c r="I381" s="20"/>
      <c r="J381" s="20"/>
      <c r="K381" s="20"/>
      <c r="L381" s="20"/>
      <c r="M381" s="20"/>
      <c r="N381" s="20"/>
      <c r="O381" s="20"/>
      <c r="P381" s="20"/>
      <c r="Q381" s="20"/>
      <c r="R381" s="20"/>
      <c r="S381" s="20"/>
      <c r="T381" s="20"/>
      <c r="U381" s="20"/>
      <c r="V381" s="20"/>
      <c r="W381" s="20"/>
      <c r="X381" s="20"/>
      <c r="Y381" s="20"/>
      <c r="Z381" s="20"/>
      <c r="AA381" s="20"/>
      <c r="AB381" s="20"/>
      <c r="AC381" s="20"/>
      <c r="AD381" s="20"/>
      <c r="AE381" s="20"/>
      <c r="AF381" s="20"/>
      <c r="AG381" s="20"/>
      <c r="AH381" s="20"/>
      <c r="AI381" s="20"/>
      <c r="AJ381" s="20"/>
      <c r="AK381" s="20"/>
      <c r="AL381" s="20"/>
      <c r="AM381" s="20"/>
    </row>
    <row r="382" spans="3:39" ht="32.25" customHeight="1" x14ac:dyDescent="0.2">
      <c r="C382" s="17"/>
      <c r="D382" s="18"/>
      <c r="E382" s="19"/>
      <c r="F382" s="20"/>
      <c r="G382" s="20"/>
      <c r="H382" s="20"/>
      <c r="I382" s="20"/>
      <c r="J382" s="20"/>
      <c r="K382" s="20"/>
      <c r="L382" s="20"/>
      <c r="M382" s="20"/>
      <c r="N382" s="20"/>
      <c r="O382" s="20"/>
      <c r="P382" s="20"/>
      <c r="Q382" s="20"/>
      <c r="R382" s="20"/>
      <c r="S382" s="20"/>
      <c r="T382" s="20"/>
      <c r="U382" s="20"/>
      <c r="V382" s="20"/>
      <c r="W382" s="20"/>
      <c r="X382" s="20"/>
      <c r="Y382" s="20"/>
      <c r="Z382" s="20"/>
      <c r="AA382" s="20"/>
      <c r="AB382" s="20"/>
      <c r="AC382" s="20"/>
      <c r="AD382" s="20"/>
      <c r="AE382" s="20"/>
      <c r="AF382" s="20"/>
      <c r="AG382" s="20"/>
      <c r="AH382" s="20"/>
      <c r="AI382" s="20"/>
      <c r="AJ382" s="20"/>
      <c r="AK382" s="20"/>
      <c r="AL382" s="20"/>
      <c r="AM382" s="20"/>
    </row>
    <row r="383" spans="3:39" ht="32.25" customHeight="1" x14ac:dyDescent="0.2">
      <c r="C383" s="17"/>
      <c r="D383" s="18"/>
      <c r="E383" s="19"/>
      <c r="F383" s="20"/>
      <c r="G383" s="20"/>
      <c r="H383" s="20"/>
      <c r="I383" s="20"/>
      <c r="J383" s="20"/>
      <c r="K383" s="20"/>
      <c r="L383" s="20"/>
      <c r="M383" s="20"/>
      <c r="N383" s="20"/>
      <c r="O383" s="20"/>
      <c r="P383" s="20"/>
      <c r="Q383" s="20"/>
      <c r="R383" s="20"/>
      <c r="S383" s="20"/>
      <c r="T383" s="20"/>
      <c r="U383" s="20"/>
      <c r="V383" s="20"/>
      <c r="W383" s="20"/>
      <c r="X383" s="20"/>
      <c r="Y383" s="20"/>
      <c r="Z383" s="20"/>
      <c r="AA383" s="20"/>
      <c r="AB383" s="20"/>
      <c r="AC383" s="20"/>
      <c r="AD383" s="20"/>
      <c r="AE383" s="20"/>
      <c r="AF383" s="20"/>
      <c r="AG383" s="20"/>
      <c r="AH383" s="20"/>
      <c r="AI383" s="20"/>
      <c r="AJ383" s="20"/>
      <c r="AK383" s="20"/>
      <c r="AL383" s="20"/>
      <c r="AM383" s="20"/>
    </row>
    <row r="384" spans="3:39" ht="32.25" customHeight="1" x14ac:dyDescent="0.2">
      <c r="C384" s="17"/>
      <c r="D384" s="18"/>
      <c r="E384" s="19"/>
      <c r="F384" s="20"/>
      <c r="G384" s="20"/>
      <c r="H384" s="20"/>
      <c r="I384" s="20"/>
      <c r="J384" s="20"/>
      <c r="K384" s="20"/>
      <c r="L384" s="20"/>
      <c r="M384" s="20"/>
      <c r="N384" s="20"/>
      <c r="O384" s="20"/>
      <c r="P384" s="20"/>
      <c r="Q384" s="20"/>
      <c r="R384" s="20"/>
      <c r="S384" s="20"/>
      <c r="T384" s="20"/>
      <c r="U384" s="20"/>
      <c r="V384" s="20"/>
      <c r="W384" s="20"/>
      <c r="X384" s="20"/>
      <c r="Y384" s="20"/>
      <c r="Z384" s="20"/>
      <c r="AA384" s="20"/>
      <c r="AB384" s="20"/>
      <c r="AC384" s="20"/>
      <c r="AD384" s="20"/>
      <c r="AE384" s="20"/>
      <c r="AF384" s="20"/>
      <c r="AG384" s="20"/>
      <c r="AH384" s="20"/>
      <c r="AI384" s="20"/>
      <c r="AJ384" s="20"/>
      <c r="AK384" s="20"/>
      <c r="AL384" s="20"/>
      <c r="AM384" s="20"/>
    </row>
    <row r="385" spans="3:39" ht="32.25" customHeight="1" x14ac:dyDescent="0.2">
      <c r="C385" s="17"/>
      <c r="D385" s="18"/>
      <c r="E385" s="19"/>
      <c r="F385" s="20"/>
      <c r="G385" s="20"/>
      <c r="H385" s="20"/>
      <c r="I385" s="20"/>
      <c r="J385" s="20"/>
      <c r="K385" s="20"/>
      <c r="L385" s="20"/>
      <c r="M385" s="20"/>
      <c r="N385" s="20"/>
      <c r="O385" s="20"/>
      <c r="P385" s="20"/>
      <c r="Q385" s="20"/>
      <c r="R385" s="20"/>
      <c r="S385" s="20"/>
      <c r="T385" s="20"/>
      <c r="U385" s="20"/>
      <c r="V385" s="20"/>
      <c r="W385" s="20"/>
      <c r="X385" s="20"/>
      <c r="Y385" s="20"/>
      <c r="Z385" s="20"/>
      <c r="AA385" s="20"/>
      <c r="AB385" s="20"/>
      <c r="AC385" s="20"/>
      <c r="AD385" s="20"/>
      <c r="AE385" s="20"/>
      <c r="AF385" s="20"/>
      <c r="AG385" s="20"/>
      <c r="AH385" s="20"/>
      <c r="AI385" s="20"/>
      <c r="AJ385" s="20"/>
      <c r="AK385" s="20"/>
      <c r="AL385" s="20"/>
      <c r="AM385" s="20"/>
    </row>
    <row r="386" spans="3:39" ht="32.25" customHeight="1" x14ac:dyDescent="0.2">
      <c r="C386" s="17"/>
      <c r="D386" s="18"/>
      <c r="E386" s="19"/>
      <c r="F386" s="20"/>
      <c r="G386" s="20"/>
      <c r="H386" s="20"/>
      <c r="I386" s="20"/>
      <c r="J386" s="20"/>
      <c r="K386" s="20"/>
      <c r="L386" s="20"/>
      <c r="M386" s="20"/>
      <c r="N386" s="20"/>
      <c r="O386" s="20"/>
      <c r="P386" s="20"/>
      <c r="Q386" s="20"/>
      <c r="R386" s="20"/>
      <c r="S386" s="20"/>
      <c r="T386" s="20"/>
      <c r="U386" s="20"/>
      <c r="V386" s="20"/>
      <c r="W386" s="20"/>
      <c r="X386" s="20"/>
      <c r="Y386" s="20"/>
      <c r="Z386" s="20"/>
      <c r="AA386" s="20"/>
      <c r="AB386" s="20"/>
      <c r="AC386" s="20"/>
      <c r="AD386" s="20"/>
      <c r="AE386" s="20"/>
      <c r="AF386" s="20"/>
      <c r="AG386" s="20"/>
      <c r="AH386" s="20"/>
      <c r="AI386" s="20"/>
      <c r="AJ386" s="20"/>
      <c r="AK386" s="20"/>
      <c r="AL386" s="20"/>
      <c r="AM386" s="20"/>
    </row>
    <row r="387" spans="3:39" ht="32.25" customHeight="1" x14ac:dyDescent="0.2">
      <c r="C387" s="17"/>
      <c r="D387" s="18"/>
      <c r="E387" s="19"/>
      <c r="F387" s="20"/>
      <c r="G387" s="20"/>
      <c r="H387" s="20"/>
      <c r="I387" s="20"/>
      <c r="J387" s="20"/>
      <c r="K387" s="20"/>
      <c r="L387" s="20"/>
      <c r="M387" s="20"/>
      <c r="N387" s="20"/>
      <c r="O387" s="20"/>
      <c r="P387" s="20"/>
      <c r="Q387" s="20"/>
      <c r="R387" s="20"/>
      <c r="S387" s="20"/>
      <c r="T387" s="20"/>
      <c r="U387" s="20"/>
      <c r="V387" s="20"/>
      <c r="W387" s="20"/>
      <c r="X387" s="20"/>
      <c r="Y387" s="20"/>
      <c r="Z387" s="20"/>
      <c r="AA387" s="20"/>
      <c r="AB387" s="20"/>
      <c r="AC387" s="20"/>
      <c r="AD387" s="20"/>
      <c r="AE387" s="20"/>
      <c r="AF387" s="20"/>
      <c r="AG387" s="20"/>
      <c r="AH387" s="20"/>
      <c r="AI387" s="20"/>
      <c r="AJ387" s="20"/>
      <c r="AK387" s="20"/>
      <c r="AL387" s="20"/>
      <c r="AM387" s="20"/>
    </row>
    <row r="388" spans="3:39" ht="32.25" customHeight="1" x14ac:dyDescent="0.2">
      <c r="C388" s="17"/>
      <c r="D388" s="18"/>
      <c r="E388" s="19"/>
      <c r="F388" s="20"/>
      <c r="G388" s="20"/>
      <c r="H388" s="20"/>
      <c r="I388" s="20"/>
      <c r="J388" s="20"/>
      <c r="K388" s="20"/>
      <c r="L388" s="20"/>
      <c r="M388" s="20"/>
      <c r="N388" s="20"/>
      <c r="O388" s="20"/>
      <c r="P388" s="20"/>
      <c r="Q388" s="20"/>
      <c r="R388" s="20"/>
      <c r="S388" s="20"/>
      <c r="T388" s="20"/>
      <c r="U388" s="20"/>
      <c r="V388" s="20"/>
      <c r="W388" s="20"/>
      <c r="X388" s="20"/>
      <c r="Y388" s="20"/>
      <c r="Z388" s="20"/>
      <c r="AA388" s="20"/>
      <c r="AB388" s="20"/>
      <c r="AC388" s="20"/>
      <c r="AD388" s="20"/>
      <c r="AE388" s="20"/>
      <c r="AF388" s="20"/>
      <c r="AG388" s="20"/>
      <c r="AH388" s="20"/>
      <c r="AI388" s="20"/>
      <c r="AJ388" s="20"/>
      <c r="AK388" s="20"/>
      <c r="AL388" s="20"/>
      <c r="AM388" s="20"/>
    </row>
    <row r="389" spans="3:39" ht="32.25" customHeight="1" x14ac:dyDescent="0.2">
      <c r="C389" s="17"/>
      <c r="D389" s="18"/>
      <c r="E389" s="19"/>
      <c r="F389" s="20"/>
      <c r="G389" s="20"/>
      <c r="H389" s="20"/>
      <c r="I389" s="20"/>
      <c r="J389" s="20"/>
      <c r="K389" s="20"/>
      <c r="L389" s="20"/>
      <c r="M389" s="20"/>
      <c r="N389" s="20"/>
      <c r="O389" s="20"/>
      <c r="P389" s="20"/>
      <c r="Q389" s="20"/>
      <c r="R389" s="20"/>
      <c r="S389" s="20"/>
      <c r="T389" s="20"/>
      <c r="U389" s="20"/>
      <c r="V389" s="20"/>
      <c r="W389" s="20"/>
      <c r="X389" s="20"/>
      <c r="Y389" s="20"/>
      <c r="Z389" s="20"/>
      <c r="AA389" s="20"/>
      <c r="AB389" s="20"/>
      <c r="AC389" s="20"/>
      <c r="AD389" s="20"/>
      <c r="AE389" s="20"/>
      <c r="AF389" s="20"/>
      <c r="AG389" s="20"/>
      <c r="AH389" s="20"/>
      <c r="AI389" s="20"/>
      <c r="AJ389" s="20"/>
      <c r="AK389" s="20"/>
      <c r="AL389" s="20"/>
      <c r="AM389" s="20"/>
    </row>
    <row r="390" spans="3:39" ht="32.25" customHeight="1" x14ac:dyDescent="0.2">
      <c r="C390" s="17"/>
      <c r="D390" s="18"/>
      <c r="E390" s="19"/>
      <c r="F390" s="20"/>
      <c r="G390" s="20"/>
      <c r="H390" s="20"/>
      <c r="I390" s="20"/>
      <c r="J390" s="20"/>
      <c r="K390" s="20"/>
      <c r="L390" s="20"/>
      <c r="M390" s="20"/>
      <c r="N390" s="20"/>
      <c r="O390" s="20"/>
      <c r="P390" s="20"/>
      <c r="Q390" s="20"/>
      <c r="R390" s="20"/>
      <c r="S390" s="20"/>
      <c r="T390" s="20"/>
      <c r="U390" s="20"/>
      <c r="V390" s="20"/>
      <c r="W390" s="20"/>
      <c r="X390" s="20"/>
      <c r="Y390" s="20"/>
      <c r="Z390" s="20"/>
      <c r="AA390" s="20"/>
      <c r="AB390" s="20"/>
      <c r="AC390" s="20"/>
      <c r="AD390" s="20"/>
      <c r="AE390" s="20"/>
      <c r="AF390" s="20"/>
      <c r="AG390" s="20"/>
      <c r="AH390" s="20"/>
      <c r="AI390" s="20"/>
      <c r="AJ390" s="20"/>
      <c r="AK390" s="20"/>
      <c r="AL390" s="20"/>
      <c r="AM390" s="20"/>
    </row>
    <row r="391" spans="3:39" ht="32.25" customHeight="1" x14ac:dyDescent="0.2">
      <c r="C391" s="17"/>
      <c r="D391" s="18"/>
      <c r="E391" s="19"/>
      <c r="F391" s="20"/>
      <c r="G391" s="20"/>
      <c r="H391" s="20"/>
      <c r="I391" s="20"/>
      <c r="J391" s="20"/>
      <c r="K391" s="20"/>
      <c r="L391" s="20"/>
      <c r="M391" s="20"/>
      <c r="N391" s="20"/>
      <c r="O391" s="20"/>
      <c r="P391" s="20"/>
      <c r="Q391" s="20"/>
      <c r="R391" s="20"/>
      <c r="S391" s="20"/>
      <c r="T391" s="20"/>
      <c r="U391" s="20"/>
      <c r="V391" s="20"/>
      <c r="W391" s="20"/>
      <c r="X391" s="20"/>
      <c r="Y391" s="20"/>
      <c r="Z391" s="20"/>
      <c r="AA391" s="20"/>
      <c r="AB391" s="20"/>
      <c r="AC391" s="20"/>
      <c r="AD391" s="20"/>
      <c r="AE391" s="20"/>
      <c r="AF391" s="20"/>
      <c r="AG391" s="20"/>
      <c r="AH391" s="20"/>
      <c r="AI391" s="20"/>
      <c r="AJ391" s="20"/>
      <c r="AK391" s="20"/>
      <c r="AL391" s="20"/>
      <c r="AM391" s="20"/>
    </row>
    <row r="392" spans="3:39" ht="32.25" customHeight="1" x14ac:dyDescent="0.2">
      <c r="C392" s="17"/>
      <c r="D392" s="18"/>
      <c r="E392" s="19"/>
      <c r="F392" s="20"/>
      <c r="G392" s="20"/>
      <c r="H392" s="20"/>
      <c r="I392" s="20"/>
      <c r="J392" s="20"/>
      <c r="K392" s="20"/>
      <c r="L392" s="20"/>
      <c r="M392" s="20"/>
      <c r="N392" s="20"/>
      <c r="O392" s="20"/>
      <c r="P392" s="20"/>
      <c r="Q392" s="20"/>
      <c r="R392" s="20"/>
      <c r="S392" s="20"/>
      <c r="T392" s="20"/>
      <c r="U392" s="20"/>
      <c r="V392" s="20"/>
      <c r="W392" s="20"/>
      <c r="X392" s="20"/>
      <c r="Y392" s="20"/>
      <c r="Z392" s="20"/>
      <c r="AA392" s="20"/>
      <c r="AB392" s="20"/>
      <c r="AC392" s="20"/>
      <c r="AD392" s="20"/>
      <c r="AE392" s="20"/>
      <c r="AF392" s="20"/>
      <c r="AG392" s="20"/>
      <c r="AH392" s="20"/>
      <c r="AI392" s="20"/>
      <c r="AJ392" s="20"/>
      <c r="AK392" s="20"/>
      <c r="AL392" s="20"/>
      <c r="AM392" s="20"/>
    </row>
    <row r="393" spans="3:39" ht="32.25" customHeight="1" x14ac:dyDescent="0.2">
      <c r="C393" s="17"/>
      <c r="D393" s="18"/>
      <c r="E393" s="19"/>
      <c r="F393" s="20"/>
      <c r="G393" s="20"/>
      <c r="H393" s="20"/>
      <c r="I393" s="20"/>
      <c r="J393" s="20"/>
      <c r="K393" s="20"/>
      <c r="L393" s="20"/>
      <c r="M393" s="20"/>
      <c r="N393" s="20"/>
      <c r="O393" s="20"/>
      <c r="P393" s="20"/>
      <c r="Q393" s="20"/>
      <c r="R393" s="20"/>
      <c r="S393" s="20"/>
      <c r="T393" s="20"/>
      <c r="U393" s="20"/>
      <c r="V393" s="20"/>
      <c r="W393" s="20"/>
      <c r="X393" s="20"/>
      <c r="Y393" s="20"/>
      <c r="Z393" s="20"/>
      <c r="AA393" s="20"/>
      <c r="AB393" s="20"/>
      <c r="AC393" s="20"/>
      <c r="AD393" s="20"/>
      <c r="AE393" s="20"/>
      <c r="AF393" s="20"/>
      <c r="AG393" s="20"/>
      <c r="AH393" s="20"/>
      <c r="AI393" s="20"/>
      <c r="AJ393" s="20"/>
      <c r="AK393" s="20"/>
      <c r="AL393" s="20"/>
      <c r="AM393" s="20"/>
    </row>
    <row r="394" spans="3:39" ht="32.25" customHeight="1" x14ac:dyDescent="0.2">
      <c r="C394" s="17"/>
      <c r="D394" s="18"/>
      <c r="E394" s="19"/>
      <c r="F394" s="20"/>
      <c r="G394" s="20"/>
      <c r="H394" s="20"/>
      <c r="I394" s="20"/>
      <c r="J394" s="20"/>
      <c r="K394" s="20"/>
      <c r="L394" s="20"/>
      <c r="M394" s="20"/>
      <c r="N394" s="20"/>
      <c r="O394" s="20"/>
      <c r="P394" s="20"/>
      <c r="Q394" s="20"/>
      <c r="R394" s="20"/>
      <c r="S394" s="20"/>
      <c r="T394" s="20"/>
      <c r="U394" s="20"/>
      <c r="V394" s="20"/>
      <c r="W394" s="20"/>
      <c r="X394" s="20"/>
      <c r="Y394" s="20"/>
      <c r="Z394" s="20"/>
      <c r="AA394" s="20"/>
      <c r="AB394" s="20"/>
      <c r="AC394" s="20"/>
      <c r="AD394" s="20"/>
      <c r="AE394" s="20"/>
      <c r="AF394" s="20"/>
      <c r="AG394" s="20"/>
      <c r="AH394" s="20"/>
      <c r="AI394" s="20"/>
      <c r="AJ394" s="20"/>
      <c r="AK394" s="20"/>
      <c r="AL394" s="20"/>
      <c r="AM394" s="20"/>
    </row>
    <row r="395" spans="3:39" ht="32.25" customHeight="1" x14ac:dyDescent="0.2">
      <c r="C395" s="17"/>
      <c r="D395" s="18"/>
      <c r="E395" s="19"/>
      <c r="F395" s="20"/>
      <c r="G395" s="20"/>
      <c r="H395" s="20"/>
      <c r="I395" s="20"/>
      <c r="J395" s="20"/>
      <c r="K395" s="20"/>
      <c r="L395" s="20"/>
      <c r="M395" s="20"/>
      <c r="N395" s="20"/>
      <c r="O395" s="20"/>
      <c r="P395" s="20"/>
      <c r="Q395" s="20"/>
      <c r="R395" s="20"/>
      <c r="S395" s="20"/>
      <c r="T395" s="20"/>
      <c r="U395" s="20"/>
      <c r="V395" s="20"/>
      <c r="W395" s="20"/>
      <c r="X395" s="20"/>
      <c r="Y395" s="20"/>
      <c r="Z395" s="20"/>
      <c r="AA395" s="20"/>
      <c r="AB395" s="20"/>
      <c r="AC395" s="20"/>
      <c r="AD395" s="20"/>
      <c r="AE395" s="20"/>
      <c r="AF395" s="20"/>
      <c r="AG395" s="20"/>
      <c r="AH395" s="20"/>
      <c r="AI395" s="20"/>
      <c r="AJ395" s="20"/>
      <c r="AK395" s="20"/>
      <c r="AL395" s="20"/>
      <c r="AM395" s="20"/>
    </row>
    <row r="396" spans="3:39" ht="32.25" customHeight="1" x14ac:dyDescent="0.2">
      <c r="C396" s="17"/>
      <c r="D396" s="18"/>
      <c r="E396" s="19"/>
      <c r="F396" s="20"/>
      <c r="G396" s="20"/>
      <c r="H396" s="20"/>
      <c r="I396" s="20"/>
      <c r="J396" s="20"/>
      <c r="K396" s="20"/>
      <c r="L396" s="20"/>
      <c r="M396" s="20"/>
      <c r="N396" s="20"/>
      <c r="O396" s="20"/>
      <c r="P396" s="20"/>
      <c r="Q396" s="20"/>
      <c r="R396" s="20"/>
      <c r="S396" s="20"/>
      <c r="T396" s="20"/>
      <c r="U396" s="20"/>
      <c r="V396" s="20"/>
      <c r="W396" s="20"/>
      <c r="X396" s="20"/>
      <c r="Y396" s="20"/>
      <c r="Z396" s="20"/>
      <c r="AA396" s="20"/>
      <c r="AB396" s="20"/>
      <c r="AC396" s="20"/>
      <c r="AD396" s="20"/>
      <c r="AE396" s="20"/>
      <c r="AF396" s="20"/>
      <c r="AG396" s="20"/>
      <c r="AH396" s="20"/>
      <c r="AI396" s="20"/>
      <c r="AJ396" s="20"/>
      <c r="AK396" s="20"/>
      <c r="AL396" s="20"/>
      <c r="AM396" s="20"/>
    </row>
    <row r="397" spans="3:39" ht="32.25" customHeight="1" x14ac:dyDescent="0.2">
      <c r="C397" s="17"/>
      <c r="D397" s="18"/>
      <c r="E397" s="19"/>
      <c r="F397" s="20"/>
      <c r="G397" s="20"/>
      <c r="H397" s="20"/>
      <c r="I397" s="20"/>
      <c r="J397" s="20"/>
      <c r="K397" s="20"/>
      <c r="L397" s="20"/>
      <c r="M397" s="20"/>
      <c r="N397" s="20"/>
      <c r="O397" s="20"/>
      <c r="P397" s="20"/>
      <c r="Q397" s="20"/>
      <c r="R397" s="20"/>
      <c r="S397" s="20"/>
      <c r="T397" s="20"/>
      <c r="U397" s="20"/>
      <c r="V397" s="20"/>
      <c r="W397" s="20"/>
      <c r="X397" s="20"/>
      <c r="Y397" s="20"/>
      <c r="Z397" s="20"/>
      <c r="AA397" s="20"/>
      <c r="AB397" s="20"/>
      <c r="AC397" s="20"/>
      <c r="AD397" s="20"/>
      <c r="AE397" s="20"/>
      <c r="AF397" s="20"/>
      <c r="AG397" s="20"/>
      <c r="AH397" s="20"/>
      <c r="AI397" s="20"/>
      <c r="AJ397" s="20"/>
      <c r="AK397" s="20"/>
      <c r="AL397" s="20"/>
      <c r="AM397" s="20"/>
    </row>
    <row r="398" spans="3:39" ht="32.25" customHeight="1" x14ac:dyDescent="0.2">
      <c r="C398" s="17"/>
      <c r="D398" s="18"/>
      <c r="E398" s="19"/>
      <c r="F398" s="20"/>
      <c r="G398" s="20"/>
      <c r="H398" s="20"/>
      <c r="I398" s="20"/>
      <c r="J398" s="20"/>
      <c r="K398" s="20"/>
      <c r="L398" s="20"/>
      <c r="M398" s="20"/>
      <c r="N398" s="20"/>
      <c r="O398" s="20"/>
      <c r="P398" s="20"/>
      <c r="Q398" s="20"/>
      <c r="R398" s="20"/>
      <c r="S398" s="20"/>
      <c r="T398" s="20"/>
      <c r="U398" s="20"/>
      <c r="V398" s="20"/>
      <c r="W398" s="20"/>
      <c r="X398" s="20"/>
      <c r="Y398" s="20"/>
      <c r="Z398" s="20"/>
      <c r="AA398" s="20"/>
      <c r="AB398" s="20"/>
      <c r="AC398" s="20"/>
      <c r="AD398" s="20"/>
      <c r="AE398" s="20"/>
      <c r="AF398" s="20"/>
      <c r="AG398" s="20"/>
      <c r="AH398" s="20"/>
      <c r="AI398" s="20"/>
      <c r="AJ398" s="20"/>
      <c r="AK398" s="20"/>
      <c r="AL398" s="20"/>
      <c r="AM398" s="20"/>
    </row>
    <row r="399" spans="3:39" ht="32.25" customHeight="1" x14ac:dyDescent="0.2">
      <c r="C399" s="17"/>
      <c r="D399" s="18"/>
      <c r="E399" s="19"/>
      <c r="F399" s="20"/>
      <c r="G399" s="20"/>
      <c r="H399" s="20"/>
      <c r="I399" s="20"/>
      <c r="J399" s="20"/>
      <c r="K399" s="20"/>
      <c r="L399" s="20"/>
      <c r="M399" s="20"/>
      <c r="N399" s="20"/>
      <c r="O399" s="20"/>
      <c r="P399" s="20"/>
      <c r="Q399" s="20"/>
      <c r="R399" s="20"/>
      <c r="S399" s="20"/>
      <c r="T399" s="20"/>
      <c r="U399" s="20"/>
      <c r="V399" s="20"/>
      <c r="W399" s="20"/>
      <c r="X399" s="20"/>
      <c r="Y399" s="20"/>
      <c r="Z399" s="20"/>
      <c r="AA399" s="20"/>
      <c r="AB399" s="20"/>
      <c r="AC399" s="20"/>
      <c r="AD399" s="20"/>
      <c r="AE399" s="20"/>
      <c r="AF399" s="20"/>
      <c r="AG399" s="20"/>
      <c r="AH399" s="20"/>
      <c r="AI399" s="20"/>
      <c r="AJ399" s="20"/>
      <c r="AK399" s="20"/>
      <c r="AL399" s="20"/>
      <c r="AM399" s="20"/>
    </row>
    <row r="400" spans="3:39" ht="32.25" customHeight="1" x14ac:dyDescent="0.2">
      <c r="C400" s="17"/>
      <c r="D400" s="18"/>
      <c r="E400" s="19"/>
      <c r="F400" s="20"/>
      <c r="G400" s="20"/>
      <c r="H400" s="20"/>
      <c r="I400" s="20"/>
      <c r="J400" s="20"/>
      <c r="K400" s="20"/>
      <c r="L400" s="20"/>
      <c r="M400" s="20"/>
      <c r="N400" s="20"/>
      <c r="O400" s="20"/>
      <c r="P400" s="20"/>
      <c r="Q400" s="20"/>
      <c r="R400" s="20"/>
      <c r="S400" s="20"/>
      <c r="T400" s="20"/>
      <c r="U400" s="20"/>
      <c r="V400" s="20"/>
      <c r="W400" s="20"/>
      <c r="X400" s="20"/>
      <c r="Y400" s="20"/>
      <c r="Z400" s="20"/>
      <c r="AA400" s="20"/>
      <c r="AB400" s="20"/>
      <c r="AC400" s="20"/>
      <c r="AD400" s="20"/>
      <c r="AE400" s="20"/>
      <c r="AF400" s="20"/>
      <c r="AG400" s="20"/>
      <c r="AH400" s="20"/>
      <c r="AI400" s="20"/>
      <c r="AJ400" s="20"/>
      <c r="AK400" s="20"/>
      <c r="AL400" s="20"/>
      <c r="AM400" s="20"/>
    </row>
    <row r="401" spans="3:39" ht="32.25" customHeight="1" x14ac:dyDescent="0.2">
      <c r="C401" s="17"/>
      <c r="D401" s="18"/>
      <c r="E401" s="19"/>
      <c r="F401" s="20"/>
      <c r="G401" s="20"/>
      <c r="H401" s="20"/>
      <c r="I401" s="20"/>
      <c r="J401" s="20"/>
      <c r="K401" s="20"/>
      <c r="L401" s="20"/>
      <c r="M401" s="20"/>
      <c r="N401" s="20"/>
      <c r="O401" s="20"/>
      <c r="P401" s="20"/>
      <c r="Q401" s="20"/>
      <c r="R401" s="20"/>
      <c r="S401" s="20"/>
      <c r="T401" s="20"/>
      <c r="U401" s="20"/>
      <c r="V401" s="20"/>
      <c r="W401" s="20"/>
      <c r="X401" s="20"/>
      <c r="Y401" s="20"/>
      <c r="Z401" s="20"/>
      <c r="AA401" s="20"/>
      <c r="AB401" s="20"/>
      <c r="AC401" s="20"/>
      <c r="AD401" s="20"/>
      <c r="AE401" s="20"/>
      <c r="AF401" s="20"/>
      <c r="AG401" s="20"/>
      <c r="AH401" s="20"/>
      <c r="AI401" s="20"/>
      <c r="AJ401" s="20"/>
      <c r="AK401" s="20"/>
      <c r="AL401" s="20"/>
      <c r="AM401" s="20"/>
    </row>
    <row r="402" spans="3:39" ht="32.25" customHeight="1" x14ac:dyDescent="0.2">
      <c r="C402" s="17"/>
      <c r="D402" s="18"/>
      <c r="E402" s="19"/>
      <c r="F402" s="20"/>
      <c r="G402" s="20"/>
      <c r="H402" s="20"/>
      <c r="I402" s="20"/>
      <c r="J402" s="20"/>
      <c r="K402" s="20"/>
      <c r="L402" s="20"/>
      <c r="M402" s="20"/>
      <c r="N402" s="20"/>
      <c r="O402" s="20"/>
      <c r="P402" s="20"/>
      <c r="Q402" s="20"/>
      <c r="R402" s="20"/>
      <c r="S402" s="20"/>
      <c r="T402" s="20"/>
      <c r="U402" s="20"/>
      <c r="V402" s="20"/>
      <c r="W402" s="20"/>
      <c r="X402" s="20"/>
      <c r="Y402" s="20"/>
      <c r="Z402" s="20"/>
      <c r="AA402" s="20"/>
      <c r="AB402" s="20"/>
      <c r="AC402" s="20"/>
      <c r="AD402" s="20"/>
      <c r="AE402" s="20"/>
      <c r="AF402" s="20"/>
      <c r="AG402" s="20"/>
      <c r="AH402" s="20"/>
      <c r="AI402" s="20"/>
      <c r="AJ402" s="20"/>
      <c r="AK402" s="20"/>
      <c r="AL402" s="20"/>
      <c r="AM402" s="20"/>
    </row>
    <row r="403" spans="3:39" ht="32.25" customHeight="1" x14ac:dyDescent="0.2">
      <c r="C403" s="17"/>
      <c r="D403" s="18"/>
      <c r="E403" s="19"/>
      <c r="F403" s="20"/>
      <c r="G403" s="20"/>
      <c r="H403" s="20"/>
      <c r="I403" s="20"/>
      <c r="J403" s="20"/>
      <c r="K403" s="20"/>
      <c r="L403" s="20"/>
      <c r="M403" s="20"/>
      <c r="N403" s="20"/>
      <c r="O403" s="20"/>
      <c r="P403" s="20"/>
      <c r="Q403" s="20"/>
      <c r="R403" s="20"/>
      <c r="S403" s="20"/>
      <c r="T403" s="20"/>
      <c r="U403" s="20"/>
      <c r="V403" s="20"/>
      <c r="W403" s="20"/>
      <c r="X403" s="20"/>
      <c r="Y403" s="20"/>
      <c r="Z403" s="20"/>
      <c r="AA403" s="20"/>
      <c r="AB403" s="20"/>
      <c r="AC403" s="20"/>
      <c r="AD403" s="20"/>
      <c r="AE403" s="20"/>
      <c r="AF403" s="20"/>
      <c r="AG403" s="20"/>
      <c r="AH403" s="20"/>
      <c r="AI403" s="20"/>
      <c r="AJ403" s="20"/>
      <c r="AK403" s="20"/>
      <c r="AL403" s="20"/>
      <c r="AM403" s="20"/>
    </row>
    <row r="404" spans="3:39" ht="32.25" customHeight="1" x14ac:dyDescent="0.2">
      <c r="C404" s="17"/>
      <c r="D404" s="18"/>
      <c r="E404" s="19"/>
      <c r="F404" s="20"/>
      <c r="G404" s="20"/>
      <c r="H404" s="20"/>
      <c r="I404" s="20"/>
      <c r="J404" s="20"/>
      <c r="K404" s="20"/>
      <c r="L404" s="20"/>
      <c r="M404" s="20"/>
      <c r="N404" s="20"/>
      <c r="O404" s="20"/>
      <c r="P404" s="20"/>
      <c r="Q404" s="20"/>
      <c r="R404" s="20"/>
      <c r="S404" s="20"/>
      <c r="T404" s="20"/>
      <c r="U404" s="20"/>
      <c r="V404" s="20"/>
      <c r="W404" s="20"/>
      <c r="X404" s="20"/>
      <c r="Y404" s="20"/>
      <c r="Z404" s="20"/>
      <c r="AA404" s="20"/>
      <c r="AB404" s="20"/>
      <c r="AC404" s="20"/>
      <c r="AD404" s="20"/>
      <c r="AE404" s="20"/>
      <c r="AF404" s="20"/>
      <c r="AG404" s="20"/>
      <c r="AH404" s="20"/>
      <c r="AI404" s="20"/>
      <c r="AJ404" s="20"/>
      <c r="AK404" s="20"/>
      <c r="AL404" s="20"/>
      <c r="AM404" s="20"/>
    </row>
    <row r="405" spans="3:39" ht="32.25" customHeight="1" x14ac:dyDescent="0.2">
      <c r="C405" s="17"/>
      <c r="D405" s="18"/>
      <c r="E405" s="19"/>
      <c r="F405" s="20"/>
      <c r="G405" s="20"/>
      <c r="H405" s="20"/>
      <c r="I405" s="20"/>
      <c r="J405" s="20"/>
      <c r="K405" s="20"/>
      <c r="L405" s="20"/>
      <c r="M405" s="20"/>
      <c r="N405" s="20"/>
      <c r="O405" s="20"/>
      <c r="P405" s="20"/>
      <c r="Q405" s="20"/>
      <c r="R405" s="20"/>
      <c r="S405" s="20"/>
      <c r="T405" s="20"/>
      <c r="U405" s="20"/>
      <c r="V405" s="20"/>
      <c r="W405" s="20"/>
      <c r="X405" s="20"/>
      <c r="Y405" s="20"/>
      <c r="Z405" s="20"/>
      <c r="AA405" s="20"/>
      <c r="AB405" s="20"/>
      <c r="AC405" s="20"/>
      <c r="AD405" s="20"/>
      <c r="AE405" s="20"/>
      <c r="AF405" s="20"/>
      <c r="AG405" s="20"/>
      <c r="AH405" s="20"/>
      <c r="AI405" s="20"/>
      <c r="AJ405" s="20"/>
      <c r="AK405" s="20"/>
      <c r="AL405" s="20"/>
      <c r="AM405" s="20"/>
    </row>
    <row r="406" spans="3:39" ht="32.25" customHeight="1" x14ac:dyDescent="0.2">
      <c r="C406" s="17"/>
      <c r="D406" s="18"/>
      <c r="E406" s="19"/>
      <c r="F406" s="20"/>
      <c r="G406" s="20"/>
      <c r="H406" s="20"/>
      <c r="I406" s="20"/>
      <c r="J406" s="20"/>
      <c r="K406" s="20"/>
      <c r="L406" s="20"/>
      <c r="M406" s="20"/>
      <c r="N406" s="20"/>
      <c r="O406" s="20"/>
      <c r="P406" s="20"/>
      <c r="Q406" s="20"/>
      <c r="R406" s="20"/>
      <c r="S406" s="20"/>
      <c r="T406" s="20"/>
      <c r="U406" s="20"/>
      <c r="V406" s="20"/>
      <c r="W406" s="20"/>
      <c r="X406" s="20"/>
      <c r="Y406" s="20"/>
      <c r="Z406" s="20"/>
      <c r="AA406" s="20"/>
      <c r="AB406" s="20"/>
      <c r="AC406" s="20"/>
      <c r="AD406" s="20"/>
      <c r="AE406" s="20"/>
      <c r="AF406" s="20"/>
      <c r="AG406" s="20"/>
      <c r="AH406" s="20"/>
      <c r="AI406" s="20"/>
      <c r="AJ406" s="20"/>
      <c r="AK406" s="20"/>
      <c r="AL406" s="20"/>
      <c r="AM406" s="20"/>
    </row>
    <row r="407" spans="3:39" ht="32.25" customHeight="1" x14ac:dyDescent="0.2">
      <c r="C407" s="17"/>
      <c r="D407" s="18"/>
      <c r="E407" s="19"/>
      <c r="F407" s="20"/>
      <c r="G407" s="20"/>
      <c r="H407" s="20"/>
      <c r="I407" s="20"/>
      <c r="J407" s="20"/>
      <c r="K407" s="20"/>
      <c r="L407" s="20"/>
      <c r="M407" s="20"/>
      <c r="N407" s="20"/>
      <c r="O407" s="20"/>
      <c r="P407" s="20"/>
      <c r="Q407" s="20"/>
      <c r="R407" s="20"/>
      <c r="S407" s="20"/>
      <c r="T407" s="20"/>
      <c r="U407" s="20"/>
      <c r="V407" s="20"/>
      <c r="W407" s="20"/>
      <c r="X407" s="20"/>
      <c r="Y407" s="20"/>
      <c r="Z407" s="20"/>
      <c r="AA407" s="20"/>
      <c r="AB407" s="20"/>
      <c r="AC407" s="20"/>
      <c r="AD407" s="20"/>
      <c r="AE407" s="20"/>
      <c r="AF407" s="20"/>
      <c r="AG407" s="20"/>
      <c r="AH407" s="20"/>
      <c r="AI407" s="20"/>
      <c r="AJ407" s="20"/>
      <c r="AK407" s="20"/>
      <c r="AL407" s="20"/>
      <c r="AM407" s="20"/>
    </row>
    <row r="408" spans="3:39" ht="32.25" customHeight="1" x14ac:dyDescent="0.2">
      <c r="C408" s="17"/>
      <c r="D408" s="18"/>
      <c r="E408" s="19"/>
      <c r="F408" s="20"/>
      <c r="G408" s="20"/>
      <c r="H408" s="20"/>
      <c r="I408" s="20"/>
      <c r="J408" s="20"/>
      <c r="K408" s="20"/>
      <c r="L408" s="20"/>
      <c r="M408" s="20"/>
      <c r="N408" s="20"/>
      <c r="O408" s="20"/>
      <c r="P408" s="20"/>
      <c r="Q408" s="20"/>
      <c r="R408" s="20"/>
      <c r="S408" s="20"/>
      <c r="T408" s="20"/>
      <c r="U408" s="20"/>
      <c r="V408" s="20"/>
      <c r="W408" s="20"/>
      <c r="X408" s="20"/>
      <c r="Y408" s="20"/>
      <c r="Z408" s="20"/>
      <c r="AA408" s="20"/>
      <c r="AB408" s="20"/>
      <c r="AC408" s="20"/>
      <c r="AD408" s="20"/>
      <c r="AE408" s="20"/>
      <c r="AF408" s="20"/>
      <c r="AG408" s="20"/>
      <c r="AH408" s="20"/>
      <c r="AI408" s="20"/>
      <c r="AJ408" s="20"/>
      <c r="AK408" s="20"/>
      <c r="AL408" s="20"/>
      <c r="AM408" s="20"/>
    </row>
    <row r="409" spans="3:39" ht="32.25" customHeight="1" x14ac:dyDescent="0.2">
      <c r="C409" s="17"/>
      <c r="D409" s="18"/>
      <c r="E409" s="19"/>
      <c r="F409" s="20"/>
      <c r="G409" s="20"/>
      <c r="H409" s="20"/>
      <c r="I409" s="20"/>
      <c r="J409" s="20"/>
      <c r="K409" s="20"/>
      <c r="L409" s="20"/>
      <c r="M409" s="20"/>
      <c r="N409" s="20"/>
      <c r="O409" s="20"/>
      <c r="P409" s="20"/>
      <c r="Q409" s="20"/>
      <c r="R409" s="20"/>
      <c r="S409" s="20"/>
      <c r="T409" s="20"/>
      <c r="U409" s="20"/>
      <c r="V409" s="20"/>
      <c r="W409" s="20"/>
      <c r="X409" s="20"/>
      <c r="Y409" s="20"/>
      <c r="Z409" s="20"/>
      <c r="AA409" s="20"/>
      <c r="AB409" s="20"/>
      <c r="AC409" s="20"/>
      <c r="AD409" s="20"/>
      <c r="AE409" s="20"/>
      <c r="AF409" s="20"/>
      <c r="AG409" s="20"/>
      <c r="AH409" s="20"/>
      <c r="AI409" s="20"/>
      <c r="AJ409" s="20"/>
      <c r="AK409" s="20"/>
      <c r="AL409" s="20"/>
      <c r="AM409" s="20"/>
    </row>
    <row r="410" spans="3:39" ht="32.25" customHeight="1" x14ac:dyDescent="0.2">
      <c r="C410" s="17"/>
      <c r="D410" s="18"/>
      <c r="E410" s="19"/>
      <c r="F410" s="20"/>
      <c r="G410" s="20"/>
      <c r="H410" s="20"/>
      <c r="I410" s="20"/>
      <c r="J410" s="20"/>
      <c r="K410" s="20"/>
      <c r="L410" s="20"/>
      <c r="M410" s="20"/>
      <c r="N410" s="20"/>
      <c r="O410" s="20"/>
      <c r="P410" s="20"/>
      <c r="Q410" s="20"/>
      <c r="R410" s="20"/>
      <c r="S410" s="20"/>
      <c r="T410" s="20"/>
      <c r="U410" s="20"/>
      <c r="V410" s="20"/>
      <c r="W410" s="20"/>
      <c r="X410" s="20"/>
      <c r="Y410" s="20"/>
      <c r="Z410" s="20"/>
      <c r="AA410" s="20"/>
      <c r="AB410" s="20"/>
      <c r="AC410" s="20"/>
      <c r="AD410" s="20"/>
      <c r="AE410" s="20"/>
      <c r="AF410" s="20"/>
      <c r="AG410" s="20"/>
      <c r="AH410" s="20"/>
      <c r="AI410" s="20"/>
      <c r="AJ410" s="20"/>
      <c r="AK410" s="20"/>
      <c r="AL410" s="20"/>
      <c r="AM410" s="20"/>
    </row>
    <row r="411" spans="3:39" ht="32.25" customHeight="1" x14ac:dyDescent="0.2">
      <c r="C411" s="17"/>
      <c r="D411" s="18"/>
      <c r="E411" s="19"/>
      <c r="F411" s="20"/>
      <c r="G411" s="20"/>
      <c r="H411" s="20"/>
      <c r="I411" s="20"/>
      <c r="J411" s="20"/>
      <c r="K411" s="20"/>
      <c r="L411" s="20"/>
      <c r="M411" s="20"/>
      <c r="N411" s="20"/>
      <c r="O411" s="20"/>
      <c r="P411" s="20"/>
      <c r="Q411" s="20"/>
      <c r="R411" s="20"/>
      <c r="S411" s="20"/>
      <c r="T411" s="20"/>
      <c r="U411" s="20"/>
      <c r="V411" s="20"/>
      <c r="W411" s="20"/>
      <c r="X411" s="20"/>
      <c r="Y411" s="20"/>
      <c r="Z411" s="20"/>
      <c r="AA411" s="20"/>
      <c r="AB411" s="20"/>
      <c r="AC411" s="20"/>
      <c r="AD411" s="20"/>
      <c r="AE411" s="20"/>
      <c r="AF411" s="20"/>
      <c r="AG411" s="20"/>
      <c r="AH411" s="20"/>
      <c r="AI411" s="20"/>
      <c r="AJ411" s="20"/>
      <c r="AK411" s="20"/>
      <c r="AL411" s="20"/>
      <c r="AM411" s="20"/>
    </row>
    <row r="412" spans="3:39" ht="32.25" customHeight="1" x14ac:dyDescent="0.2">
      <c r="C412" s="17"/>
      <c r="D412" s="18"/>
      <c r="E412" s="19"/>
      <c r="F412" s="20"/>
      <c r="G412" s="20"/>
      <c r="H412" s="20"/>
      <c r="I412" s="20"/>
      <c r="J412" s="20"/>
      <c r="K412" s="20"/>
      <c r="L412" s="20"/>
      <c r="M412" s="20"/>
      <c r="N412" s="20"/>
      <c r="O412" s="20"/>
      <c r="P412" s="20"/>
      <c r="Q412" s="20"/>
      <c r="R412" s="20"/>
      <c r="S412" s="20"/>
      <c r="T412" s="20"/>
      <c r="U412" s="20"/>
      <c r="V412" s="20"/>
      <c r="W412" s="20"/>
      <c r="X412" s="20"/>
      <c r="Y412" s="20"/>
      <c r="Z412" s="20"/>
      <c r="AA412" s="20"/>
      <c r="AB412" s="20"/>
      <c r="AC412" s="20"/>
      <c r="AD412" s="20"/>
      <c r="AE412" s="20"/>
      <c r="AF412" s="20"/>
      <c r="AG412" s="20"/>
      <c r="AH412" s="20"/>
      <c r="AI412" s="20"/>
      <c r="AJ412" s="20"/>
      <c r="AK412" s="20"/>
      <c r="AL412" s="20"/>
      <c r="AM412" s="20"/>
    </row>
    <row r="413" spans="3:39" ht="32.25" customHeight="1" x14ac:dyDescent="0.2">
      <c r="C413" s="17"/>
      <c r="D413" s="18"/>
      <c r="E413" s="19"/>
      <c r="F413" s="20"/>
      <c r="G413" s="20"/>
      <c r="H413" s="20"/>
      <c r="I413" s="20"/>
      <c r="J413" s="20"/>
      <c r="K413" s="20"/>
      <c r="L413" s="20"/>
      <c r="M413" s="20"/>
      <c r="N413" s="20"/>
      <c r="O413" s="20"/>
      <c r="P413" s="20"/>
      <c r="Q413" s="20"/>
      <c r="R413" s="20"/>
      <c r="S413" s="20"/>
      <c r="T413" s="20"/>
      <c r="U413" s="20"/>
      <c r="V413" s="20"/>
      <c r="W413" s="20"/>
      <c r="X413" s="20"/>
      <c r="Y413" s="20"/>
      <c r="Z413" s="20"/>
      <c r="AA413" s="20"/>
      <c r="AB413" s="20"/>
      <c r="AC413" s="20"/>
      <c r="AD413" s="20"/>
      <c r="AE413" s="20"/>
      <c r="AF413" s="20"/>
      <c r="AG413" s="20"/>
      <c r="AH413" s="20"/>
      <c r="AI413" s="20"/>
      <c r="AJ413" s="20"/>
      <c r="AK413" s="20"/>
      <c r="AL413" s="20"/>
      <c r="AM413" s="20"/>
    </row>
    <row r="414" spans="3:39" ht="32.25" customHeight="1" x14ac:dyDescent="0.2">
      <c r="C414" s="17"/>
      <c r="D414" s="18"/>
      <c r="E414" s="19"/>
      <c r="F414" s="20"/>
      <c r="G414" s="20"/>
      <c r="H414" s="20"/>
      <c r="I414" s="20"/>
      <c r="J414" s="20"/>
      <c r="K414" s="20"/>
      <c r="L414" s="20"/>
      <c r="M414" s="20"/>
      <c r="N414" s="20"/>
      <c r="O414" s="20"/>
      <c r="P414" s="20"/>
      <c r="Q414" s="20"/>
      <c r="R414" s="20"/>
      <c r="S414" s="20"/>
      <c r="T414" s="20"/>
      <c r="U414" s="20"/>
      <c r="V414" s="20"/>
      <c r="W414" s="20"/>
      <c r="X414" s="20"/>
      <c r="Y414" s="20"/>
      <c r="Z414" s="20"/>
      <c r="AA414" s="20"/>
      <c r="AB414" s="20"/>
      <c r="AC414" s="20"/>
      <c r="AD414" s="20"/>
      <c r="AE414" s="20"/>
      <c r="AF414" s="20"/>
      <c r="AG414" s="20"/>
      <c r="AH414" s="20"/>
      <c r="AI414" s="20"/>
      <c r="AJ414" s="20"/>
      <c r="AK414" s="20"/>
      <c r="AL414" s="20"/>
      <c r="AM414" s="20"/>
    </row>
    <row r="415" spans="3:39" ht="32.25" customHeight="1" x14ac:dyDescent="0.2">
      <c r="C415" s="17"/>
      <c r="D415" s="18"/>
      <c r="E415" s="19"/>
      <c r="F415" s="20"/>
      <c r="G415" s="20"/>
      <c r="H415" s="20"/>
      <c r="I415" s="20"/>
      <c r="J415" s="20"/>
      <c r="K415" s="20"/>
      <c r="L415" s="20"/>
      <c r="M415" s="20"/>
      <c r="N415" s="20"/>
      <c r="O415" s="20"/>
      <c r="P415" s="20"/>
      <c r="Q415" s="20"/>
      <c r="R415" s="20"/>
      <c r="S415" s="20"/>
      <c r="T415" s="20"/>
      <c r="U415" s="20"/>
      <c r="V415" s="20"/>
      <c r="W415" s="20"/>
      <c r="X415" s="20"/>
      <c r="Y415" s="20"/>
      <c r="Z415" s="20"/>
      <c r="AA415" s="20"/>
      <c r="AB415" s="20"/>
      <c r="AC415" s="20"/>
      <c r="AD415" s="20"/>
      <c r="AE415" s="20"/>
      <c r="AF415" s="20"/>
      <c r="AG415" s="20"/>
      <c r="AH415" s="20"/>
      <c r="AI415" s="20"/>
      <c r="AJ415" s="20"/>
      <c r="AK415" s="20"/>
      <c r="AL415" s="20"/>
      <c r="AM415" s="20"/>
    </row>
    <row r="416" spans="3:39" ht="32.25" customHeight="1" x14ac:dyDescent="0.2">
      <c r="C416" s="17"/>
      <c r="D416" s="18"/>
      <c r="E416" s="19"/>
      <c r="F416" s="20"/>
      <c r="G416" s="20"/>
      <c r="H416" s="20"/>
      <c r="I416" s="20"/>
      <c r="J416" s="20"/>
      <c r="K416" s="20"/>
      <c r="L416" s="20"/>
      <c r="M416" s="20"/>
      <c r="N416" s="20"/>
      <c r="O416" s="20"/>
      <c r="P416" s="20"/>
      <c r="Q416" s="20"/>
      <c r="R416" s="20"/>
      <c r="S416" s="20"/>
      <c r="T416" s="20"/>
      <c r="U416" s="20"/>
      <c r="V416" s="20"/>
      <c r="W416" s="20"/>
      <c r="X416" s="20"/>
      <c r="Y416" s="20"/>
      <c r="Z416" s="20"/>
      <c r="AA416" s="20"/>
      <c r="AB416" s="20"/>
      <c r="AC416" s="20"/>
      <c r="AD416" s="20"/>
      <c r="AE416" s="20"/>
      <c r="AF416" s="20"/>
      <c r="AG416" s="20"/>
      <c r="AH416" s="20"/>
      <c r="AI416" s="20"/>
      <c r="AJ416" s="20"/>
      <c r="AK416" s="20"/>
      <c r="AL416" s="20"/>
      <c r="AM416" s="20"/>
    </row>
    <row r="417" spans="3:39" ht="32.25" customHeight="1" x14ac:dyDescent="0.2">
      <c r="C417" s="17"/>
      <c r="D417" s="18"/>
      <c r="E417" s="19"/>
      <c r="F417" s="20"/>
      <c r="G417" s="20"/>
      <c r="H417" s="20"/>
      <c r="I417" s="20"/>
      <c r="J417" s="20"/>
      <c r="K417" s="20"/>
      <c r="L417" s="20"/>
      <c r="M417" s="20"/>
      <c r="N417" s="20"/>
      <c r="O417" s="20"/>
      <c r="P417" s="20"/>
      <c r="Q417" s="20"/>
      <c r="R417" s="20"/>
      <c r="S417" s="20"/>
      <c r="T417" s="20"/>
      <c r="U417" s="20"/>
      <c r="V417" s="20"/>
      <c r="W417" s="20"/>
      <c r="X417" s="20"/>
      <c r="Y417" s="20"/>
      <c r="Z417" s="20"/>
      <c r="AA417" s="20"/>
      <c r="AB417" s="20"/>
      <c r="AC417" s="20"/>
      <c r="AD417" s="20"/>
      <c r="AE417" s="20"/>
      <c r="AF417" s="20"/>
      <c r="AG417" s="20"/>
      <c r="AH417" s="20"/>
      <c r="AI417" s="20"/>
      <c r="AJ417" s="20"/>
      <c r="AK417" s="20"/>
      <c r="AL417" s="20"/>
      <c r="AM417" s="20"/>
    </row>
    <row r="418" spans="3:39" ht="32.25" customHeight="1" x14ac:dyDescent="0.2">
      <c r="C418" s="17"/>
      <c r="D418" s="18"/>
      <c r="E418" s="19"/>
      <c r="F418" s="20"/>
      <c r="G418" s="20"/>
      <c r="H418" s="20"/>
      <c r="I418" s="20"/>
      <c r="J418" s="20"/>
      <c r="K418" s="20"/>
      <c r="L418" s="20"/>
      <c r="M418" s="20"/>
      <c r="N418" s="20"/>
      <c r="O418" s="20"/>
      <c r="P418" s="20"/>
      <c r="Q418" s="20"/>
      <c r="R418" s="20"/>
      <c r="S418" s="20"/>
      <c r="T418" s="20"/>
      <c r="U418" s="20"/>
      <c r="V418" s="20"/>
      <c r="W418" s="20"/>
      <c r="X418" s="20"/>
      <c r="Y418" s="20"/>
      <c r="Z418" s="20"/>
      <c r="AA418" s="20"/>
      <c r="AB418" s="20"/>
      <c r="AC418" s="20"/>
      <c r="AD418" s="20"/>
      <c r="AE418" s="20"/>
      <c r="AF418" s="20"/>
      <c r="AG418" s="20"/>
      <c r="AH418" s="20"/>
      <c r="AI418" s="20"/>
      <c r="AJ418" s="20"/>
      <c r="AK418" s="20"/>
      <c r="AL418" s="20"/>
      <c r="AM418" s="20"/>
    </row>
    <row r="419" spans="3:39" ht="32.25" customHeight="1" x14ac:dyDescent="0.2">
      <c r="C419" s="17"/>
      <c r="D419" s="18"/>
      <c r="E419" s="19"/>
      <c r="F419" s="20"/>
      <c r="G419" s="20"/>
      <c r="H419" s="20"/>
      <c r="I419" s="20"/>
      <c r="J419" s="20"/>
      <c r="K419" s="20"/>
      <c r="L419" s="20"/>
      <c r="M419" s="20"/>
      <c r="N419" s="20"/>
      <c r="O419" s="20"/>
      <c r="P419" s="20"/>
      <c r="Q419" s="20"/>
      <c r="R419" s="20"/>
      <c r="S419" s="20"/>
      <c r="T419" s="20"/>
      <c r="U419" s="20"/>
      <c r="V419" s="20"/>
      <c r="W419" s="20"/>
      <c r="X419" s="20"/>
      <c r="Y419" s="20"/>
      <c r="Z419" s="20"/>
      <c r="AA419" s="20"/>
      <c r="AB419" s="20"/>
      <c r="AC419" s="20"/>
      <c r="AD419" s="20"/>
      <c r="AE419" s="20"/>
      <c r="AF419" s="20"/>
      <c r="AG419" s="20"/>
      <c r="AH419" s="20"/>
      <c r="AI419" s="20"/>
      <c r="AJ419" s="20"/>
      <c r="AK419" s="20"/>
      <c r="AL419" s="20"/>
      <c r="AM419" s="20"/>
    </row>
    <row r="420" spans="3:39" ht="32.25" customHeight="1" x14ac:dyDescent="0.2">
      <c r="C420" s="17"/>
      <c r="D420" s="18"/>
      <c r="E420" s="19"/>
      <c r="F420" s="20"/>
      <c r="G420" s="20"/>
      <c r="H420" s="20"/>
      <c r="I420" s="20"/>
      <c r="J420" s="20"/>
      <c r="K420" s="20"/>
      <c r="L420" s="20"/>
      <c r="M420" s="20"/>
      <c r="N420" s="20"/>
      <c r="O420" s="20"/>
      <c r="P420" s="20"/>
      <c r="Q420" s="20"/>
      <c r="R420" s="20"/>
      <c r="S420" s="20"/>
      <c r="T420" s="20"/>
      <c r="U420" s="20"/>
      <c r="V420" s="20"/>
      <c r="W420" s="20"/>
      <c r="X420" s="20"/>
      <c r="Y420" s="20"/>
      <c r="Z420" s="20"/>
      <c r="AA420" s="20"/>
      <c r="AB420" s="20"/>
      <c r="AC420" s="20"/>
      <c r="AD420" s="20"/>
      <c r="AE420" s="20"/>
      <c r="AF420" s="20"/>
      <c r="AG420" s="20"/>
      <c r="AH420" s="20"/>
      <c r="AI420" s="20"/>
      <c r="AJ420" s="20"/>
      <c r="AK420" s="20"/>
      <c r="AL420" s="20"/>
      <c r="AM420" s="20"/>
    </row>
    <row r="421" spans="3:39" ht="32.25" customHeight="1" x14ac:dyDescent="0.2">
      <c r="C421" s="17"/>
      <c r="D421" s="18"/>
      <c r="E421" s="19"/>
      <c r="F421" s="20"/>
      <c r="G421" s="20"/>
      <c r="H421" s="20"/>
      <c r="I421" s="20"/>
      <c r="J421" s="20"/>
      <c r="K421" s="20"/>
      <c r="L421" s="20"/>
      <c r="M421" s="20"/>
      <c r="N421" s="20"/>
      <c r="O421" s="20"/>
      <c r="P421" s="20"/>
      <c r="Q421" s="20"/>
      <c r="R421" s="20"/>
      <c r="S421" s="20"/>
      <c r="T421" s="20"/>
      <c r="U421" s="20"/>
      <c r="V421" s="20"/>
      <c r="W421" s="20"/>
      <c r="X421" s="20"/>
      <c r="Y421" s="20"/>
      <c r="Z421" s="20"/>
      <c r="AA421" s="20"/>
      <c r="AB421" s="20"/>
      <c r="AC421" s="20"/>
      <c r="AD421" s="20"/>
      <c r="AE421" s="20"/>
      <c r="AF421" s="20"/>
      <c r="AG421" s="20"/>
      <c r="AH421" s="20"/>
      <c r="AI421" s="20"/>
      <c r="AJ421" s="20"/>
      <c r="AK421" s="20"/>
      <c r="AL421" s="20"/>
      <c r="AM421" s="20"/>
    </row>
    <row r="422" spans="3:39" ht="32.25" customHeight="1" x14ac:dyDescent="0.2">
      <c r="C422" s="17"/>
      <c r="D422" s="18"/>
      <c r="E422" s="19"/>
      <c r="F422" s="20"/>
      <c r="G422" s="20"/>
      <c r="H422" s="20"/>
      <c r="I422" s="20"/>
      <c r="J422" s="20"/>
      <c r="K422" s="20"/>
      <c r="L422" s="20"/>
      <c r="M422" s="20"/>
      <c r="N422" s="20"/>
      <c r="O422" s="20"/>
      <c r="P422" s="20"/>
      <c r="Q422" s="20"/>
      <c r="R422" s="20"/>
      <c r="S422" s="20"/>
      <c r="T422" s="20"/>
      <c r="U422" s="20"/>
      <c r="V422" s="20"/>
      <c r="W422" s="20"/>
      <c r="X422" s="20"/>
      <c r="Y422" s="20"/>
      <c r="Z422" s="20"/>
      <c r="AA422" s="20"/>
      <c r="AB422" s="20"/>
      <c r="AC422" s="20"/>
      <c r="AD422" s="20"/>
      <c r="AE422" s="20"/>
      <c r="AF422" s="20"/>
      <c r="AG422" s="20"/>
      <c r="AH422" s="20"/>
      <c r="AI422" s="20"/>
      <c r="AJ422" s="20"/>
      <c r="AK422" s="20"/>
      <c r="AL422" s="20"/>
      <c r="AM422" s="20"/>
    </row>
    <row r="423" spans="3:39" ht="32.25" customHeight="1" x14ac:dyDescent="0.2">
      <c r="C423" s="17"/>
      <c r="D423" s="18"/>
      <c r="E423" s="19"/>
      <c r="F423" s="20"/>
      <c r="G423" s="20"/>
      <c r="H423" s="20"/>
      <c r="I423" s="20"/>
      <c r="J423" s="20"/>
      <c r="K423" s="20"/>
      <c r="L423" s="20"/>
      <c r="M423" s="20"/>
      <c r="N423" s="20"/>
      <c r="O423" s="20"/>
      <c r="P423" s="20"/>
      <c r="Q423" s="20"/>
      <c r="R423" s="20"/>
      <c r="S423" s="20"/>
      <c r="T423" s="20"/>
      <c r="U423" s="20"/>
      <c r="V423" s="20"/>
      <c r="W423" s="20"/>
      <c r="X423" s="20"/>
      <c r="Y423" s="20"/>
      <c r="Z423" s="20"/>
      <c r="AA423" s="20"/>
      <c r="AB423" s="20"/>
      <c r="AC423" s="20"/>
      <c r="AD423" s="20"/>
      <c r="AE423" s="20"/>
      <c r="AF423" s="20"/>
      <c r="AG423" s="20"/>
      <c r="AH423" s="20"/>
      <c r="AI423" s="20"/>
      <c r="AJ423" s="20"/>
      <c r="AK423" s="20"/>
      <c r="AL423" s="20"/>
      <c r="AM423" s="20"/>
    </row>
    <row r="424" spans="3:39" ht="32.25" customHeight="1" x14ac:dyDescent="0.2">
      <c r="C424" s="17"/>
      <c r="D424" s="18"/>
      <c r="E424" s="19"/>
      <c r="F424" s="20"/>
      <c r="G424" s="20"/>
      <c r="H424" s="20"/>
      <c r="I424" s="20"/>
      <c r="J424" s="20"/>
      <c r="K424" s="20"/>
      <c r="L424" s="20"/>
      <c r="M424" s="20"/>
      <c r="N424" s="20"/>
      <c r="O424" s="20"/>
      <c r="P424" s="20"/>
      <c r="Q424" s="20"/>
      <c r="R424" s="20"/>
      <c r="S424" s="20"/>
      <c r="T424" s="20"/>
      <c r="U424" s="20"/>
      <c r="V424" s="20"/>
      <c r="W424" s="20"/>
      <c r="X424" s="20"/>
      <c r="Y424" s="20"/>
      <c r="Z424" s="20"/>
      <c r="AA424" s="20"/>
      <c r="AB424" s="20"/>
      <c r="AC424" s="20"/>
      <c r="AD424" s="20"/>
      <c r="AE424" s="20"/>
      <c r="AF424" s="20"/>
      <c r="AG424" s="20"/>
      <c r="AH424" s="20"/>
      <c r="AI424" s="20"/>
      <c r="AJ424" s="20"/>
      <c r="AK424" s="20"/>
      <c r="AL424" s="20"/>
      <c r="AM424" s="20"/>
    </row>
    <row r="425" spans="3:39" ht="32.25" customHeight="1" x14ac:dyDescent="0.2">
      <c r="C425" s="17"/>
      <c r="D425" s="18"/>
      <c r="E425" s="19"/>
      <c r="F425" s="20"/>
      <c r="G425" s="20"/>
      <c r="H425" s="20"/>
      <c r="I425" s="20"/>
      <c r="J425" s="20"/>
      <c r="K425" s="20"/>
      <c r="L425" s="20"/>
      <c r="M425" s="20"/>
      <c r="N425" s="20"/>
      <c r="O425" s="20"/>
      <c r="P425" s="20"/>
      <c r="Q425" s="20"/>
      <c r="R425" s="20"/>
      <c r="S425" s="20"/>
      <c r="T425" s="20"/>
      <c r="U425" s="20"/>
      <c r="V425" s="20"/>
      <c r="W425" s="20"/>
      <c r="X425" s="20"/>
      <c r="Y425" s="20"/>
      <c r="Z425" s="20"/>
      <c r="AA425" s="20"/>
      <c r="AB425" s="20"/>
      <c r="AC425" s="20"/>
      <c r="AD425" s="20"/>
      <c r="AE425" s="20"/>
      <c r="AF425" s="20"/>
      <c r="AG425" s="20"/>
      <c r="AH425" s="20"/>
      <c r="AI425" s="20"/>
      <c r="AJ425" s="20"/>
      <c r="AK425" s="20"/>
      <c r="AL425" s="20"/>
      <c r="AM425" s="20"/>
    </row>
    <row r="426" spans="3:39" ht="32.25" customHeight="1" x14ac:dyDescent="0.2">
      <c r="C426" s="17"/>
      <c r="D426" s="18"/>
      <c r="E426" s="19"/>
      <c r="F426" s="20"/>
      <c r="G426" s="20"/>
      <c r="H426" s="20"/>
      <c r="I426" s="20"/>
      <c r="J426" s="20"/>
      <c r="K426" s="20"/>
      <c r="L426" s="20"/>
      <c r="M426" s="20"/>
      <c r="N426" s="20"/>
      <c r="O426" s="20"/>
      <c r="P426" s="20"/>
      <c r="Q426" s="20"/>
      <c r="R426" s="20"/>
      <c r="S426" s="20"/>
      <c r="T426" s="20"/>
      <c r="U426" s="20"/>
      <c r="V426" s="20"/>
      <c r="W426" s="20"/>
      <c r="X426" s="20"/>
      <c r="Y426" s="20"/>
      <c r="Z426" s="20"/>
      <c r="AA426" s="20"/>
      <c r="AB426" s="20"/>
      <c r="AC426" s="20"/>
      <c r="AD426" s="20"/>
      <c r="AE426" s="20"/>
      <c r="AF426" s="20"/>
      <c r="AG426" s="20"/>
      <c r="AH426" s="20"/>
      <c r="AI426" s="20"/>
      <c r="AJ426" s="20"/>
      <c r="AK426" s="20"/>
      <c r="AL426" s="20"/>
      <c r="AM426" s="20"/>
    </row>
    <row r="427" spans="3:39" ht="32.25" customHeight="1" x14ac:dyDescent="0.2">
      <c r="C427" s="17"/>
      <c r="D427" s="18"/>
      <c r="E427" s="19"/>
      <c r="F427" s="20"/>
      <c r="G427" s="20"/>
      <c r="H427" s="20"/>
      <c r="I427" s="20"/>
      <c r="J427" s="20"/>
      <c r="K427" s="20"/>
      <c r="L427" s="20"/>
      <c r="M427" s="20"/>
      <c r="N427" s="20"/>
      <c r="O427" s="20"/>
      <c r="P427" s="20"/>
      <c r="Q427" s="20"/>
      <c r="R427" s="20"/>
      <c r="S427" s="20"/>
      <c r="T427" s="20"/>
      <c r="U427" s="20"/>
      <c r="V427" s="20"/>
      <c r="W427" s="20"/>
      <c r="X427" s="20"/>
      <c r="Y427" s="20"/>
      <c r="Z427" s="20"/>
      <c r="AA427" s="20"/>
      <c r="AB427" s="20"/>
      <c r="AC427" s="20"/>
      <c r="AD427" s="20"/>
      <c r="AE427" s="20"/>
      <c r="AF427" s="20"/>
      <c r="AG427" s="20"/>
      <c r="AH427" s="20"/>
      <c r="AI427" s="20"/>
      <c r="AJ427" s="20"/>
      <c r="AK427" s="20"/>
      <c r="AL427" s="20"/>
      <c r="AM427" s="20"/>
    </row>
    <row r="428" spans="3:39" ht="32.25" customHeight="1" x14ac:dyDescent="0.2">
      <c r="C428" s="17"/>
      <c r="D428" s="18"/>
      <c r="E428" s="19"/>
      <c r="F428" s="20"/>
      <c r="G428" s="20"/>
      <c r="H428" s="20"/>
      <c r="I428" s="20"/>
      <c r="J428" s="20"/>
      <c r="K428" s="20"/>
      <c r="L428" s="20"/>
      <c r="M428" s="20"/>
      <c r="N428" s="20"/>
      <c r="O428" s="20"/>
      <c r="P428" s="20"/>
      <c r="Q428" s="20"/>
      <c r="R428" s="20"/>
      <c r="S428" s="20"/>
      <c r="T428" s="20"/>
      <c r="U428" s="20"/>
      <c r="V428" s="20"/>
      <c r="W428" s="20"/>
      <c r="X428" s="20"/>
      <c r="Y428" s="20"/>
      <c r="Z428" s="20"/>
      <c r="AA428" s="20"/>
      <c r="AB428" s="20"/>
      <c r="AC428" s="20"/>
      <c r="AD428" s="20"/>
      <c r="AE428" s="20"/>
      <c r="AF428" s="20"/>
      <c r="AG428" s="20"/>
      <c r="AH428" s="20"/>
      <c r="AI428" s="20"/>
      <c r="AJ428" s="20"/>
      <c r="AK428" s="20"/>
      <c r="AL428" s="20"/>
      <c r="AM428" s="20"/>
    </row>
    <row r="429" spans="3:39" ht="32.25" customHeight="1" x14ac:dyDescent="0.2">
      <c r="C429" s="17"/>
      <c r="D429" s="18"/>
      <c r="E429" s="19"/>
      <c r="F429" s="20"/>
      <c r="G429" s="20"/>
      <c r="H429" s="20"/>
      <c r="I429" s="20"/>
      <c r="J429" s="20"/>
      <c r="K429" s="20"/>
      <c r="L429" s="20"/>
      <c r="M429" s="20"/>
      <c r="N429" s="20"/>
      <c r="O429" s="20"/>
      <c r="P429" s="20"/>
      <c r="Q429" s="20"/>
      <c r="R429" s="20"/>
      <c r="S429" s="20"/>
      <c r="T429" s="20"/>
      <c r="U429" s="20"/>
      <c r="V429" s="20"/>
      <c r="W429" s="20"/>
      <c r="X429" s="20"/>
      <c r="Y429" s="20"/>
      <c r="Z429" s="20"/>
      <c r="AA429" s="20"/>
      <c r="AB429" s="20"/>
      <c r="AC429" s="20"/>
      <c r="AD429" s="20"/>
      <c r="AE429" s="20"/>
      <c r="AF429" s="20"/>
      <c r="AG429" s="20"/>
      <c r="AH429" s="20"/>
      <c r="AI429" s="20"/>
      <c r="AJ429" s="20"/>
      <c r="AK429" s="20"/>
      <c r="AL429" s="20"/>
      <c r="AM429" s="20"/>
    </row>
    <row r="430" spans="3:39" ht="32.25" customHeight="1" x14ac:dyDescent="0.2">
      <c r="C430" s="17"/>
      <c r="D430" s="18"/>
      <c r="E430" s="19"/>
      <c r="F430" s="20"/>
      <c r="G430" s="20"/>
      <c r="H430" s="20"/>
      <c r="I430" s="20"/>
      <c r="J430" s="20"/>
      <c r="K430" s="20"/>
      <c r="L430" s="20"/>
      <c r="M430" s="20"/>
      <c r="N430" s="20"/>
      <c r="O430" s="20"/>
      <c r="P430" s="20"/>
      <c r="Q430" s="20"/>
      <c r="R430" s="20"/>
      <c r="S430" s="20"/>
      <c r="T430" s="20"/>
      <c r="U430" s="20"/>
      <c r="V430" s="20"/>
      <c r="W430" s="20"/>
      <c r="X430" s="20"/>
      <c r="Y430" s="20"/>
      <c r="Z430" s="20"/>
      <c r="AA430" s="20"/>
      <c r="AB430" s="20"/>
      <c r="AC430" s="20"/>
      <c r="AD430" s="20"/>
      <c r="AE430" s="20"/>
      <c r="AF430" s="20"/>
      <c r="AG430" s="20"/>
      <c r="AH430" s="20"/>
      <c r="AI430" s="20"/>
      <c r="AJ430" s="20"/>
      <c r="AK430" s="20"/>
      <c r="AL430" s="20"/>
      <c r="AM430" s="20"/>
    </row>
    <row r="431" spans="3:39" ht="32.25" customHeight="1" x14ac:dyDescent="0.2">
      <c r="C431" s="17"/>
      <c r="D431" s="18"/>
      <c r="E431" s="19"/>
      <c r="F431" s="20"/>
      <c r="G431" s="20"/>
      <c r="H431" s="20"/>
      <c r="I431" s="20"/>
      <c r="J431" s="20"/>
      <c r="K431" s="20"/>
      <c r="L431" s="20"/>
      <c r="M431" s="20"/>
      <c r="N431" s="20"/>
      <c r="O431" s="20"/>
      <c r="P431" s="20"/>
      <c r="Q431" s="20"/>
      <c r="R431" s="20"/>
      <c r="S431" s="20"/>
      <c r="T431" s="20"/>
      <c r="U431" s="20"/>
      <c r="V431" s="20"/>
      <c r="W431" s="20"/>
      <c r="X431" s="20"/>
      <c r="Y431" s="20"/>
      <c r="Z431" s="20"/>
      <c r="AA431" s="20"/>
      <c r="AB431" s="20"/>
      <c r="AC431" s="20"/>
      <c r="AD431" s="20"/>
      <c r="AE431" s="20"/>
      <c r="AF431" s="20"/>
      <c r="AG431" s="20"/>
      <c r="AH431" s="20"/>
      <c r="AI431" s="20"/>
      <c r="AJ431" s="20"/>
      <c r="AK431" s="20"/>
      <c r="AL431" s="20"/>
      <c r="AM431" s="20"/>
    </row>
    <row r="432" spans="3:39" ht="32.25" customHeight="1" x14ac:dyDescent="0.2">
      <c r="C432" s="17"/>
      <c r="D432" s="18"/>
      <c r="E432" s="19"/>
      <c r="F432" s="20"/>
      <c r="G432" s="20"/>
      <c r="H432" s="20"/>
      <c r="I432" s="20"/>
      <c r="J432" s="20"/>
      <c r="K432" s="20"/>
      <c r="L432" s="20"/>
      <c r="M432" s="20"/>
      <c r="N432" s="20"/>
      <c r="O432" s="20"/>
      <c r="P432" s="20"/>
      <c r="Q432" s="20"/>
      <c r="R432" s="20"/>
      <c r="S432" s="20"/>
      <c r="T432" s="20"/>
      <c r="U432" s="20"/>
      <c r="V432" s="20"/>
      <c r="W432" s="20"/>
      <c r="X432" s="20"/>
      <c r="Y432" s="20"/>
      <c r="Z432" s="20"/>
      <c r="AA432" s="20"/>
      <c r="AB432" s="20"/>
      <c r="AC432" s="20"/>
      <c r="AD432" s="20"/>
      <c r="AE432" s="20"/>
      <c r="AF432" s="20"/>
      <c r="AG432" s="20"/>
      <c r="AH432" s="20"/>
      <c r="AI432" s="20"/>
      <c r="AJ432" s="20"/>
      <c r="AK432" s="20"/>
      <c r="AL432" s="20"/>
      <c r="AM432" s="20"/>
    </row>
    <row r="433" spans="3:39" ht="32.25" customHeight="1" x14ac:dyDescent="0.2">
      <c r="C433" s="17"/>
      <c r="D433" s="18"/>
      <c r="E433" s="19"/>
      <c r="F433" s="20"/>
      <c r="G433" s="20"/>
      <c r="H433" s="20"/>
      <c r="I433" s="20"/>
      <c r="J433" s="20"/>
      <c r="K433" s="20"/>
      <c r="L433" s="20"/>
      <c r="M433" s="20"/>
      <c r="N433" s="20"/>
      <c r="O433" s="20"/>
      <c r="P433" s="20"/>
      <c r="Q433" s="20"/>
      <c r="R433" s="20"/>
      <c r="S433" s="20"/>
      <c r="T433" s="20"/>
      <c r="U433" s="20"/>
      <c r="V433" s="20"/>
      <c r="W433" s="20"/>
      <c r="X433" s="20"/>
      <c r="Y433" s="20"/>
      <c r="Z433" s="20"/>
      <c r="AA433" s="20"/>
      <c r="AB433" s="20"/>
      <c r="AC433" s="20"/>
      <c r="AD433" s="20"/>
      <c r="AE433" s="20"/>
      <c r="AF433" s="20"/>
      <c r="AG433" s="20"/>
      <c r="AH433" s="20"/>
      <c r="AI433" s="20"/>
      <c r="AJ433" s="20"/>
      <c r="AK433" s="20"/>
      <c r="AL433" s="20"/>
      <c r="AM433" s="20"/>
    </row>
    <row r="434" spans="3:39" ht="32.25" customHeight="1" x14ac:dyDescent="0.2">
      <c r="C434" s="17"/>
      <c r="D434" s="18"/>
      <c r="E434" s="19"/>
      <c r="F434" s="20"/>
      <c r="G434" s="20"/>
      <c r="H434" s="20"/>
      <c r="I434" s="20"/>
      <c r="J434" s="20"/>
      <c r="K434" s="20"/>
      <c r="L434" s="20"/>
      <c r="M434" s="20"/>
      <c r="N434" s="20"/>
      <c r="O434" s="20"/>
      <c r="P434" s="20"/>
      <c r="Q434" s="20"/>
      <c r="R434" s="20"/>
      <c r="S434" s="20"/>
      <c r="T434" s="20"/>
      <c r="U434" s="20"/>
      <c r="V434" s="20"/>
      <c r="W434" s="20"/>
      <c r="X434" s="20"/>
      <c r="Y434" s="20"/>
      <c r="Z434" s="20"/>
      <c r="AA434" s="20"/>
      <c r="AB434" s="20"/>
      <c r="AC434" s="20"/>
      <c r="AD434" s="20"/>
      <c r="AE434" s="20"/>
      <c r="AF434" s="20"/>
      <c r="AG434" s="20"/>
      <c r="AH434" s="20"/>
      <c r="AI434" s="20"/>
      <c r="AJ434" s="20"/>
      <c r="AK434" s="20"/>
      <c r="AL434" s="20"/>
      <c r="AM434" s="20"/>
    </row>
    <row r="435" spans="3:39" ht="32.25" customHeight="1" x14ac:dyDescent="0.2">
      <c r="C435" s="17"/>
      <c r="D435" s="18"/>
      <c r="E435" s="19"/>
      <c r="F435" s="20"/>
      <c r="G435" s="20"/>
      <c r="H435" s="20"/>
      <c r="I435" s="20"/>
      <c r="J435" s="20"/>
      <c r="K435" s="20"/>
      <c r="L435" s="20"/>
      <c r="M435" s="20"/>
      <c r="N435" s="20"/>
      <c r="O435" s="20"/>
      <c r="P435" s="20"/>
      <c r="Q435" s="20"/>
      <c r="R435" s="20"/>
      <c r="S435" s="20"/>
      <c r="T435" s="20"/>
      <c r="U435" s="20"/>
      <c r="V435" s="20"/>
      <c r="W435" s="20"/>
      <c r="X435" s="20"/>
      <c r="Y435" s="20"/>
      <c r="Z435" s="20"/>
      <c r="AA435" s="20"/>
      <c r="AB435" s="20"/>
      <c r="AC435" s="20"/>
      <c r="AD435" s="20"/>
      <c r="AE435" s="20"/>
      <c r="AF435" s="20"/>
      <c r="AG435" s="20"/>
      <c r="AH435" s="20"/>
      <c r="AI435" s="20"/>
      <c r="AJ435" s="20"/>
      <c r="AK435" s="20"/>
      <c r="AL435" s="20"/>
      <c r="AM435" s="20"/>
    </row>
    <row r="436" spans="3:39" ht="32.25" customHeight="1" x14ac:dyDescent="0.2">
      <c r="C436" s="17"/>
      <c r="D436" s="18"/>
      <c r="E436" s="19"/>
      <c r="F436" s="20"/>
      <c r="G436" s="20"/>
      <c r="H436" s="20"/>
      <c r="I436" s="20"/>
      <c r="J436" s="20"/>
      <c r="K436" s="20"/>
      <c r="L436" s="20"/>
      <c r="M436" s="20"/>
      <c r="N436" s="20"/>
      <c r="O436" s="20"/>
      <c r="P436" s="20"/>
      <c r="Q436" s="20"/>
      <c r="R436" s="20"/>
      <c r="S436" s="20"/>
      <c r="T436" s="20"/>
      <c r="U436" s="20"/>
      <c r="V436" s="20"/>
      <c r="W436" s="20"/>
      <c r="X436" s="20"/>
      <c r="Y436" s="20"/>
      <c r="Z436" s="20"/>
      <c r="AA436" s="20"/>
      <c r="AB436" s="20"/>
      <c r="AC436" s="20"/>
      <c r="AD436" s="20"/>
      <c r="AE436" s="20"/>
      <c r="AF436" s="20"/>
      <c r="AG436" s="20"/>
      <c r="AH436" s="20"/>
      <c r="AI436" s="20"/>
      <c r="AJ436" s="20"/>
      <c r="AK436" s="20"/>
      <c r="AL436" s="20"/>
      <c r="AM436" s="20"/>
    </row>
    <row r="437" spans="3:39" ht="32.25" customHeight="1" x14ac:dyDescent="0.2">
      <c r="C437" s="17"/>
      <c r="D437" s="18"/>
      <c r="E437" s="19"/>
      <c r="F437" s="20"/>
      <c r="G437" s="20"/>
      <c r="H437" s="20"/>
      <c r="I437" s="20"/>
      <c r="J437" s="20"/>
      <c r="K437" s="20"/>
      <c r="L437" s="20"/>
      <c r="M437" s="20"/>
      <c r="N437" s="20"/>
      <c r="O437" s="20"/>
      <c r="P437" s="20"/>
      <c r="Q437" s="20"/>
      <c r="R437" s="20"/>
      <c r="S437" s="20"/>
      <c r="T437" s="20"/>
      <c r="U437" s="20"/>
      <c r="V437" s="20"/>
      <c r="W437" s="20"/>
      <c r="X437" s="20"/>
      <c r="Y437" s="20"/>
      <c r="Z437" s="20"/>
      <c r="AA437" s="20"/>
      <c r="AB437" s="20"/>
      <c r="AC437" s="20"/>
      <c r="AD437" s="20"/>
      <c r="AE437" s="20"/>
      <c r="AF437" s="20"/>
      <c r="AG437" s="20"/>
      <c r="AH437" s="20"/>
      <c r="AI437" s="20"/>
      <c r="AJ437" s="20"/>
      <c r="AK437" s="20"/>
      <c r="AL437" s="20"/>
      <c r="AM437" s="20"/>
    </row>
    <row r="438" spans="3:39" ht="32.25" customHeight="1" x14ac:dyDescent="0.2">
      <c r="C438" s="17"/>
      <c r="D438" s="18"/>
      <c r="E438" s="19"/>
      <c r="F438" s="20"/>
      <c r="G438" s="20"/>
      <c r="H438" s="20"/>
      <c r="I438" s="20"/>
      <c r="J438" s="20"/>
      <c r="K438" s="20"/>
      <c r="L438" s="20"/>
      <c r="M438" s="20"/>
      <c r="N438" s="20"/>
      <c r="O438" s="20"/>
      <c r="P438" s="20"/>
      <c r="Q438" s="20"/>
      <c r="R438" s="20"/>
      <c r="S438" s="20"/>
      <c r="T438" s="20"/>
      <c r="U438" s="20"/>
      <c r="V438" s="20"/>
      <c r="W438" s="20"/>
      <c r="X438" s="20"/>
      <c r="Y438" s="20"/>
      <c r="Z438" s="20"/>
      <c r="AA438" s="20"/>
      <c r="AB438" s="20"/>
      <c r="AC438" s="20"/>
      <c r="AD438" s="20"/>
      <c r="AE438" s="20"/>
      <c r="AF438" s="20"/>
      <c r="AG438" s="20"/>
      <c r="AH438" s="20"/>
      <c r="AI438" s="20"/>
      <c r="AJ438" s="20"/>
      <c r="AK438" s="20"/>
      <c r="AL438" s="20"/>
      <c r="AM438" s="20"/>
    </row>
    <row r="439" spans="3:39" ht="32.25" customHeight="1" x14ac:dyDescent="0.2">
      <c r="C439" s="17"/>
      <c r="D439" s="18"/>
      <c r="E439" s="19"/>
      <c r="F439" s="20"/>
      <c r="G439" s="20"/>
      <c r="H439" s="20"/>
      <c r="I439" s="20"/>
      <c r="J439" s="20"/>
      <c r="K439" s="20"/>
      <c r="L439" s="20"/>
      <c r="M439" s="20"/>
      <c r="N439" s="20"/>
      <c r="O439" s="20"/>
      <c r="P439" s="20"/>
      <c r="Q439" s="20"/>
      <c r="R439" s="20"/>
      <c r="S439" s="20"/>
      <c r="T439" s="20"/>
      <c r="U439" s="20"/>
      <c r="V439" s="20"/>
      <c r="W439" s="20"/>
      <c r="X439" s="20"/>
      <c r="Y439" s="20"/>
      <c r="Z439" s="20"/>
      <c r="AA439" s="20"/>
      <c r="AB439" s="20"/>
      <c r="AC439" s="20"/>
      <c r="AD439" s="20"/>
      <c r="AE439" s="20"/>
      <c r="AF439" s="20"/>
      <c r="AG439" s="20"/>
      <c r="AH439" s="20"/>
      <c r="AI439" s="20"/>
      <c r="AJ439" s="20"/>
      <c r="AK439" s="20"/>
      <c r="AL439" s="20"/>
      <c r="AM439" s="20"/>
    </row>
    <row r="440" spans="3:39" ht="32.25" customHeight="1" x14ac:dyDescent="0.2">
      <c r="C440" s="17"/>
      <c r="D440" s="18"/>
      <c r="E440" s="19"/>
      <c r="F440" s="20"/>
      <c r="G440" s="20"/>
      <c r="H440" s="20"/>
      <c r="I440" s="20"/>
      <c r="J440" s="20"/>
      <c r="K440" s="20"/>
      <c r="L440" s="20"/>
      <c r="M440" s="20"/>
      <c r="N440" s="20"/>
      <c r="O440" s="20"/>
      <c r="P440" s="20"/>
      <c r="Q440" s="20"/>
      <c r="R440" s="20"/>
      <c r="S440" s="20"/>
      <c r="T440" s="20"/>
      <c r="U440" s="20"/>
      <c r="V440" s="20"/>
      <c r="W440" s="20"/>
      <c r="X440" s="20"/>
      <c r="Y440" s="20"/>
      <c r="Z440" s="20"/>
      <c r="AA440" s="20"/>
      <c r="AB440" s="20"/>
      <c r="AC440" s="20"/>
      <c r="AD440" s="20"/>
      <c r="AE440" s="20"/>
      <c r="AF440" s="20"/>
      <c r="AG440" s="20"/>
      <c r="AH440" s="20"/>
      <c r="AI440" s="20"/>
      <c r="AJ440" s="20"/>
      <c r="AK440" s="20"/>
      <c r="AL440" s="20"/>
      <c r="AM440" s="20"/>
    </row>
    <row r="441" spans="3:39" ht="32.25" customHeight="1" x14ac:dyDescent="0.2">
      <c r="C441" s="17"/>
      <c r="D441" s="18"/>
      <c r="E441" s="19"/>
      <c r="F441" s="20"/>
      <c r="G441" s="20"/>
      <c r="H441" s="20"/>
      <c r="I441" s="20"/>
      <c r="J441" s="20"/>
      <c r="K441" s="20"/>
      <c r="L441" s="20"/>
      <c r="M441" s="20"/>
      <c r="N441" s="20"/>
      <c r="O441" s="20"/>
      <c r="P441" s="20"/>
      <c r="Q441" s="20"/>
      <c r="R441" s="20"/>
      <c r="S441" s="20"/>
      <c r="T441" s="20"/>
      <c r="U441" s="20"/>
      <c r="V441" s="20"/>
      <c r="W441" s="20"/>
      <c r="X441" s="20"/>
      <c r="Y441" s="20"/>
      <c r="Z441" s="20"/>
      <c r="AA441" s="20"/>
      <c r="AB441" s="20"/>
      <c r="AC441" s="20"/>
      <c r="AD441" s="20"/>
      <c r="AE441" s="20"/>
      <c r="AF441" s="20"/>
      <c r="AG441" s="20"/>
      <c r="AH441" s="20"/>
      <c r="AI441" s="20"/>
      <c r="AJ441" s="20"/>
      <c r="AK441" s="20"/>
      <c r="AL441" s="20"/>
      <c r="AM441" s="20"/>
    </row>
    <row r="442" spans="3:39" ht="32.25" customHeight="1" x14ac:dyDescent="0.2">
      <c r="C442" s="17"/>
      <c r="D442" s="18"/>
      <c r="E442" s="19"/>
      <c r="F442" s="20"/>
      <c r="G442" s="20"/>
      <c r="H442" s="20"/>
      <c r="I442" s="20"/>
      <c r="J442" s="20"/>
      <c r="K442" s="20"/>
      <c r="L442" s="20"/>
      <c r="M442" s="20"/>
      <c r="N442" s="20"/>
      <c r="O442" s="20"/>
      <c r="P442" s="20"/>
      <c r="Q442" s="20"/>
      <c r="R442" s="20"/>
      <c r="S442" s="20"/>
      <c r="T442" s="20"/>
      <c r="U442" s="20"/>
      <c r="V442" s="20"/>
      <c r="W442" s="20"/>
      <c r="X442" s="20"/>
      <c r="Y442" s="20"/>
      <c r="Z442" s="20"/>
      <c r="AA442" s="20"/>
      <c r="AB442" s="20"/>
      <c r="AC442" s="20"/>
      <c r="AD442" s="20"/>
      <c r="AE442" s="20"/>
      <c r="AF442" s="20"/>
      <c r="AG442" s="20"/>
      <c r="AH442" s="20"/>
      <c r="AI442" s="20"/>
      <c r="AJ442" s="20"/>
      <c r="AK442" s="20"/>
      <c r="AL442" s="20"/>
      <c r="AM442" s="20"/>
    </row>
    <row r="443" spans="3:39" ht="32.25" customHeight="1" x14ac:dyDescent="0.2">
      <c r="C443" s="17"/>
      <c r="D443" s="18"/>
      <c r="E443" s="19"/>
      <c r="F443" s="20"/>
      <c r="G443" s="20"/>
      <c r="H443" s="20"/>
      <c r="I443" s="20"/>
      <c r="J443" s="20"/>
      <c r="K443" s="20"/>
      <c r="L443" s="20"/>
      <c r="M443" s="20"/>
      <c r="N443" s="20"/>
      <c r="O443" s="20"/>
      <c r="P443" s="20"/>
      <c r="Q443" s="20"/>
      <c r="R443" s="20"/>
      <c r="S443" s="20"/>
      <c r="T443" s="20"/>
      <c r="U443" s="20"/>
      <c r="V443" s="20"/>
      <c r="W443" s="20"/>
      <c r="X443" s="20"/>
      <c r="Y443" s="20"/>
      <c r="Z443" s="20"/>
      <c r="AA443" s="20"/>
      <c r="AB443" s="20"/>
      <c r="AC443" s="20"/>
      <c r="AD443" s="20"/>
      <c r="AE443" s="20"/>
      <c r="AF443" s="20"/>
      <c r="AG443" s="20"/>
      <c r="AH443" s="20"/>
      <c r="AI443" s="20"/>
      <c r="AJ443" s="20"/>
      <c r="AK443" s="20"/>
      <c r="AL443" s="20"/>
      <c r="AM443" s="20"/>
    </row>
    <row r="444" spans="3:39" ht="32.25" customHeight="1" x14ac:dyDescent="0.2">
      <c r="C444" s="17"/>
      <c r="D444" s="18"/>
      <c r="E444" s="19"/>
      <c r="F444" s="20"/>
      <c r="G444" s="20"/>
      <c r="H444" s="20"/>
      <c r="I444" s="20"/>
      <c r="J444" s="20"/>
      <c r="K444" s="20"/>
      <c r="L444" s="20"/>
      <c r="M444" s="20"/>
      <c r="N444" s="20"/>
      <c r="O444" s="20"/>
      <c r="P444" s="20"/>
      <c r="Q444" s="20"/>
      <c r="R444" s="20"/>
      <c r="S444" s="20"/>
      <c r="T444" s="20"/>
      <c r="U444" s="20"/>
      <c r="V444" s="20"/>
      <c r="W444" s="20"/>
      <c r="X444" s="20"/>
      <c r="Y444" s="20"/>
      <c r="Z444" s="20"/>
      <c r="AA444" s="20"/>
      <c r="AB444" s="20"/>
      <c r="AC444" s="20"/>
      <c r="AD444" s="20"/>
      <c r="AE444" s="20"/>
      <c r="AF444" s="20"/>
      <c r="AG444" s="20"/>
      <c r="AH444" s="20"/>
      <c r="AI444" s="20"/>
      <c r="AJ444" s="20"/>
      <c r="AK444" s="20"/>
      <c r="AL444" s="20"/>
      <c r="AM444" s="20"/>
    </row>
    <row r="445" spans="3:39" ht="32.25" customHeight="1" x14ac:dyDescent="0.2">
      <c r="C445" s="17"/>
      <c r="D445" s="18"/>
      <c r="E445" s="19"/>
      <c r="F445" s="20"/>
      <c r="G445" s="20"/>
      <c r="H445" s="20"/>
      <c r="I445" s="20"/>
      <c r="J445" s="20"/>
      <c r="K445" s="20"/>
      <c r="L445" s="20"/>
      <c r="M445" s="20"/>
      <c r="N445" s="20"/>
      <c r="O445" s="20"/>
      <c r="P445" s="20"/>
      <c r="Q445" s="20"/>
      <c r="R445" s="20"/>
      <c r="S445" s="20"/>
      <c r="T445" s="20"/>
      <c r="U445" s="20"/>
      <c r="V445" s="20"/>
      <c r="W445" s="20"/>
      <c r="X445" s="20"/>
      <c r="Y445" s="20"/>
      <c r="Z445" s="20"/>
      <c r="AA445" s="20"/>
      <c r="AB445" s="20"/>
      <c r="AC445" s="20"/>
      <c r="AD445" s="20"/>
      <c r="AE445" s="20"/>
      <c r="AF445" s="20"/>
      <c r="AG445" s="20"/>
      <c r="AH445" s="20"/>
      <c r="AI445" s="20"/>
      <c r="AJ445" s="20"/>
      <c r="AK445" s="20"/>
      <c r="AL445" s="20"/>
      <c r="AM445" s="20"/>
    </row>
    <row r="446" spans="3:39" ht="32.25" customHeight="1" x14ac:dyDescent="0.2">
      <c r="C446" s="17"/>
      <c r="D446" s="18"/>
      <c r="E446" s="19"/>
      <c r="F446" s="20"/>
      <c r="G446" s="20"/>
      <c r="H446" s="20"/>
      <c r="I446" s="20"/>
      <c r="J446" s="20"/>
      <c r="K446" s="20"/>
      <c r="L446" s="20"/>
      <c r="M446" s="20"/>
      <c r="N446" s="20"/>
      <c r="O446" s="20"/>
      <c r="P446" s="20"/>
      <c r="Q446" s="20"/>
      <c r="R446" s="20"/>
      <c r="S446" s="20"/>
      <c r="T446" s="20"/>
      <c r="U446" s="20"/>
      <c r="V446" s="20"/>
      <c r="W446" s="20"/>
      <c r="X446" s="20"/>
      <c r="Y446" s="20"/>
      <c r="Z446" s="20"/>
      <c r="AA446" s="20"/>
      <c r="AB446" s="20"/>
      <c r="AC446" s="20"/>
      <c r="AD446" s="20"/>
      <c r="AE446" s="20"/>
      <c r="AF446" s="20"/>
      <c r="AG446" s="20"/>
      <c r="AH446" s="20"/>
      <c r="AI446" s="20"/>
      <c r="AJ446" s="20"/>
      <c r="AK446" s="20"/>
      <c r="AL446" s="20"/>
      <c r="AM446" s="20"/>
    </row>
    <row r="447" spans="3:39" ht="32.25" customHeight="1" x14ac:dyDescent="0.2">
      <c r="C447" s="17"/>
      <c r="D447" s="18"/>
      <c r="E447" s="19"/>
      <c r="F447" s="20"/>
      <c r="G447" s="20"/>
      <c r="H447" s="20"/>
      <c r="I447" s="20"/>
      <c r="J447" s="20"/>
      <c r="K447" s="20"/>
      <c r="L447" s="20"/>
      <c r="M447" s="20"/>
      <c r="N447" s="20"/>
      <c r="O447" s="20"/>
      <c r="P447" s="20"/>
      <c r="Q447" s="20"/>
      <c r="R447" s="20"/>
      <c r="S447" s="20"/>
      <c r="T447" s="20"/>
      <c r="U447" s="20"/>
      <c r="V447" s="20"/>
      <c r="W447" s="20"/>
      <c r="X447" s="20"/>
      <c r="Y447" s="20"/>
      <c r="Z447" s="20"/>
      <c r="AA447" s="20"/>
      <c r="AB447" s="20"/>
      <c r="AC447" s="20"/>
      <c r="AD447" s="20"/>
      <c r="AE447" s="20"/>
      <c r="AF447" s="20"/>
      <c r="AG447" s="20"/>
      <c r="AH447" s="20"/>
      <c r="AI447" s="20"/>
      <c r="AJ447" s="20"/>
      <c r="AK447" s="20"/>
      <c r="AL447" s="20"/>
      <c r="AM447" s="20"/>
    </row>
    <row r="448" spans="3:39" ht="32.25" customHeight="1" x14ac:dyDescent="0.2">
      <c r="C448" s="17"/>
      <c r="D448" s="18"/>
      <c r="E448" s="19"/>
      <c r="F448" s="20"/>
      <c r="G448" s="20"/>
      <c r="H448" s="20"/>
      <c r="I448" s="20"/>
      <c r="J448" s="20"/>
      <c r="K448" s="20"/>
      <c r="L448" s="20"/>
      <c r="M448" s="20"/>
      <c r="N448" s="20"/>
      <c r="O448" s="20"/>
      <c r="P448" s="20"/>
      <c r="Q448" s="20"/>
      <c r="R448" s="20"/>
      <c r="S448" s="20"/>
      <c r="T448" s="20"/>
      <c r="U448" s="20"/>
      <c r="V448" s="20"/>
      <c r="W448" s="20"/>
      <c r="X448" s="20"/>
      <c r="Y448" s="20"/>
      <c r="Z448" s="20"/>
      <c r="AA448" s="20"/>
      <c r="AB448" s="20"/>
      <c r="AC448" s="20"/>
      <c r="AD448" s="20"/>
      <c r="AE448" s="20"/>
      <c r="AF448" s="20"/>
      <c r="AG448" s="20"/>
      <c r="AH448" s="20"/>
      <c r="AI448" s="20"/>
      <c r="AJ448" s="20"/>
      <c r="AK448" s="20"/>
      <c r="AL448" s="20"/>
      <c r="AM448" s="20"/>
    </row>
    <row r="449" spans="3:39" ht="32.25" customHeight="1" x14ac:dyDescent="0.2">
      <c r="C449" s="17"/>
      <c r="D449" s="18"/>
      <c r="E449" s="19"/>
      <c r="F449" s="20"/>
      <c r="G449" s="20"/>
      <c r="H449" s="20"/>
      <c r="I449" s="20"/>
      <c r="J449" s="20"/>
      <c r="K449" s="20"/>
      <c r="L449" s="20"/>
      <c r="M449" s="20"/>
      <c r="N449" s="20"/>
      <c r="O449" s="20"/>
      <c r="P449" s="20"/>
      <c r="Q449" s="20"/>
      <c r="R449" s="20"/>
      <c r="S449" s="20"/>
      <c r="T449" s="20"/>
      <c r="U449" s="20"/>
      <c r="V449" s="20"/>
      <c r="W449" s="20"/>
      <c r="X449" s="20"/>
      <c r="Y449" s="20"/>
      <c r="Z449" s="20"/>
      <c r="AA449" s="20"/>
      <c r="AB449" s="20"/>
      <c r="AC449" s="20"/>
      <c r="AD449" s="20"/>
      <c r="AE449" s="20"/>
      <c r="AF449" s="20"/>
      <c r="AG449" s="20"/>
      <c r="AH449" s="20"/>
      <c r="AI449" s="20"/>
      <c r="AJ449" s="20"/>
      <c r="AK449" s="20"/>
      <c r="AL449" s="20"/>
      <c r="AM449" s="20"/>
    </row>
    <row r="450" spans="3:39" ht="32.25" customHeight="1" x14ac:dyDescent="0.2">
      <c r="C450" s="17"/>
      <c r="D450" s="18"/>
      <c r="E450" s="19"/>
      <c r="F450" s="20"/>
      <c r="G450" s="20"/>
      <c r="H450" s="20"/>
      <c r="I450" s="20"/>
      <c r="J450" s="20"/>
      <c r="K450" s="20"/>
      <c r="L450" s="20"/>
      <c r="M450" s="20"/>
      <c r="N450" s="20"/>
      <c r="O450" s="20"/>
      <c r="P450" s="20"/>
      <c r="Q450" s="20"/>
      <c r="R450" s="20"/>
      <c r="S450" s="20"/>
      <c r="T450" s="20"/>
      <c r="U450" s="20"/>
      <c r="V450" s="20"/>
      <c r="W450" s="20"/>
      <c r="X450" s="20"/>
      <c r="Y450" s="20"/>
      <c r="Z450" s="20"/>
      <c r="AA450" s="20"/>
      <c r="AB450" s="20"/>
      <c r="AC450" s="20"/>
      <c r="AD450" s="20"/>
      <c r="AE450" s="20"/>
      <c r="AF450" s="20"/>
      <c r="AG450" s="20"/>
      <c r="AH450" s="20"/>
      <c r="AI450" s="20"/>
      <c r="AJ450" s="20"/>
      <c r="AK450" s="20"/>
      <c r="AL450" s="20"/>
      <c r="AM450" s="20"/>
    </row>
    <row r="451" spans="3:39" ht="32.25" customHeight="1" x14ac:dyDescent="0.2">
      <c r="C451" s="17"/>
      <c r="D451" s="18"/>
      <c r="E451" s="19"/>
      <c r="F451" s="20"/>
      <c r="G451" s="20"/>
      <c r="H451" s="20"/>
      <c r="I451" s="20"/>
      <c r="J451" s="20"/>
      <c r="K451" s="20"/>
      <c r="L451" s="20"/>
      <c r="M451" s="20"/>
      <c r="N451" s="20"/>
      <c r="O451" s="20"/>
      <c r="P451" s="20"/>
      <c r="Q451" s="20"/>
      <c r="R451" s="20"/>
      <c r="S451" s="20"/>
      <c r="T451" s="20"/>
      <c r="U451" s="20"/>
      <c r="V451" s="20"/>
      <c r="W451" s="20"/>
      <c r="X451" s="20"/>
      <c r="Y451" s="20"/>
      <c r="Z451" s="20"/>
      <c r="AA451" s="20"/>
      <c r="AB451" s="20"/>
      <c r="AC451" s="20"/>
      <c r="AD451" s="20"/>
      <c r="AE451" s="20"/>
      <c r="AF451" s="20"/>
      <c r="AG451" s="20"/>
      <c r="AH451" s="20"/>
      <c r="AI451" s="20"/>
      <c r="AJ451" s="20"/>
      <c r="AK451" s="20"/>
      <c r="AL451" s="20"/>
      <c r="AM451" s="20"/>
    </row>
    <row r="452" spans="3:39" ht="32.25" customHeight="1" x14ac:dyDescent="0.2">
      <c r="C452" s="17"/>
      <c r="D452" s="18"/>
      <c r="E452" s="19"/>
      <c r="F452" s="20"/>
      <c r="G452" s="20"/>
      <c r="H452" s="20"/>
      <c r="I452" s="20"/>
      <c r="J452" s="20"/>
      <c r="K452" s="20"/>
      <c r="L452" s="20"/>
      <c r="M452" s="20"/>
      <c r="N452" s="20"/>
      <c r="O452" s="20"/>
      <c r="P452" s="20"/>
      <c r="Q452" s="20"/>
      <c r="R452" s="20"/>
      <c r="S452" s="20"/>
      <c r="T452" s="20"/>
      <c r="U452" s="20"/>
      <c r="V452" s="20"/>
      <c r="W452" s="20"/>
      <c r="X452" s="20"/>
      <c r="Y452" s="20"/>
      <c r="Z452" s="20"/>
      <c r="AA452" s="20"/>
      <c r="AB452" s="20"/>
      <c r="AC452" s="20"/>
      <c r="AD452" s="20"/>
      <c r="AE452" s="20"/>
      <c r="AF452" s="20"/>
      <c r="AG452" s="20"/>
      <c r="AH452" s="20"/>
      <c r="AI452" s="20"/>
      <c r="AJ452" s="20"/>
      <c r="AK452" s="20"/>
      <c r="AL452" s="20"/>
      <c r="AM452" s="20"/>
    </row>
    <row r="453" spans="3:39" ht="32.25" customHeight="1" x14ac:dyDescent="0.2">
      <c r="C453" s="17"/>
      <c r="D453" s="18"/>
      <c r="E453" s="19"/>
      <c r="F453" s="20"/>
      <c r="G453" s="20"/>
      <c r="H453" s="20"/>
      <c r="I453" s="20"/>
      <c r="J453" s="20"/>
      <c r="K453" s="20"/>
      <c r="L453" s="20"/>
      <c r="M453" s="20"/>
      <c r="N453" s="20"/>
      <c r="O453" s="20"/>
      <c r="P453" s="20"/>
      <c r="Q453" s="20"/>
      <c r="R453" s="20"/>
      <c r="S453" s="20"/>
      <c r="T453" s="20"/>
      <c r="U453" s="20"/>
      <c r="V453" s="20"/>
      <c r="W453" s="20"/>
      <c r="X453" s="20"/>
      <c r="Y453" s="20"/>
      <c r="Z453" s="20"/>
      <c r="AA453" s="20"/>
      <c r="AB453" s="20"/>
      <c r="AC453" s="20"/>
      <c r="AD453" s="20"/>
      <c r="AE453" s="20"/>
      <c r="AF453" s="20"/>
      <c r="AG453" s="20"/>
      <c r="AH453" s="20"/>
      <c r="AI453" s="20"/>
      <c r="AJ453" s="20"/>
      <c r="AK453" s="20"/>
      <c r="AL453" s="20"/>
      <c r="AM453" s="20"/>
    </row>
    <row r="454" spans="3:39" ht="32.25" customHeight="1" x14ac:dyDescent="0.2">
      <c r="C454" s="17"/>
      <c r="D454" s="18"/>
      <c r="E454" s="19"/>
      <c r="F454" s="20"/>
      <c r="G454" s="20"/>
      <c r="H454" s="20"/>
      <c r="I454" s="20"/>
      <c r="J454" s="20"/>
      <c r="K454" s="20"/>
      <c r="L454" s="20"/>
      <c r="M454" s="20"/>
      <c r="N454" s="20"/>
      <c r="O454" s="20"/>
      <c r="P454" s="20"/>
      <c r="Q454" s="20"/>
      <c r="R454" s="20"/>
      <c r="S454" s="20"/>
      <c r="T454" s="20"/>
      <c r="U454" s="20"/>
      <c r="V454" s="20"/>
      <c r="W454" s="20"/>
      <c r="X454" s="20"/>
      <c r="Y454" s="20"/>
      <c r="Z454" s="20"/>
      <c r="AA454" s="20"/>
      <c r="AB454" s="20"/>
      <c r="AC454" s="20"/>
      <c r="AD454" s="20"/>
      <c r="AE454" s="20"/>
      <c r="AF454" s="20"/>
      <c r="AG454" s="20"/>
      <c r="AH454" s="20"/>
      <c r="AI454" s="20"/>
      <c r="AJ454" s="20"/>
      <c r="AK454" s="20"/>
      <c r="AL454" s="20"/>
      <c r="AM454" s="20"/>
    </row>
    <row r="455" spans="3:39" ht="32.25" customHeight="1" x14ac:dyDescent="0.2">
      <c r="C455" s="17"/>
      <c r="D455" s="18"/>
      <c r="E455" s="19"/>
      <c r="F455" s="20"/>
      <c r="G455" s="20"/>
      <c r="H455" s="20"/>
      <c r="I455" s="20"/>
      <c r="J455" s="20"/>
      <c r="K455" s="20"/>
      <c r="L455" s="20"/>
      <c r="M455" s="20"/>
      <c r="N455" s="20"/>
      <c r="O455" s="20"/>
      <c r="P455" s="20"/>
      <c r="Q455" s="20"/>
      <c r="R455" s="20"/>
      <c r="S455" s="20"/>
      <c r="T455" s="20"/>
      <c r="U455" s="20"/>
      <c r="V455" s="20"/>
      <c r="W455" s="20"/>
      <c r="X455" s="20"/>
      <c r="Y455" s="20"/>
      <c r="Z455" s="20"/>
      <c r="AA455" s="20"/>
      <c r="AB455" s="20"/>
      <c r="AC455" s="20"/>
      <c r="AD455" s="20"/>
      <c r="AE455" s="20"/>
      <c r="AF455" s="20"/>
      <c r="AG455" s="20"/>
      <c r="AH455" s="20"/>
      <c r="AI455" s="20"/>
      <c r="AJ455" s="20"/>
      <c r="AK455" s="20"/>
      <c r="AL455" s="20"/>
      <c r="AM455" s="20"/>
    </row>
    <row r="456" spans="3:39" ht="32.25" customHeight="1" x14ac:dyDescent="0.2">
      <c r="C456" s="17"/>
      <c r="D456" s="18"/>
      <c r="E456" s="19"/>
      <c r="F456" s="20"/>
      <c r="G456" s="20"/>
      <c r="H456" s="20"/>
      <c r="I456" s="20"/>
      <c r="J456" s="20"/>
      <c r="K456" s="20"/>
      <c r="L456" s="20"/>
      <c r="M456" s="20"/>
      <c r="N456" s="20"/>
      <c r="O456" s="20"/>
      <c r="P456" s="20"/>
      <c r="Q456" s="20"/>
      <c r="R456" s="20"/>
      <c r="S456" s="20"/>
      <c r="T456" s="20"/>
      <c r="U456" s="20"/>
      <c r="V456" s="20"/>
      <c r="W456" s="20"/>
      <c r="X456" s="20"/>
      <c r="Y456" s="20"/>
      <c r="Z456" s="20"/>
      <c r="AA456" s="20"/>
      <c r="AB456" s="20"/>
      <c r="AC456" s="20"/>
      <c r="AD456" s="20"/>
      <c r="AE456" s="20"/>
      <c r="AF456" s="20"/>
      <c r="AG456" s="20"/>
      <c r="AH456" s="20"/>
      <c r="AI456" s="20"/>
      <c r="AJ456" s="20"/>
      <c r="AK456" s="20"/>
      <c r="AL456" s="20"/>
      <c r="AM456" s="20"/>
    </row>
    <row r="457" spans="3:39" ht="32.25" customHeight="1" x14ac:dyDescent="0.2">
      <c r="C457" s="17"/>
      <c r="D457" s="18"/>
      <c r="E457" s="19"/>
      <c r="F457" s="20"/>
      <c r="G457" s="20"/>
      <c r="H457" s="20"/>
      <c r="I457" s="20"/>
      <c r="J457" s="20"/>
      <c r="K457" s="20"/>
      <c r="L457" s="20"/>
      <c r="M457" s="20"/>
      <c r="N457" s="20"/>
      <c r="O457" s="20"/>
      <c r="P457" s="20"/>
      <c r="Q457" s="20"/>
      <c r="R457" s="20"/>
      <c r="S457" s="20"/>
      <c r="T457" s="20"/>
      <c r="U457" s="20"/>
      <c r="V457" s="20"/>
      <c r="W457" s="20"/>
      <c r="X457" s="20"/>
      <c r="Y457" s="20"/>
      <c r="Z457" s="20"/>
      <c r="AA457" s="20"/>
      <c r="AB457" s="20"/>
      <c r="AC457" s="20"/>
      <c r="AD457" s="20"/>
      <c r="AE457" s="20"/>
      <c r="AF457" s="20"/>
      <c r="AG457" s="20"/>
      <c r="AH457" s="20"/>
      <c r="AI457" s="20"/>
      <c r="AJ457" s="20"/>
      <c r="AK457" s="20"/>
      <c r="AL457" s="20"/>
      <c r="AM457" s="20"/>
    </row>
    <row r="458" spans="3:39" ht="32.25" customHeight="1" x14ac:dyDescent="0.2">
      <c r="C458" s="17"/>
      <c r="D458" s="18"/>
      <c r="E458" s="19"/>
      <c r="F458" s="20"/>
      <c r="G458" s="20"/>
      <c r="H458" s="20"/>
      <c r="I458" s="20"/>
      <c r="J458" s="20"/>
      <c r="K458" s="20"/>
      <c r="L458" s="20"/>
      <c r="M458" s="20"/>
      <c r="N458" s="20"/>
      <c r="O458" s="20"/>
      <c r="P458" s="20"/>
      <c r="Q458" s="20"/>
      <c r="R458" s="20"/>
      <c r="S458" s="20"/>
      <c r="T458" s="20"/>
      <c r="U458" s="20"/>
      <c r="V458" s="20"/>
      <c r="W458" s="20"/>
      <c r="X458" s="20"/>
      <c r="Y458" s="20"/>
      <c r="Z458" s="20"/>
      <c r="AA458" s="20"/>
      <c r="AB458" s="20"/>
      <c r="AC458" s="20"/>
      <c r="AD458" s="20"/>
      <c r="AE458" s="20"/>
      <c r="AF458" s="20"/>
      <c r="AG458" s="20"/>
      <c r="AH458" s="20"/>
      <c r="AI458" s="20"/>
      <c r="AJ458" s="20"/>
      <c r="AK458" s="20"/>
      <c r="AL458" s="20"/>
      <c r="AM458" s="20"/>
    </row>
    <row r="459" spans="3:39" ht="32.25" customHeight="1" x14ac:dyDescent="0.2">
      <c r="C459" s="17"/>
      <c r="D459" s="18"/>
      <c r="E459" s="19"/>
      <c r="F459" s="20"/>
      <c r="G459" s="20"/>
      <c r="H459" s="20"/>
      <c r="I459" s="20"/>
      <c r="J459" s="20"/>
      <c r="K459" s="20"/>
      <c r="L459" s="20"/>
      <c r="M459" s="20"/>
      <c r="N459" s="20"/>
      <c r="O459" s="20"/>
      <c r="P459" s="20"/>
      <c r="Q459" s="20"/>
      <c r="R459" s="20"/>
      <c r="S459" s="20"/>
      <c r="T459" s="20"/>
      <c r="U459" s="20"/>
      <c r="V459" s="20"/>
      <c r="W459" s="20"/>
      <c r="X459" s="20"/>
      <c r="Y459" s="20"/>
      <c r="Z459" s="20"/>
      <c r="AA459" s="20"/>
      <c r="AB459" s="20"/>
      <c r="AC459" s="20"/>
      <c r="AD459" s="20"/>
      <c r="AE459" s="20"/>
      <c r="AF459" s="20"/>
      <c r="AG459" s="20"/>
      <c r="AH459" s="20"/>
      <c r="AI459" s="20"/>
      <c r="AJ459" s="20"/>
      <c r="AK459" s="20"/>
      <c r="AL459" s="20"/>
      <c r="AM459" s="20"/>
    </row>
    <row r="460" spans="3:39" ht="32.25" customHeight="1" x14ac:dyDescent="0.2">
      <c r="C460" s="17"/>
      <c r="D460" s="18"/>
      <c r="E460" s="19"/>
      <c r="F460" s="20"/>
      <c r="G460" s="20"/>
      <c r="H460" s="20"/>
      <c r="I460" s="20"/>
      <c r="J460" s="20"/>
      <c r="K460" s="20"/>
      <c r="L460" s="20"/>
      <c r="M460" s="20"/>
      <c r="N460" s="20"/>
      <c r="O460" s="20"/>
      <c r="P460" s="20"/>
      <c r="Q460" s="20"/>
      <c r="R460" s="20"/>
      <c r="S460" s="20"/>
      <c r="T460" s="20"/>
      <c r="U460" s="20"/>
      <c r="V460" s="20"/>
      <c r="W460" s="20"/>
      <c r="X460" s="20"/>
      <c r="Y460" s="20"/>
      <c r="Z460" s="20"/>
      <c r="AA460" s="20"/>
      <c r="AB460" s="20"/>
      <c r="AC460" s="20"/>
      <c r="AD460" s="20"/>
      <c r="AE460" s="20"/>
      <c r="AF460" s="20"/>
      <c r="AG460" s="20"/>
      <c r="AH460" s="20"/>
      <c r="AI460" s="20"/>
      <c r="AJ460" s="20"/>
      <c r="AK460" s="20"/>
      <c r="AL460" s="20"/>
      <c r="AM460" s="20"/>
    </row>
    <row r="461" spans="3:39" ht="32.25" customHeight="1" x14ac:dyDescent="0.2">
      <c r="C461" s="17"/>
      <c r="D461" s="18"/>
      <c r="E461" s="19"/>
      <c r="F461" s="20"/>
      <c r="G461" s="20"/>
      <c r="H461" s="20"/>
      <c r="I461" s="20"/>
      <c r="J461" s="20"/>
      <c r="K461" s="20"/>
      <c r="L461" s="20"/>
      <c r="M461" s="20"/>
      <c r="N461" s="20"/>
      <c r="O461" s="20"/>
      <c r="P461" s="20"/>
      <c r="Q461" s="20"/>
      <c r="R461" s="20"/>
      <c r="S461" s="20"/>
      <c r="T461" s="20"/>
      <c r="U461" s="20"/>
      <c r="V461" s="20"/>
      <c r="W461" s="20"/>
      <c r="X461" s="20"/>
      <c r="Y461" s="20"/>
      <c r="Z461" s="20"/>
      <c r="AA461" s="20"/>
      <c r="AB461" s="20"/>
      <c r="AC461" s="20"/>
      <c r="AD461" s="20"/>
      <c r="AE461" s="20"/>
      <c r="AF461" s="20"/>
      <c r="AG461" s="20"/>
      <c r="AH461" s="20"/>
      <c r="AI461" s="20"/>
      <c r="AJ461" s="20"/>
      <c r="AK461" s="20"/>
      <c r="AL461" s="20"/>
      <c r="AM461" s="20"/>
    </row>
    <row r="462" spans="3:39" ht="32.25" customHeight="1" x14ac:dyDescent="0.2">
      <c r="C462" s="17"/>
      <c r="D462" s="18"/>
      <c r="E462" s="19"/>
      <c r="F462" s="20"/>
      <c r="G462" s="20"/>
      <c r="H462" s="20"/>
      <c r="I462" s="20"/>
      <c r="J462" s="20"/>
      <c r="K462" s="20"/>
      <c r="L462" s="20"/>
      <c r="M462" s="20"/>
      <c r="N462" s="20"/>
      <c r="O462" s="20"/>
      <c r="P462" s="20"/>
      <c r="Q462" s="20"/>
      <c r="R462" s="20"/>
      <c r="S462" s="20"/>
      <c r="T462" s="20"/>
      <c r="U462" s="20"/>
      <c r="V462" s="20"/>
      <c r="W462" s="20"/>
      <c r="X462" s="20"/>
      <c r="Y462" s="20"/>
      <c r="Z462" s="20"/>
      <c r="AA462" s="20"/>
      <c r="AB462" s="20"/>
      <c r="AC462" s="20"/>
      <c r="AD462" s="20"/>
      <c r="AE462" s="20"/>
      <c r="AF462" s="20"/>
      <c r="AG462" s="20"/>
      <c r="AH462" s="20"/>
      <c r="AI462" s="20"/>
      <c r="AJ462" s="20"/>
      <c r="AK462" s="20"/>
      <c r="AL462" s="20"/>
      <c r="AM462" s="20"/>
    </row>
    <row r="463" spans="3:39" ht="32.25" customHeight="1" x14ac:dyDescent="0.2">
      <c r="C463" s="17"/>
      <c r="D463" s="18"/>
      <c r="E463" s="19"/>
      <c r="F463" s="20"/>
      <c r="G463" s="20"/>
      <c r="H463" s="20"/>
      <c r="I463" s="20"/>
      <c r="J463" s="20"/>
      <c r="K463" s="20"/>
      <c r="L463" s="20"/>
      <c r="M463" s="20"/>
      <c r="N463" s="20"/>
      <c r="O463" s="20"/>
      <c r="P463" s="20"/>
      <c r="Q463" s="20"/>
      <c r="R463" s="20"/>
      <c r="S463" s="20"/>
      <c r="T463" s="20"/>
      <c r="U463" s="20"/>
      <c r="V463" s="20"/>
      <c r="W463" s="20"/>
      <c r="X463" s="20"/>
      <c r="Y463" s="20"/>
      <c r="Z463" s="20"/>
      <c r="AA463" s="20"/>
      <c r="AB463" s="20"/>
      <c r="AC463" s="20"/>
      <c r="AD463" s="20"/>
      <c r="AE463" s="20"/>
      <c r="AF463" s="20"/>
      <c r="AG463" s="20"/>
      <c r="AH463" s="20"/>
      <c r="AI463" s="20"/>
      <c r="AJ463" s="20"/>
      <c r="AK463" s="20"/>
      <c r="AL463" s="20"/>
      <c r="AM463" s="20"/>
    </row>
    <row r="464" spans="3:39" ht="32.25" customHeight="1" x14ac:dyDescent="0.2">
      <c r="C464" s="17"/>
      <c r="D464" s="18"/>
      <c r="E464" s="19"/>
      <c r="F464" s="20"/>
      <c r="G464" s="20"/>
      <c r="H464" s="20"/>
      <c r="I464" s="20"/>
      <c r="J464" s="20"/>
      <c r="K464" s="20"/>
      <c r="L464" s="20"/>
      <c r="M464" s="20"/>
      <c r="N464" s="20"/>
      <c r="O464" s="20"/>
      <c r="P464" s="20"/>
      <c r="Q464" s="20"/>
      <c r="R464" s="20"/>
      <c r="S464" s="20"/>
      <c r="T464" s="20"/>
      <c r="U464" s="20"/>
      <c r="V464" s="20"/>
      <c r="W464" s="20"/>
      <c r="X464" s="20"/>
      <c r="Y464" s="20"/>
      <c r="Z464" s="20"/>
      <c r="AA464" s="20"/>
      <c r="AB464" s="20"/>
      <c r="AC464" s="20"/>
      <c r="AD464" s="20"/>
      <c r="AE464" s="20"/>
      <c r="AF464" s="20"/>
      <c r="AG464" s="20"/>
      <c r="AH464" s="20"/>
      <c r="AI464" s="20"/>
      <c r="AJ464" s="20"/>
      <c r="AK464" s="20"/>
      <c r="AL464" s="20"/>
      <c r="AM464" s="20"/>
    </row>
    <row r="465" spans="3:39" ht="32.25" customHeight="1" x14ac:dyDescent="0.2">
      <c r="C465" s="17"/>
      <c r="D465" s="18"/>
      <c r="E465" s="19"/>
      <c r="F465" s="20"/>
      <c r="G465" s="20"/>
      <c r="H465" s="20"/>
      <c r="I465" s="20"/>
      <c r="J465" s="20"/>
      <c r="K465" s="20"/>
      <c r="L465" s="20"/>
      <c r="M465" s="20"/>
      <c r="N465" s="20"/>
      <c r="O465" s="20"/>
      <c r="P465" s="20"/>
      <c r="Q465" s="20"/>
      <c r="R465" s="20"/>
      <c r="S465" s="20"/>
      <c r="T465" s="20"/>
      <c r="U465" s="20"/>
      <c r="V465" s="20"/>
      <c r="W465" s="20"/>
      <c r="X465" s="20"/>
      <c r="Y465" s="20"/>
      <c r="Z465" s="20"/>
      <c r="AA465" s="20"/>
      <c r="AB465" s="20"/>
      <c r="AC465" s="20"/>
      <c r="AD465" s="20"/>
      <c r="AE465" s="20"/>
      <c r="AF465" s="20"/>
      <c r="AG465" s="20"/>
      <c r="AH465" s="20"/>
      <c r="AI465" s="20"/>
      <c r="AJ465" s="20"/>
      <c r="AK465" s="20"/>
      <c r="AL465" s="20"/>
      <c r="AM465" s="20"/>
    </row>
    <row r="466" spans="3:39" ht="32.25" customHeight="1" x14ac:dyDescent="0.2">
      <c r="C466" s="17"/>
      <c r="D466" s="18"/>
      <c r="E466" s="19"/>
      <c r="F466" s="20"/>
      <c r="G466" s="20"/>
      <c r="H466" s="20"/>
      <c r="I466" s="20"/>
      <c r="J466" s="20"/>
      <c r="K466" s="20"/>
      <c r="L466" s="20"/>
      <c r="M466" s="20"/>
      <c r="N466" s="20"/>
      <c r="O466" s="20"/>
      <c r="P466" s="20"/>
      <c r="Q466" s="20"/>
      <c r="R466" s="20"/>
      <c r="S466" s="20"/>
      <c r="T466" s="20"/>
      <c r="U466" s="20"/>
      <c r="V466" s="20"/>
      <c r="W466" s="20"/>
      <c r="X466" s="20"/>
      <c r="Y466" s="20"/>
      <c r="Z466" s="20"/>
      <c r="AA466" s="20"/>
      <c r="AB466" s="20"/>
      <c r="AC466" s="20"/>
      <c r="AD466" s="20"/>
      <c r="AE466" s="20"/>
      <c r="AF466" s="20"/>
      <c r="AG466" s="20"/>
      <c r="AH466" s="20"/>
      <c r="AI466" s="20"/>
      <c r="AJ466" s="20"/>
      <c r="AK466" s="20"/>
      <c r="AL466" s="20"/>
      <c r="AM466" s="20"/>
    </row>
    <row r="467" spans="3:39" ht="32.25" customHeight="1" x14ac:dyDescent="0.2">
      <c r="C467" s="17"/>
      <c r="D467" s="18"/>
      <c r="E467" s="19"/>
      <c r="F467" s="20"/>
      <c r="G467" s="20"/>
      <c r="H467" s="20"/>
      <c r="I467" s="20"/>
      <c r="J467" s="20"/>
      <c r="K467" s="20"/>
      <c r="L467" s="20"/>
      <c r="M467" s="20"/>
      <c r="N467" s="20"/>
      <c r="O467" s="20"/>
      <c r="P467" s="20"/>
      <c r="Q467" s="20"/>
      <c r="R467" s="20"/>
      <c r="S467" s="20"/>
      <c r="T467" s="20"/>
      <c r="U467" s="20"/>
      <c r="V467" s="20"/>
      <c r="W467" s="20"/>
      <c r="X467" s="20"/>
      <c r="Y467" s="20"/>
      <c r="Z467" s="20"/>
      <c r="AA467" s="20"/>
      <c r="AB467" s="20"/>
      <c r="AC467" s="20"/>
      <c r="AD467" s="20"/>
      <c r="AE467" s="20"/>
      <c r="AF467" s="20"/>
      <c r="AG467" s="20"/>
      <c r="AH467" s="20"/>
      <c r="AI467" s="20"/>
      <c r="AJ467" s="20"/>
      <c r="AK467" s="20"/>
      <c r="AL467" s="20"/>
      <c r="AM467" s="20"/>
    </row>
    <row r="468" spans="3:39" ht="32.25" customHeight="1" x14ac:dyDescent="0.2">
      <c r="C468" s="17"/>
      <c r="D468" s="18"/>
      <c r="E468" s="19"/>
      <c r="F468" s="20"/>
      <c r="G468" s="20"/>
      <c r="H468" s="20"/>
      <c r="I468" s="20"/>
      <c r="J468" s="20"/>
      <c r="K468" s="20"/>
      <c r="L468" s="20"/>
      <c r="M468" s="20"/>
      <c r="N468" s="20"/>
      <c r="O468" s="20"/>
      <c r="P468" s="20"/>
      <c r="Q468" s="20"/>
      <c r="R468" s="20"/>
      <c r="S468" s="20"/>
      <c r="T468" s="20"/>
      <c r="U468" s="20"/>
      <c r="V468" s="20"/>
      <c r="W468" s="20"/>
      <c r="X468" s="20"/>
      <c r="Y468" s="20"/>
      <c r="Z468" s="20"/>
      <c r="AA468" s="20"/>
      <c r="AB468" s="20"/>
      <c r="AC468" s="20"/>
      <c r="AD468" s="20"/>
      <c r="AE468" s="20"/>
      <c r="AF468" s="20"/>
      <c r="AG468" s="20"/>
      <c r="AH468" s="20"/>
      <c r="AI468" s="20"/>
      <c r="AJ468" s="20"/>
      <c r="AK468" s="20"/>
      <c r="AL468" s="20"/>
      <c r="AM468" s="20"/>
    </row>
    <row r="469" spans="3:39" ht="32.25" customHeight="1" x14ac:dyDescent="0.2">
      <c r="C469" s="17"/>
      <c r="D469" s="18"/>
      <c r="E469" s="19"/>
      <c r="F469" s="20"/>
      <c r="G469" s="20"/>
      <c r="H469" s="20"/>
      <c r="I469" s="20"/>
      <c r="J469" s="20"/>
      <c r="K469" s="20"/>
      <c r="L469" s="20"/>
      <c r="M469" s="20"/>
      <c r="N469" s="20"/>
      <c r="O469" s="20"/>
      <c r="P469" s="20"/>
      <c r="Q469" s="20"/>
      <c r="R469" s="20"/>
      <c r="S469" s="20"/>
      <c r="T469" s="20"/>
      <c r="U469" s="20"/>
      <c r="V469" s="20"/>
      <c r="W469" s="20"/>
      <c r="X469" s="20"/>
      <c r="Y469" s="20"/>
      <c r="Z469" s="20"/>
      <c r="AA469" s="20"/>
      <c r="AB469" s="20"/>
      <c r="AC469" s="20"/>
      <c r="AD469" s="20"/>
      <c r="AE469" s="20"/>
      <c r="AF469" s="20"/>
      <c r="AG469" s="20"/>
      <c r="AH469" s="20"/>
      <c r="AI469" s="20"/>
      <c r="AJ469" s="20"/>
      <c r="AK469" s="20"/>
      <c r="AL469" s="20"/>
      <c r="AM469" s="20"/>
    </row>
    <row r="470" spans="3:39" ht="32.25" customHeight="1" x14ac:dyDescent="0.2">
      <c r="C470" s="17"/>
      <c r="D470" s="18"/>
      <c r="E470" s="19"/>
      <c r="F470" s="20"/>
      <c r="G470" s="20"/>
      <c r="H470" s="20"/>
      <c r="I470" s="20"/>
      <c r="J470" s="20"/>
      <c r="K470" s="20"/>
      <c r="L470" s="20"/>
      <c r="M470" s="20"/>
      <c r="N470" s="20"/>
      <c r="O470" s="20"/>
      <c r="P470" s="20"/>
      <c r="Q470" s="20"/>
      <c r="R470" s="20"/>
      <c r="S470" s="20"/>
      <c r="T470" s="20"/>
      <c r="U470" s="20"/>
      <c r="V470" s="20"/>
      <c r="W470" s="20"/>
      <c r="X470" s="20"/>
      <c r="Y470" s="20"/>
      <c r="Z470" s="20"/>
      <c r="AA470" s="20"/>
      <c r="AB470" s="20"/>
      <c r="AC470" s="20"/>
      <c r="AD470" s="20"/>
      <c r="AE470" s="20"/>
      <c r="AF470" s="20"/>
      <c r="AG470" s="20"/>
      <c r="AH470" s="20"/>
      <c r="AI470" s="20"/>
      <c r="AJ470" s="20"/>
      <c r="AK470" s="20"/>
      <c r="AL470" s="20"/>
      <c r="AM470" s="20"/>
    </row>
    <row r="471" spans="3:39" ht="32.25" customHeight="1" x14ac:dyDescent="0.2">
      <c r="C471" s="17"/>
      <c r="D471" s="18"/>
      <c r="E471" s="19"/>
      <c r="F471" s="20"/>
      <c r="G471" s="20"/>
      <c r="H471" s="20"/>
      <c r="I471" s="20"/>
      <c r="J471" s="20"/>
      <c r="K471" s="20"/>
      <c r="L471" s="20"/>
      <c r="M471" s="20"/>
      <c r="N471" s="20"/>
      <c r="O471" s="20"/>
      <c r="P471" s="20"/>
      <c r="Q471" s="20"/>
      <c r="R471" s="20"/>
      <c r="S471" s="20"/>
      <c r="T471" s="20"/>
      <c r="U471" s="20"/>
      <c r="V471" s="20"/>
      <c r="W471" s="20"/>
      <c r="X471" s="20"/>
      <c r="Y471" s="20"/>
      <c r="Z471" s="20"/>
      <c r="AA471" s="20"/>
      <c r="AB471" s="20"/>
      <c r="AC471" s="20"/>
      <c r="AD471" s="20"/>
      <c r="AE471" s="20"/>
      <c r="AF471" s="20"/>
      <c r="AG471" s="20"/>
      <c r="AH471" s="20"/>
      <c r="AI471" s="20"/>
      <c r="AJ471" s="20"/>
      <c r="AK471" s="20"/>
      <c r="AL471" s="20"/>
      <c r="AM471" s="20"/>
    </row>
    <row r="472" spans="3:39" ht="32.25" customHeight="1" x14ac:dyDescent="0.2">
      <c r="C472" s="17"/>
      <c r="D472" s="18"/>
      <c r="E472" s="19"/>
      <c r="F472" s="20"/>
      <c r="G472" s="20"/>
      <c r="H472" s="20"/>
      <c r="I472" s="20"/>
      <c r="J472" s="20"/>
      <c r="K472" s="20"/>
      <c r="L472" s="20"/>
      <c r="M472" s="20"/>
      <c r="N472" s="20"/>
      <c r="O472" s="20"/>
      <c r="P472" s="20"/>
      <c r="Q472" s="20"/>
      <c r="R472" s="20"/>
      <c r="S472" s="20"/>
      <c r="T472" s="20"/>
      <c r="U472" s="20"/>
      <c r="V472" s="20"/>
      <c r="W472" s="20"/>
      <c r="X472" s="20"/>
      <c r="Y472" s="20"/>
      <c r="Z472" s="20"/>
      <c r="AA472" s="20"/>
      <c r="AB472" s="20"/>
      <c r="AC472" s="20"/>
      <c r="AD472" s="20"/>
      <c r="AE472" s="20"/>
      <c r="AF472" s="20"/>
      <c r="AG472" s="20"/>
      <c r="AH472" s="20"/>
      <c r="AI472" s="20"/>
      <c r="AJ472" s="20"/>
      <c r="AK472" s="20"/>
      <c r="AL472" s="20"/>
      <c r="AM472" s="20"/>
    </row>
    <row r="473" spans="3:39" ht="32.25" customHeight="1" x14ac:dyDescent="0.2">
      <c r="C473" s="17"/>
      <c r="D473" s="18"/>
      <c r="E473" s="19"/>
      <c r="F473" s="20"/>
      <c r="G473" s="20"/>
      <c r="H473" s="20"/>
      <c r="I473" s="20"/>
      <c r="J473" s="20"/>
      <c r="K473" s="20"/>
      <c r="L473" s="20"/>
      <c r="M473" s="20"/>
      <c r="N473" s="20"/>
      <c r="O473" s="20"/>
      <c r="P473" s="20"/>
      <c r="Q473" s="20"/>
      <c r="R473" s="20"/>
      <c r="S473" s="20"/>
      <c r="T473" s="20"/>
      <c r="U473" s="20"/>
      <c r="V473" s="20"/>
      <c r="W473" s="20"/>
      <c r="X473" s="20"/>
      <c r="Y473" s="20"/>
      <c r="Z473" s="20"/>
      <c r="AA473" s="20"/>
      <c r="AB473" s="20"/>
      <c r="AC473" s="20"/>
      <c r="AD473" s="20"/>
      <c r="AE473" s="20"/>
      <c r="AF473" s="20"/>
      <c r="AG473" s="20"/>
      <c r="AH473" s="20"/>
      <c r="AI473" s="20"/>
      <c r="AJ473" s="20"/>
      <c r="AK473" s="20"/>
      <c r="AL473" s="20"/>
      <c r="AM473" s="20"/>
    </row>
    <row r="474" spans="3:39" ht="32.25" customHeight="1" x14ac:dyDescent="0.2">
      <c r="C474" s="17"/>
      <c r="D474" s="18"/>
      <c r="E474" s="19"/>
      <c r="F474" s="20"/>
      <c r="G474" s="20"/>
      <c r="H474" s="20"/>
      <c r="I474" s="20"/>
      <c r="J474" s="20"/>
      <c r="K474" s="20"/>
      <c r="L474" s="20"/>
      <c r="M474" s="20"/>
      <c r="N474" s="20"/>
      <c r="O474" s="20"/>
      <c r="P474" s="20"/>
      <c r="Q474" s="20"/>
      <c r="R474" s="20"/>
      <c r="S474" s="20"/>
      <c r="T474" s="20"/>
      <c r="U474" s="20"/>
      <c r="V474" s="20"/>
      <c r="W474" s="20"/>
      <c r="X474" s="20"/>
      <c r="Y474" s="20"/>
      <c r="Z474" s="20"/>
      <c r="AA474" s="20"/>
      <c r="AB474" s="20"/>
      <c r="AC474" s="20"/>
      <c r="AD474" s="20"/>
      <c r="AE474" s="20"/>
      <c r="AF474" s="20"/>
      <c r="AG474" s="20"/>
      <c r="AH474" s="20"/>
      <c r="AI474" s="20"/>
      <c r="AJ474" s="20"/>
      <c r="AK474" s="20"/>
      <c r="AL474" s="20"/>
      <c r="AM474" s="20"/>
    </row>
    <row r="475" spans="3:39" ht="32.25" customHeight="1" x14ac:dyDescent="0.2">
      <c r="C475" s="17"/>
      <c r="D475" s="18"/>
      <c r="E475" s="19"/>
      <c r="F475" s="20"/>
      <c r="G475" s="20"/>
      <c r="H475" s="20"/>
      <c r="I475" s="20"/>
      <c r="J475" s="20"/>
      <c r="K475" s="20"/>
      <c r="L475" s="20"/>
      <c r="M475" s="20"/>
      <c r="N475" s="20"/>
      <c r="O475" s="20"/>
      <c r="P475" s="20"/>
      <c r="Q475" s="20"/>
      <c r="R475" s="20"/>
      <c r="S475" s="20"/>
      <c r="T475" s="20"/>
      <c r="U475" s="20"/>
      <c r="V475" s="20"/>
      <c r="W475" s="20"/>
      <c r="X475" s="20"/>
      <c r="Y475" s="20"/>
      <c r="Z475" s="20"/>
      <c r="AA475" s="20"/>
      <c r="AB475" s="20"/>
      <c r="AC475" s="20"/>
      <c r="AD475" s="20"/>
      <c r="AE475" s="20"/>
      <c r="AF475" s="20"/>
      <c r="AG475" s="20"/>
      <c r="AH475" s="20"/>
      <c r="AI475" s="20"/>
      <c r="AJ475" s="20"/>
      <c r="AK475" s="20"/>
      <c r="AL475" s="20"/>
      <c r="AM475" s="20"/>
    </row>
    <row r="476" spans="3:39" ht="32.25" customHeight="1" x14ac:dyDescent="0.2">
      <c r="C476" s="17"/>
      <c r="D476" s="18"/>
      <c r="E476" s="19"/>
      <c r="F476" s="20"/>
      <c r="G476" s="20"/>
      <c r="H476" s="20"/>
      <c r="I476" s="20"/>
      <c r="J476" s="20"/>
      <c r="K476" s="20"/>
      <c r="L476" s="20"/>
      <c r="M476" s="20"/>
      <c r="N476" s="20"/>
      <c r="O476" s="20"/>
      <c r="P476" s="20"/>
      <c r="Q476" s="20"/>
      <c r="R476" s="20"/>
      <c r="S476" s="20"/>
      <c r="T476" s="20"/>
      <c r="U476" s="20"/>
      <c r="V476" s="20"/>
      <c r="W476" s="20"/>
      <c r="X476" s="20"/>
      <c r="Y476" s="20"/>
      <c r="Z476" s="20"/>
      <c r="AA476" s="20"/>
      <c r="AB476" s="20"/>
      <c r="AC476" s="20"/>
      <c r="AD476" s="20"/>
      <c r="AE476" s="20"/>
      <c r="AF476" s="20"/>
      <c r="AG476" s="20"/>
      <c r="AH476" s="20"/>
      <c r="AI476" s="20"/>
      <c r="AJ476" s="20"/>
      <c r="AK476" s="20"/>
      <c r="AL476" s="20"/>
      <c r="AM476" s="20"/>
    </row>
    <row r="477" spans="3:39" ht="32.25" customHeight="1" x14ac:dyDescent="0.2">
      <c r="C477" s="17"/>
      <c r="D477" s="18"/>
      <c r="E477" s="19"/>
      <c r="F477" s="20"/>
      <c r="G477" s="20"/>
      <c r="H477" s="20"/>
      <c r="I477" s="20"/>
      <c r="J477" s="20"/>
      <c r="K477" s="20"/>
      <c r="L477" s="20"/>
      <c r="M477" s="20"/>
      <c r="N477" s="20"/>
      <c r="O477" s="20"/>
      <c r="P477" s="20"/>
      <c r="Q477" s="20"/>
      <c r="R477" s="20"/>
      <c r="S477" s="20"/>
      <c r="T477" s="20"/>
      <c r="U477" s="20"/>
      <c r="V477" s="20"/>
      <c r="W477" s="20"/>
      <c r="X477" s="20"/>
      <c r="Y477" s="20"/>
      <c r="Z477" s="20"/>
      <c r="AA477" s="20"/>
      <c r="AB477" s="20"/>
      <c r="AC477" s="20"/>
      <c r="AD477" s="20"/>
      <c r="AE477" s="20"/>
      <c r="AF477" s="20"/>
      <c r="AG477" s="20"/>
      <c r="AH477" s="20"/>
      <c r="AI477" s="20"/>
      <c r="AJ477" s="20"/>
      <c r="AK477" s="20"/>
      <c r="AL477" s="20"/>
      <c r="AM477" s="20"/>
    </row>
    <row r="478" spans="3:39" ht="32.25" customHeight="1" x14ac:dyDescent="0.2">
      <c r="C478" s="17"/>
      <c r="D478" s="18"/>
      <c r="E478" s="19"/>
      <c r="F478" s="20"/>
      <c r="G478" s="20"/>
      <c r="H478" s="20"/>
      <c r="I478" s="20"/>
      <c r="J478" s="20"/>
      <c r="K478" s="20"/>
      <c r="L478" s="20"/>
      <c r="M478" s="20"/>
      <c r="N478" s="20"/>
      <c r="O478" s="20"/>
      <c r="P478" s="20"/>
      <c r="Q478" s="20"/>
      <c r="R478" s="20"/>
      <c r="S478" s="20"/>
      <c r="T478" s="20"/>
      <c r="U478" s="20"/>
      <c r="V478" s="20"/>
      <c r="W478" s="20"/>
      <c r="X478" s="20"/>
      <c r="Y478" s="20"/>
      <c r="Z478" s="20"/>
      <c r="AA478" s="20"/>
      <c r="AB478" s="20"/>
      <c r="AC478" s="20"/>
      <c r="AD478" s="20"/>
      <c r="AE478" s="20"/>
      <c r="AF478" s="20"/>
      <c r="AG478" s="20"/>
      <c r="AH478" s="20"/>
      <c r="AI478" s="20"/>
      <c r="AJ478" s="20"/>
      <c r="AK478" s="20"/>
      <c r="AL478" s="20"/>
      <c r="AM478" s="20"/>
    </row>
    <row r="479" spans="3:39" ht="32.25" customHeight="1" x14ac:dyDescent="0.2">
      <c r="C479" s="17"/>
      <c r="D479" s="18"/>
      <c r="E479" s="19"/>
      <c r="F479" s="20"/>
      <c r="G479" s="20"/>
      <c r="H479" s="20"/>
      <c r="I479" s="20"/>
      <c r="J479" s="20"/>
      <c r="K479" s="20"/>
      <c r="L479" s="20"/>
      <c r="M479" s="20"/>
      <c r="N479" s="20"/>
      <c r="O479" s="20"/>
      <c r="P479" s="20"/>
      <c r="Q479" s="20"/>
      <c r="R479" s="20"/>
      <c r="S479" s="20"/>
      <c r="T479" s="20"/>
      <c r="U479" s="20"/>
      <c r="V479" s="20"/>
      <c r="W479" s="20"/>
      <c r="X479" s="20"/>
      <c r="Y479" s="20"/>
      <c r="Z479" s="20"/>
      <c r="AA479" s="20"/>
      <c r="AB479" s="20"/>
      <c r="AC479" s="20"/>
      <c r="AD479" s="20"/>
      <c r="AE479" s="20"/>
      <c r="AF479" s="20"/>
      <c r="AG479" s="20"/>
      <c r="AH479" s="20"/>
      <c r="AI479" s="20"/>
      <c r="AJ479" s="20"/>
      <c r="AK479" s="20"/>
      <c r="AL479" s="20"/>
      <c r="AM479" s="20"/>
    </row>
    <row r="480" spans="3:39" ht="32.25" customHeight="1" x14ac:dyDescent="0.2">
      <c r="C480" s="17"/>
      <c r="D480" s="18"/>
      <c r="E480" s="19"/>
      <c r="F480" s="20"/>
      <c r="G480" s="20"/>
      <c r="H480" s="20"/>
      <c r="I480" s="20"/>
      <c r="J480" s="20"/>
      <c r="K480" s="20"/>
      <c r="L480" s="20"/>
      <c r="M480" s="20"/>
      <c r="N480" s="20"/>
      <c r="O480" s="20"/>
      <c r="P480" s="20"/>
      <c r="Q480" s="20"/>
      <c r="R480" s="20"/>
      <c r="S480" s="20"/>
      <c r="T480" s="20"/>
      <c r="U480" s="20"/>
      <c r="V480" s="20"/>
      <c r="W480" s="20"/>
      <c r="X480" s="20"/>
      <c r="Y480" s="20"/>
      <c r="Z480" s="20"/>
      <c r="AA480" s="20"/>
      <c r="AB480" s="20"/>
      <c r="AC480" s="20"/>
      <c r="AD480" s="20"/>
      <c r="AE480" s="20"/>
      <c r="AF480" s="20"/>
      <c r="AG480" s="20"/>
      <c r="AH480" s="20"/>
      <c r="AI480" s="20"/>
      <c r="AJ480" s="20"/>
      <c r="AK480" s="20"/>
      <c r="AL480" s="20"/>
      <c r="AM480" s="20"/>
    </row>
    <row r="481" spans="3:39" ht="32.25" customHeight="1" x14ac:dyDescent="0.2">
      <c r="C481" s="17"/>
      <c r="D481" s="18"/>
      <c r="E481" s="19"/>
      <c r="F481" s="20"/>
      <c r="G481" s="20"/>
      <c r="H481" s="20"/>
      <c r="I481" s="20"/>
      <c r="J481" s="20"/>
      <c r="K481" s="20"/>
      <c r="L481" s="20"/>
      <c r="M481" s="20"/>
      <c r="N481" s="20"/>
      <c r="O481" s="20"/>
      <c r="P481" s="20"/>
      <c r="Q481" s="20"/>
      <c r="R481" s="20"/>
      <c r="S481" s="20"/>
      <c r="T481" s="20"/>
      <c r="U481" s="20"/>
      <c r="V481" s="20"/>
      <c r="W481" s="20"/>
      <c r="X481" s="20"/>
      <c r="Y481" s="20"/>
      <c r="Z481" s="20"/>
      <c r="AA481" s="20"/>
      <c r="AB481" s="20"/>
      <c r="AC481" s="20"/>
      <c r="AD481" s="20"/>
      <c r="AE481" s="20"/>
      <c r="AF481" s="20"/>
      <c r="AG481" s="20"/>
      <c r="AH481" s="20"/>
      <c r="AI481" s="20"/>
      <c r="AJ481" s="20"/>
      <c r="AK481" s="20"/>
      <c r="AL481" s="20"/>
      <c r="AM481" s="20"/>
    </row>
    <row r="482" spans="3:39" ht="32.25" customHeight="1" x14ac:dyDescent="0.2">
      <c r="C482" s="17"/>
      <c r="D482" s="18"/>
      <c r="E482" s="19"/>
      <c r="F482" s="20"/>
      <c r="G482" s="20"/>
      <c r="H482" s="20"/>
      <c r="I482" s="20"/>
      <c r="J482" s="20"/>
      <c r="K482" s="20"/>
      <c r="L482" s="20"/>
      <c r="M482" s="20"/>
      <c r="N482" s="20"/>
      <c r="O482" s="20"/>
      <c r="P482" s="20"/>
      <c r="Q482" s="20"/>
      <c r="R482" s="20"/>
      <c r="S482" s="20"/>
      <c r="T482" s="20"/>
      <c r="U482" s="20"/>
      <c r="V482" s="20"/>
      <c r="W482" s="20"/>
      <c r="X482" s="20"/>
      <c r="Y482" s="20"/>
      <c r="Z482" s="20"/>
      <c r="AA482" s="20"/>
      <c r="AB482" s="20"/>
      <c r="AC482" s="20"/>
      <c r="AD482" s="20"/>
      <c r="AE482" s="20"/>
      <c r="AF482" s="20"/>
      <c r="AG482" s="20"/>
      <c r="AH482" s="20"/>
      <c r="AI482" s="20"/>
      <c r="AJ482" s="20"/>
      <c r="AK482" s="20"/>
      <c r="AL482" s="20"/>
      <c r="AM482" s="20"/>
    </row>
    <row r="483" spans="3:39" ht="32.25" customHeight="1" x14ac:dyDescent="0.2">
      <c r="C483" s="17"/>
      <c r="D483" s="18"/>
      <c r="E483" s="19"/>
      <c r="F483" s="20"/>
      <c r="G483" s="20"/>
      <c r="H483" s="20"/>
      <c r="I483" s="20"/>
      <c r="J483" s="20"/>
      <c r="K483" s="20"/>
      <c r="L483" s="20"/>
      <c r="M483" s="20"/>
      <c r="N483" s="20"/>
      <c r="O483" s="20"/>
      <c r="P483" s="20"/>
      <c r="Q483" s="20"/>
      <c r="R483" s="20"/>
      <c r="S483" s="20"/>
      <c r="T483" s="20"/>
      <c r="U483" s="20"/>
      <c r="V483" s="20"/>
      <c r="W483" s="20"/>
      <c r="X483" s="20"/>
      <c r="Y483" s="20"/>
      <c r="Z483" s="20"/>
      <c r="AA483" s="20"/>
      <c r="AB483" s="20"/>
      <c r="AC483" s="20"/>
      <c r="AD483" s="20"/>
      <c r="AE483" s="20"/>
      <c r="AF483" s="20"/>
      <c r="AG483" s="20"/>
      <c r="AH483" s="20"/>
      <c r="AI483" s="20"/>
      <c r="AJ483" s="20"/>
      <c r="AK483" s="20"/>
      <c r="AL483" s="20"/>
      <c r="AM483" s="20"/>
    </row>
    <row r="484" spans="3:39" ht="32.25" customHeight="1" x14ac:dyDescent="0.2">
      <c r="C484" s="17"/>
      <c r="D484" s="18"/>
      <c r="E484" s="19"/>
      <c r="F484" s="20"/>
      <c r="G484" s="20"/>
      <c r="H484" s="20"/>
      <c r="I484" s="20"/>
      <c r="J484" s="20"/>
      <c r="K484" s="20"/>
      <c r="L484" s="20"/>
      <c r="M484" s="20"/>
      <c r="N484" s="20"/>
      <c r="O484" s="20"/>
      <c r="P484" s="20"/>
      <c r="Q484" s="20"/>
      <c r="R484" s="20"/>
      <c r="S484" s="20"/>
      <c r="T484" s="20"/>
      <c r="U484" s="20"/>
      <c r="V484" s="20"/>
      <c r="W484" s="20"/>
      <c r="X484" s="20"/>
      <c r="Y484" s="20"/>
      <c r="Z484" s="20"/>
      <c r="AA484" s="20"/>
      <c r="AB484" s="20"/>
      <c r="AC484" s="20"/>
      <c r="AD484" s="20"/>
      <c r="AE484" s="20"/>
      <c r="AF484" s="20"/>
      <c r="AG484" s="20"/>
      <c r="AH484" s="20"/>
      <c r="AI484" s="20"/>
      <c r="AJ484" s="20"/>
      <c r="AK484" s="20"/>
      <c r="AL484" s="20"/>
      <c r="AM484" s="20"/>
    </row>
    <row r="485" spans="3:39" ht="32.25" customHeight="1" x14ac:dyDescent="0.2">
      <c r="C485" s="17"/>
      <c r="D485" s="18"/>
      <c r="E485" s="19"/>
      <c r="F485" s="20"/>
      <c r="G485" s="20"/>
      <c r="H485" s="20"/>
      <c r="I485" s="20"/>
      <c r="J485" s="20"/>
      <c r="K485" s="20"/>
      <c r="L485" s="20"/>
      <c r="M485" s="20"/>
      <c r="N485" s="20"/>
      <c r="O485" s="20"/>
      <c r="P485" s="20"/>
      <c r="Q485" s="20"/>
      <c r="R485" s="20"/>
      <c r="S485" s="20"/>
      <c r="T485" s="20"/>
      <c r="U485" s="20"/>
      <c r="V485" s="20"/>
      <c r="W485" s="20"/>
      <c r="X485" s="20"/>
      <c r="Y485" s="20"/>
      <c r="Z485" s="20"/>
      <c r="AA485" s="20"/>
      <c r="AB485" s="20"/>
      <c r="AC485" s="20"/>
      <c r="AD485" s="20"/>
      <c r="AE485" s="20"/>
      <c r="AF485" s="20"/>
      <c r="AG485" s="20"/>
      <c r="AH485" s="20"/>
      <c r="AI485" s="20"/>
      <c r="AJ485" s="20"/>
      <c r="AK485" s="20"/>
      <c r="AL485" s="20"/>
      <c r="AM485" s="20"/>
    </row>
    <row r="486" spans="3:39" ht="32.25" customHeight="1" x14ac:dyDescent="0.2">
      <c r="C486" s="17"/>
      <c r="D486" s="18"/>
      <c r="E486" s="19"/>
      <c r="F486" s="20"/>
      <c r="G486" s="20"/>
      <c r="H486" s="20"/>
      <c r="I486" s="20"/>
      <c r="J486" s="20"/>
      <c r="K486" s="20"/>
      <c r="L486" s="20"/>
      <c r="M486" s="20"/>
      <c r="N486" s="20"/>
      <c r="O486" s="20"/>
      <c r="P486" s="20"/>
      <c r="Q486" s="20"/>
      <c r="R486" s="20"/>
      <c r="S486" s="20"/>
      <c r="T486" s="20"/>
      <c r="U486" s="20"/>
      <c r="V486" s="20"/>
      <c r="W486" s="20"/>
      <c r="X486" s="20"/>
      <c r="Y486" s="20"/>
      <c r="Z486" s="20"/>
      <c r="AA486" s="20"/>
      <c r="AB486" s="20"/>
      <c r="AC486" s="20"/>
      <c r="AD486" s="20"/>
      <c r="AE486" s="20"/>
      <c r="AF486" s="20"/>
      <c r="AG486" s="20"/>
      <c r="AH486" s="20"/>
      <c r="AI486" s="20"/>
      <c r="AJ486" s="20"/>
      <c r="AK486" s="20"/>
      <c r="AL486" s="20"/>
      <c r="AM486" s="20"/>
    </row>
    <row r="487" spans="3:39" ht="32.25" customHeight="1" x14ac:dyDescent="0.2">
      <c r="C487" s="17"/>
      <c r="D487" s="18"/>
      <c r="E487" s="19"/>
      <c r="F487" s="20"/>
      <c r="G487" s="20"/>
      <c r="H487" s="20"/>
      <c r="I487" s="20"/>
      <c r="J487" s="20"/>
      <c r="K487" s="20"/>
      <c r="L487" s="20"/>
      <c r="M487" s="20"/>
      <c r="N487" s="20"/>
      <c r="O487" s="20"/>
      <c r="P487" s="20"/>
      <c r="Q487" s="20"/>
      <c r="R487" s="20"/>
      <c r="S487" s="20"/>
      <c r="T487" s="20"/>
      <c r="U487" s="20"/>
      <c r="V487" s="20"/>
      <c r="W487" s="20"/>
      <c r="X487" s="20"/>
      <c r="Y487" s="20"/>
      <c r="Z487" s="20"/>
      <c r="AA487" s="20"/>
      <c r="AB487" s="20"/>
      <c r="AC487" s="20"/>
      <c r="AD487" s="20"/>
      <c r="AE487" s="20"/>
      <c r="AF487" s="20"/>
      <c r="AG487" s="20"/>
      <c r="AH487" s="20"/>
      <c r="AI487" s="20"/>
      <c r="AJ487" s="20"/>
      <c r="AK487" s="20"/>
      <c r="AL487" s="20"/>
      <c r="AM487" s="20"/>
    </row>
    <row r="488" spans="3:39" ht="32.25" customHeight="1" x14ac:dyDescent="0.2">
      <c r="C488" s="17"/>
      <c r="D488" s="18"/>
      <c r="E488" s="19"/>
      <c r="F488" s="20"/>
      <c r="G488" s="20"/>
      <c r="H488" s="20"/>
      <c r="I488" s="20"/>
      <c r="J488" s="20"/>
      <c r="K488" s="20"/>
      <c r="L488" s="20"/>
      <c r="M488" s="20"/>
      <c r="N488" s="20"/>
      <c r="O488" s="20"/>
      <c r="P488" s="20"/>
      <c r="Q488" s="20"/>
      <c r="R488" s="20"/>
      <c r="S488" s="20"/>
      <c r="T488" s="20"/>
      <c r="U488" s="20"/>
      <c r="V488" s="20"/>
      <c r="W488" s="20"/>
      <c r="X488" s="20"/>
      <c r="Y488" s="20"/>
      <c r="Z488" s="20"/>
      <c r="AA488" s="20"/>
      <c r="AB488" s="20"/>
      <c r="AC488" s="20"/>
      <c r="AD488" s="20"/>
      <c r="AE488" s="20"/>
      <c r="AF488" s="20"/>
      <c r="AG488" s="20"/>
      <c r="AH488" s="20"/>
      <c r="AI488" s="20"/>
      <c r="AJ488" s="20"/>
      <c r="AK488" s="20"/>
      <c r="AL488" s="20"/>
      <c r="AM488" s="20"/>
    </row>
    <row r="489" spans="3:39" ht="32.25" customHeight="1" x14ac:dyDescent="0.2">
      <c r="C489" s="17"/>
      <c r="D489" s="18"/>
      <c r="E489" s="19"/>
      <c r="F489" s="20"/>
      <c r="G489" s="20"/>
      <c r="H489" s="20"/>
      <c r="I489" s="20"/>
      <c r="J489" s="20"/>
      <c r="K489" s="20"/>
      <c r="L489" s="20"/>
      <c r="M489" s="20"/>
      <c r="N489" s="20"/>
      <c r="O489" s="20"/>
      <c r="P489" s="20"/>
      <c r="Q489" s="20"/>
      <c r="R489" s="20"/>
      <c r="S489" s="20"/>
      <c r="T489" s="20"/>
      <c r="U489" s="20"/>
      <c r="V489" s="20"/>
      <c r="W489" s="20"/>
      <c r="X489" s="20"/>
      <c r="Y489" s="20"/>
      <c r="Z489" s="20"/>
      <c r="AA489" s="20"/>
      <c r="AB489" s="20"/>
      <c r="AC489" s="20"/>
      <c r="AD489" s="20"/>
      <c r="AE489" s="20"/>
      <c r="AF489" s="20"/>
      <c r="AG489" s="20"/>
      <c r="AH489" s="20"/>
      <c r="AI489" s="20"/>
      <c r="AJ489" s="20"/>
      <c r="AK489" s="20"/>
      <c r="AL489" s="20"/>
      <c r="AM489" s="20"/>
    </row>
    <row r="490" spans="3:39" ht="32.25" customHeight="1" x14ac:dyDescent="0.2">
      <c r="C490" s="17"/>
      <c r="D490" s="18"/>
      <c r="E490" s="19"/>
      <c r="F490" s="20"/>
      <c r="G490" s="20"/>
      <c r="H490" s="20"/>
      <c r="I490" s="20"/>
      <c r="J490" s="20"/>
      <c r="K490" s="20"/>
      <c r="L490" s="20"/>
      <c r="M490" s="20"/>
      <c r="N490" s="20"/>
      <c r="O490" s="20"/>
      <c r="P490" s="20"/>
      <c r="Q490" s="20"/>
      <c r="R490" s="20"/>
      <c r="S490" s="20"/>
      <c r="T490" s="20"/>
      <c r="U490" s="20"/>
      <c r="V490" s="20"/>
      <c r="W490" s="20"/>
      <c r="X490" s="20"/>
      <c r="Y490" s="20"/>
      <c r="Z490" s="20"/>
      <c r="AA490" s="20"/>
      <c r="AB490" s="20"/>
      <c r="AC490" s="20"/>
      <c r="AD490" s="20"/>
      <c r="AE490" s="20"/>
      <c r="AF490" s="20"/>
      <c r="AG490" s="20"/>
      <c r="AH490" s="20"/>
      <c r="AI490" s="20"/>
      <c r="AJ490" s="20"/>
      <c r="AK490" s="20"/>
      <c r="AL490" s="20"/>
      <c r="AM490" s="20"/>
    </row>
    <row r="491" spans="3:39" ht="32.25" customHeight="1" x14ac:dyDescent="0.2">
      <c r="C491" s="17"/>
      <c r="D491" s="18"/>
      <c r="E491" s="19"/>
      <c r="F491" s="20"/>
      <c r="G491" s="20"/>
      <c r="H491" s="20"/>
      <c r="I491" s="20"/>
      <c r="J491" s="20"/>
      <c r="K491" s="20"/>
      <c r="L491" s="20"/>
      <c r="M491" s="20"/>
      <c r="N491" s="20"/>
      <c r="O491" s="20"/>
      <c r="P491" s="20"/>
      <c r="Q491" s="20"/>
      <c r="R491" s="20"/>
      <c r="S491" s="20"/>
      <c r="T491" s="20"/>
      <c r="U491" s="20"/>
      <c r="V491" s="20"/>
      <c r="W491" s="20"/>
      <c r="X491" s="20"/>
      <c r="Y491" s="20"/>
      <c r="Z491" s="20"/>
      <c r="AA491" s="20"/>
      <c r="AB491" s="20"/>
      <c r="AC491" s="20"/>
      <c r="AD491" s="20"/>
      <c r="AE491" s="20"/>
      <c r="AF491" s="20"/>
      <c r="AG491" s="20"/>
      <c r="AH491" s="20"/>
      <c r="AI491" s="20"/>
      <c r="AJ491" s="20"/>
      <c r="AK491" s="20"/>
      <c r="AL491" s="20"/>
      <c r="AM491" s="20"/>
    </row>
    <row r="492" spans="3:39" ht="32.25" customHeight="1" x14ac:dyDescent="0.2">
      <c r="C492" s="17"/>
      <c r="D492" s="18"/>
      <c r="E492" s="19"/>
      <c r="F492" s="20"/>
      <c r="G492" s="20"/>
      <c r="H492" s="20"/>
      <c r="I492" s="20"/>
      <c r="J492" s="20"/>
      <c r="K492" s="20"/>
      <c r="L492" s="20"/>
      <c r="M492" s="20"/>
      <c r="N492" s="20"/>
      <c r="O492" s="20"/>
      <c r="P492" s="20"/>
      <c r="Q492" s="20"/>
      <c r="R492" s="20"/>
      <c r="S492" s="20"/>
      <c r="T492" s="20"/>
      <c r="U492" s="20"/>
      <c r="V492" s="20"/>
      <c r="W492" s="20"/>
      <c r="X492" s="20"/>
      <c r="Y492" s="20"/>
      <c r="Z492" s="20"/>
      <c r="AA492" s="20"/>
      <c r="AB492" s="20"/>
      <c r="AC492" s="20"/>
      <c r="AD492" s="20"/>
      <c r="AE492" s="20"/>
      <c r="AF492" s="20"/>
      <c r="AG492" s="20"/>
      <c r="AH492" s="20"/>
      <c r="AI492" s="20"/>
      <c r="AJ492" s="20"/>
      <c r="AK492" s="20"/>
      <c r="AL492" s="20"/>
      <c r="AM492" s="20"/>
    </row>
    <row r="493" spans="3:39" ht="32.25" customHeight="1" x14ac:dyDescent="0.2">
      <c r="C493" s="17"/>
      <c r="D493" s="18"/>
      <c r="E493" s="19"/>
      <c r="F493" s="20"/>
      <c r="G493" s="20"/>
      <c r="H493" s="20"/>
      <c r="I493" s="20"/>
      <c r="J493" s="20"/>
      <c r="K493" s="20"/>
      <c r="L493" s="20"/>
      <c r="M493" s="20"/>
      <c r="N493" s="20"/>
      <c r="O493" s="20"/>
      <c r="P493" s="20"/>
      <c r="Q493" s="20"/>
      <c r="R493" s="20"/>
      <c r="S493" s="20"/>
      <c r="T493" s="20"/>
      <c r="U493" s="20"/>
      <c r="V493" s="20"/>
      <c r="W493" s="20"/>
      <c r="X493" s="20"/>
      <c r="Y493" s="20"/>
      <c r="Z493" s="20"/>
      <c r="AA493" s="20"/>
      <c r="AB493" s="20"/>
      <c r="AC493" s="20"/>
      <c r="AD493" s="20"/>
      <c r="AE493" s="20"/>
      <c r="AF493" s="20"/>
      <c r="AG493" s="20"/>
      <c r="AH493" s="20"/>
      <c r="AI493" s="20"/>
      <c r="AJ493" s="20"/>
      <c r="AK493" s="20"/>
      <c r="AL493" s="20"/>
      <c r="AM493" s="20"/>
    </row>
    <row r="494" spans="3:39" ht="32.25" customHeight="1" x14ac:dyDescent="0.2">
      <c r="C494" s="17"/>
      <c r="D494" s="18"/>
      <c r="E494" s="19"/>
      <c r="F494" s="20"/>
      <c r="G494" s="20"/>
      <c r="H494" s="20"/>
      <c r="I494" s="20"/>
      <c r="J494" s="20"/>
      <c r="K494" s="20"/>
      <c r="L494" s="20"/>
      <c r="M494" s="20"/>
      <c r="N494" s="20"/>
      <c r="O494" s="20"/>
      <c r="P494" s="20"/>
      <c r="Q494" s="20"/>
      <c r="R494" s="20"/>
      <c r="S494" s="20"/>
      <c r="T494" s="20"/>
      <c r="U494" s="20"/>
      <c r="V494" s="20"/>
      <c r="W494" s="20"/>
      <c r="X494" s="20"/>
      <c r="Y494" s="20"/>
      <c r="Z494" s="20"/>
      <c r="AA494" s="20"/>
      <c r="AB494" s="20"/>
      <c r="AC494" s="20"/>
      <c r="AD494" s="20"/>
      <c r="AE494" s="20"/>
      <c r="AF494" s="20"/>
      <c r="AG494" s="20"/>
      <c r="AH494" s="20"/>
      <c r="AI494" s="20"/>
      <c r="AJ494" s="20"/>
      <c r="AK494" s="20"/>
      <c r="AL494" s="20"/>
      <c r="AM494" s="20"/>
    </row>
    <row r="495" spans="3:39" ht="32.25" customHeight="1" x14ac:dyDescent="0.2">
      <c r="C495" s="17"/>
      <c r="D495" s="18"/>
      <c r="E495" s="19"/>
      <c r="F495" s="20"/>
      <c r="G495" s="20"/>
      <c r="H495" s="20"/>
      <c r="I495" s="20"/>
      <c r="J495" s="20"/>
      <c r="K495" s="20"/>
      <c r="L495" s="20"/>
      <c r="M495" s="20"/>
      <c r="N495" s="20"/>
      <c r="O495" s="20"/>
      <c r="P495" s="20"/>
      <c r="Q495" s="20"/>
      <c r="R495" s="20"/>
      <c r="S495" s="20"/>
      <c r="T495" s="20"/>
      <c r="U495" s="20"/>
      <c r="V495" s="20"/>
      <c r="W495" s="20"/>
      <c r="X495" s="20"/>
      <c r="Y495" s="20"/>
      <c r="Z495" s="20"/>
      <c r="AA495" s="20"/>
      <c r="AB495" s="20"/>
      <c r="AC495" s="20"/>
      <c r="AD495" s="20"/>
      <c r="AE495" s="20"/>
      <c r="AF495" s="20"/>
      <c r="AG495" s="20"/>
      <c r="AH495" s="20"/>
      <c r="AI495" s="20"/>
      <c r="AJ495" s="20"/>
      <c r="AK495" s="20"/>
      <c r="AL495" s="20"/>
      <c r="AM495" s="20"/>
    </row>
    <row r="496" spans="3:39" ht="32.25" customHeight="1" x14ac:dyDescent="0.2">
      <c r="C496" s="17"/>
      <c r="D496" s="18"/>
      <c r="E496" s="19"/>
      <c r="F496" s="20"/>
      <c r="G496" s="20"/>
      <c r="H496" s="20"/>
      <c r="I496" s="20"/>
      <c r="J496" s="20"/>
      <c r="K496" s="20"/>
      <c r="L496" s="20"/>
      <c r="M496" s="20"/>
      <c r="N496" s="20"/>
      <c r="O496" s="20"/>
      <c r="P496" s="20"/>
      <c r="Q496" s="20"/>
      <c r="R496" s="20"/>
      <c r="S496" s="20"/>
      <c r="T496" s="20"/>
      <c r="U496" s="20"/>
      <c r="V496" s="20"/>
      <c r="W496" s="20"/>
      <c r="X496" s="20"/>
      <c r="Y496" s="20"/>
      <c r="Z496" s="20"/>
      <c r="AA496" s="20"/>
      <c r="AB496" s="20"/>
      <c r="AC496" s="20"/>
      <c r="AD496" s="20"/>
      <c r="AE496" s="20"/>
      <c r="AF496" s="20"/>
      <c r="AG496" s="20"/>
      <c r="AH496" s="20"/>
      <c r="AI496" s="20"/>
      <c r="AJ496" s="20"/>
      <c r="AK496" s="20"/>
      <c r="AL496" s="20"/>
      <c r="AM496" s="20"/>
    </row>
    <row r="497" spans="3:39" ht="32.25" customHeight="1" x14ac:dyDescent="0.2">
      <c r="C497" s="17"/>
      <c r="D497" s="18"/>
      <c r="E497" s="19"/>
      <c r="F497" s="20"/>
      <c r="G497" s="20"/>
      <c r="H497" s="20"/>
      <c r="I497" s="20"/>
      <c r="J497" s="20"/>
      <c r="K497" s="20"/>
      <c r="L497" s="20"/>
      <c r="M497" s="20"/>
      <c r="N497" s="20"/>
      <c r="O497" s="20"/>
      <c r="P497" s="20"/>
      <c r="Q497" s="20"/>
      <c r="R497" s="20"/>
      <c r="S497" s="20"/>
      <c r="T497" s="20"/>
      <c r="U497" s="20"/>
      <c r="V497" s="20"/>
      <c r="W497" s="20"/>
      <c r="X497" s="20"/>
      <c r="Y497" s="20"/>
      <c r="Z497" s="20"/>
      <c r="AA497" s="20"/>
      <c r="AB497" s="20"/>
      <c r="AC497" s="20"/>
      <c r="AD497" s="20"/>
      <c r="AE497" s="20"/>
      <c r="AF497" s="20"/>
      <c r="AG497" s="20"/>
      <c r="AH497" s="20"/>
      <c r="AI497" s="20"/>
      <c r="AJ497" s="20"/>
      <c r="AK497" s="20"/>
      <c r="AL497" s="20"/>
      <c r="AM497" s="20"/>
    </row>
    <row r="498" spans="3:39" ht="32.25" customHeight="1" x14ac:dyDescent="0.2">
      <c r="C498" s="17"/>
      <c r="D498" s="18"/>
      <c r="E498" s="19"/>
      <c r="F498" s="20"/>
      <c r="G498" s="20"/>
      <c r="H498" s="20"/>
      <c r="I498" s="20"/>
      <c r="J498" s="20"/>
      <c r="K498" s="20"/>
      <c r="L498" s="20"/>
      <c r="M498" s="20"/>
      <c r="N498" s="20"/>
      <c r="O498" s="20"/>
      <c r="P498" s="20"/>
      <c r="Q498" s="20"/>
      <c r="R498" s="20"/>
      <c r="S498" s="20"/>
      <c r="T498" s="20"/>
      <c r="U498" s="20"/>
      <c r="V498" s="20"/>
      <c r="W498" s="20"/>
      <c r="X498" s="20"/>
      <c r="Y498" s="20"/>
      <c r="Z498" s="20"/>
      <c r="AA498" s="20"/>
      <c r="AB498" s="20"/>
      <c r="AC498" s="20"/>
      <c r="AD498" s="20"/>
      <c r="AE498" s="20"/>
      <c r="AF498" s="20"/>
      <c r="AG498" s="20"/>
      <c r="AH498" s="20"/>
      <c r="AI498" s="20"/>
      <c r="AJ498" s="20"/>
      <c r="AK498" s="20"/>
      <c r="AL498" s="20"/>
      <c r="AM498" s="20"/>
    </row>
    <row r="499" spans="3:39" ht="32.25" customHeight="1" x14ac:dyDescent="0.2">
      <c r="C499" s="17"/>
      <c r="D499" s="18"/>
      <c r="E499" s="19"/>
      <c r="F499" s="20"/>
      <c r="G499" s="20"/>
      <c r="H499" s="20"/>
      <c r="I499" s="20"/>
      <c r="J499" s="20"/>
      <c r="K499" s="20"/>
      <c r="L499" s="20"/>
      <c r="M499" s="20"/>
      <c r="N499" s="20"/>
      <c r="O499" s="20"/>
      <c r="P499" s="20"/>
      <c r="Q499" s="20"/>
      <c r="R499" s="20"/>
      <c r="S499" s="20"/>
      <c r="T499" s="20"/>
      <c r="U499" s="20"/>
      <c r="V499" s="20"/>
      <c r="W499" s="20"/>
      <c r="X499" s="20"/>
      <c r="Y499" s="20"/>
      <c r="Z499" s="20"/>
      <c r="AA499" s="20"/>
      <c r="AB499" s="20"/>
      <c r="AC499" s="20"/>
      <c r="AD499" s="20"/>
      <c r="AE499" s="20"/>
      <c r="AF499" s="20"/>
      <c r="AG499" s="20"/>
      <c r="AH499" s="20"/>
      <c r="AI499" s="20"/>
      <c r="AJ499" s="20"/>
      <c r="AK499" s="20"/>
      <c r="AL499" s="20"/>
      <c r="AM499" s="20"/>
    </row>
    <row r="500" spans="3:39" ht="32.25" customHeight="1" x14ac:dyDescent="0.2">
      <c r="C500" s="17"/>
      <c r="D500" s="18"/>
      <c r="E500" s="19"/>
      <c r="F500" s="20"/>
      <c r="G500" s="20"/>
      <c r="H500" s="20"/>
      <c r="I500" s="20"/>
      <c r="J500" s="20"/>
      <c r="K500" s="20"/>
      <c r="L500" s="20"/>
      <c r="M500" s="20"/>
      <c r="N500" s="20"/>
      <c r="O500" s="20"/>
      <c r="P500" s="20"/>
      <c r="Q500" s="20"/>
      <c r="R500" s="20"/>
      <c r="S500" s="20"/>
      <c r="T500" s="20"/>
      <c r="U500" s="20"/>
      <c r="V500" s="20"/>
      <c r="W500" s="20"/>
      <c r="X500" s="20"/>
      <c r="Y500" s="20"/>
      <c r="Z500" s="20"/>
      <c r="AA500" s="20"/>
      <c r="AB500" s="20"/>
      <c r="AC500" s="20"/>
      <c r="AD500" s="20"/>
      <c r="AE500" s="20"/>
      <c r="AF500" s="20"/>
      <c r="AG500" s="20"/>
      <c r="AH500" s="20"/>
      <c r="AI500" s="20"/>
      <c r="AJ500" s="20"/>
      <c r="AK500" s="20"/>
      <c r="AL500" s="20"/>
      <c r="AM500" s="20"/>
    </row>
    <row r="501" spans="3:39" ht="32.25" customHeight="1" x14ac:dyDescent="0.2">
      <c r="C501" s="17"/>
      <c r="D501" s="18"/>
      <c r="E501" s="19"/>
      <c r="F501" s="20"/>
      <c r="G501" s="20"/>
      <c r="H501" s="20"/>
      <c r="I501" s="20"/>
      <c r="J501" s="20"/>
      <c r="K501" s="20"/>
      <c r="L501" s="20"/>
      <c r="M501" s="20"/>
      <c r="N501" s="20"/>
      <c r="O501" s="20"/>
      <c r="P501" s="20"/>
      <c r="Q501" s="20"/>
      <c r="R501" s="20"/>
      <c r="S501" s="20"/>
      <c r="T501" s="20"/>
      <c r="U501" s="20"/>
      <c r="V501" s="20"/>
      <c r="W501" s="20"/>
      <c r="X501" s="20"/>
      <c r="Y501" s="20"/>
      <c r="Z501" s="20"/>
      <c r="AA501" s="20"/>
      <c r="AB501" s="20"/>
      <c r="AC501" s="20"/>
      <c r="AD501" s="20"/>
      <c r="AE501" s="20"/>
      <c r="AF501" s="20"/>
      <c r="AG501" s="20"/>
      <c r="AH501" s="20"/>
      <c r="AI501" s="20"/>
      <c r="AJ501" s="20"/>
      <c r="AK501" s="20"/>
      <c r="AL501" s="20"/>
      <c r="AM501" s="20"/>
    </row>
    <row r="502" spans="3:39" ht="32.25" customHeight="1" x14ac:dyDescent="0.2">
      <c r="C502" s="17"/>
      <c r="D502" s="18"/>
      <c r="E502" s="19"/>
      <c r="F502" s="20"/>
      <c r="G502" s="20"/>
      <c r="H502" s="20"/>
      <c r="I502" s="20"/>
      <c r="J502" s="20"/>
      <c r="K502" s="20"/>
      <c r="L502" s="20"/>
      <c r="M502" s="20"/>
      <c r="N502" s="20"/>
      <c r="O502" s="20"/>
      <c r="P502" s="20"/>
      <c r="Q502" s="20"/>
      <c r="R502" s="20"/>
      <c r="S502" s="20"/>
      <c r="T502" s="20"/>
      <c r="U502" s="20"/>
      <c r="V502" s="20"/>
      <c r="W502" s="20"/>
      <c r="X502" s="20"/>
      <c r="Y502" s="20"/>
      <c r="Z502" s="20"/>
      <c r="AA502" s="20"/>
      <c r="AB502" s="20"/>
      <c r="AC502" s="20"/>
      <c r="AD502" s="20"/>
      <c r="AE502" s="20"/>
      <c r="AF502" s="20"/>
      <c r="AG502" s="20"/>
      <c r="AH502" s="20"/>
      <c r="AI502" s="20"/>
      <c r="AJ502" s="20"/>
      <c r="AK502" s="20"/>
      <c r="AL502" s="20"/>
      <c r="AM502" s="20"/>
    </row>
    <row r="503" spans="3:39" ht="32.25" customHeight="1" x14ac:dyDescent="0.2">
      <c r="C503" s="17"/>
      <c r="D503" s="18"/>
      <c r="E503" s="19"/>
      <c r="F503" s="20"/>
      <c r="G503" s="20"/>
      <c r="H503" s="20"/>
      <c r="I503" s="20"/>
      <c r="J503" s="20"/>
      <c r="K503" s="20"/>
      <c r="L503" s="20"/>
      <c r="M503" s="20"/>
      <c r="N503" s="20"/>
      <c r="O503" s="20"/>
      <c r="P503" s="20"/>
      <c r="Q503" s="20"/>
      <c r="R503" s="20"/>
      <c r="S503" s="20"/>
      <c r="T503" s="20"/>
      <c r="U503" s="20"/>
      <c r="V503" s="20"/>
      <c r="W503" s="20"/>
      <c r="X503" s="20"/>
      <c r="Y503" s="20"/>
      <c r="Z503" s="20"/>
      <c r="AA503" s="20"/>
      <c r="AB503" s="20"/>
      <c r="AC503" s="20"/>
      <c r="AD503" s="20"/>
      <c r="AE503" s="20"/>
      <c r="AF503" s="20"/>
      <c r="AG503" s="20"/>
      <c r="AH503" s="20"/>
      <c r="AI503" s="20"/>
      <c r="AJ503" s="20"/>
      <c r="AK503" s="20"/>
      <c r="AL503" s="20"/>
      <c r="AM503" s="20"/>
    </row>
    <row r="504" spans="3:39" ht="32.25" customHeight="1" x14ac:dyDescent="0.2">
      <c r="C504" s="17"/>
      <c r="D504" s="18"/>
      <c r="E504" s="19"/>
      <c r="F504" s="20"/>
      <c r="G504" s="20"/>
      <c r="H504" s="20"/>
      <c r="I504" s="20"/>
      <c r="J504" s="20"/>
      <c r="K504" s="20"/>
      <c r="L504" s="20"/>
      <c r="M504" s="20"/>
      <c r="N504" s="20"/>
      <c r="O504" s="20"/>
      <c r="P504" s="20"/>
      <c r="Q504" s="20"/>
      <c r="R504" s="20"/>
      <c r="S504" s="20"/>
      <c r="T504" s="20"/>
      <c r="U504" s="20"/>
      <c r="V504" s="20"/>
      <c r="W504" s="20"/>
      <c r="X504" s="20"/>
      <c r="Y504" s="20"/>
      <c r="Z504" s="20"/>
      <c r="AA504" s="20"/>
      <c r="AB504" s="20"/>
      <c r="AC504" s="20"/>
      <c r="AD504" s="20"/>
      <c r="AE504" s="20"/>
      <c r="AF504" s="20"/>
      <c r="AG504" s="20"/>
      <c r="AH504" s="20"/>
      <c r="AI504" s="20"/>
      <c r="AJ504" s="20"/>
      <c r="AK504" s="20"/>
      <c r="AL504" s="20"/>
      <c r="AM504" s="20"/>
    </row>
    <row r="505" spans="3:39" ht="32.25" customHeight="1" x14ac:dyDescent="0.2">
      <c r="C505" s="17"/>
      <c r="D505" s="18"/>
      <c r="E505" s="19"/>
      <c r="F505" s="20"/>
      <c r="G505" s="20"/>
      <c r="H505" s="20"/>
      <c r="I505" s="20"/>
      <c r="J505" s="20"/>
      <c r="K505" s="20"/>
      <c r="L505" s="20"/>
      <c r="M505" s="20"/>
      <c r="N505" s="20"/>
      <c r="O505" s="20"/>
      <c r="P505" s="20"/>
      <c r="Q505" s="20"/>
      <c r="R505" s="20"/>
      <c r="S505" s="20"/>
      <c r="T505" s="20"/>
      <c r="U505" s="20"/>
      <c r="V505" s="20"/>
      <c r="W505" s="20"/>
      <c r="X505" s="20"/>
      <c r="Y505" s="20"/>
      <c r="Z505" s="20"/>
      <c r="AA505" s="20"/>
      <c r="AB505" s="20"/>
      <c r="AC505" s="20"/>
      <c r="AD505" s="20"/>
      <c r="AE505" s="20"/>
      <c r="AF505" s="20"/>
      <c r="AG505" s="20"/>
      <c r="AH505" s="20"/>
      <c r="AI505" s="20"/>
      <c r="AJ505" s="20"/>
      <c r="AK505" s="20"/>
      <c r="AL505" s="20"/>
      <c r="AM505" s="20"/>
    </row>
    <row r="506" spans="3:39" ht="32.25" customHeight="1" x14ac:dyDescent="0.2">
      <c r="C506" s="17"/>
      <c r="D506" s="18"/>
      <c r="E506" s="19"/>
      <c r="F506" s="20"/>
      <c r="G506" s="20"/>
      <c r="H506" s="20"/>
      <c r="I506" s="20"/>
      <c r="J506" s="20"/>
      <c r="K506" s="20"/>
      <c r="L506" s="20"/>
      <c r="M506" s="20"/>
      <c r="N506" s="20"/>
      <c r="O506" s="20"/>
      <c r="P506" s="20"/>
      <c r="Q506" s="20"/>
      <c r="R506" s="20"/>
      <c r="S506" s="20"/>
      <c r="T506" s="20"/>
      <c r="U506" s="20"/>
      <c r="V506" s="20"/>
      <c r="W506" s="20"/>
      <c r="X506" s="20"/>
      <c r="Y506" s="20"/>
      <c r="Z506" s="20"/>
      <c r="AA506" s="20"/>
      <c r="AB506" s="20"/>
      <c r="AC506" s="20"/>
      <c r="AD506" s="20"/>
      <c r="AE506" s="20"/>
      <c r="AF506" s="20"/>
      <c r="AG506" s="20"/>
      <c r="AH506" s="20"/>
      <c r="AI506" s="20"/>
      <c r="AJ506" s="20"/>
      <c r="AK506" s="20"/>
      <c r="AL506" s="20"/>
      <c r="AM506" s="20"/>
    </row>
    <row r="507" spans="3:39" ht="32.25" customHeight="1" x14ac:dyDescent="0.2">
      <c r="C507" s="17"/>
      <c r="D507" s="18"/>
      <c r="E507" s="19"/>
      <c r="F507" s="20"/>
      <c r="G507" s="20"/>
      <c r="H507" s="20"/>
      <c r="I507" s="20"/>
      <c r="J507" s="20"/>
      <c r="K507" s="20"/>
      <c r="L507" s="20"/>
      <c r="M507" s="20"/>
      <c r="N507" s="20"/>
      <c r="O507" s="20"/>
      <c r="P507" s="20"/>
      <c r="Q507" s="20"/>
      <c r="R507" s="20"/>
      <c r="S507" s="20"/>
      <c r="T507" s="20"/>
      <c r="U507" s="20"/>
      <c r="V507" s="20"/>
      <c r="W507" s="20"/>
      <c r="X507" s="20"/>
      <c r="Y507" s="20"/>
      <c r="Z507" s="20"/>
      <c r="AA507" s="20"/>
      <c r="AB507" s="20"/>
      <c r="AC507" s="20"/>
      <c r="AD507" s="20"/>
      <c r="AE507" s="20"/>
      <c r="AF507" s="20"/>
      <c r="AG507" s="20"/>
      <c r="AH507" s="20"/>
      <c r="AI507" s="20"/>
      <c r="AJ507" s="20"/>
      <c r="AK507" s="20"/>
      <c r="AL507" s="20"/>
      <c r="AM507" s="20"/>
    </row>
    <row r="508" spans="3:39" ht="32.25" customHeight="1" x14ac:dyDescent="0.2">
      <c r="C508" s="17"/>
      <c r="D508" s="18"/>
      <c r="E508" s="19"/>
      <c r="F508" s="20"/>
      <c r="G508" s="20"/>
      <c r="H508" s="20"/>
      <c r="I508" s="20"/>
      <c r="J508" s="20"/>
      <c r="K508" s="20"/>
      <c r="L508" s="20"/>
      <c r="M508" s="20"/>
      <c r="N508" s="20"/>
      <c r="O508" s="20"/>
      <c r="P508" s="20"/>
      <c r="Q508" s="20"/>
      <c r="R508" s="20"/>
      <c r="S508" s="20"/>
      <c r="T508" s="20"/>
      <c r="U508" s="20"/>
      <c r="V508" s="20"/>
      <c r="W508" s="20"/>
      <c r="X508" s="20"/>
      <c r="Y508" s="20"/>
      <c r="Z508" s="20"/>
      <c r="AA508" s="20"/>
      <c r="AB508" s="20"/>
      <c r="AC508" s="20"/>
      <c r="AD508" s="20"/>
      <c r="AE508" s="20"/>
      <c r="AF508" s="20"/>
      <c r="AG508" s="20"/>
      <c r="AH508" s="20"/>
      <c r="AI508" s="20"/>
      <c r="AJ508" s="20"/>
      <c r="AK508" s="20"/>
      <c r="AL508" s="20"/>
      <c r="AM508" s="20"/>
    </row>
    <row r="509" spans="3:39" ht="32.25" customHeight="1" x14ac:dyDescent="0.2">
      <c r="C509" s="17"/>
      <c r="D509" s="18"/>
      <c r="E509" s="19"/>
      <c r="F509" s="20"/>
      <c r="G509" s="20"/>
      <c r="H509" s="20"/>
      <c r="I509" s="20"/>
      <c r="J509" s="20"/>
      <c r="K509" s="20"/>
      <c r="L509" s="20"/>
      <c r="M509" s="20"/>
      <c r="N509" s="20"/>
      <c r="O509" s="20"/>
      <c r="P509" s="20"/>
      <c r="Q509" s="20"/>
      <c r="R509" s="20"/>
      <c r="S509" s="20"/>
      <c r="T509" s="20"/>
      <c r="U509" s="20"/>
      <c r="V509" s="20"/>
      <c r="W509" s="20"/>
      <c r="X509" s="20"/>
      <c r="Y509" s="20"/>
      <c r="Z509" s="20"/>
      <c r="AA509" s="20"/>
      <c r="AB509" s="20"/>
      <c r="AC509" s="20"/>
      <c r="AD509" s="20"/>
      <c r="AE509" s="20"/>
      <c r="AF509" s="20"/>
      <c r="AG509" s="20"/>
      <c r="AH509" s="20"/>
      <c r="AI509" s="20"/>
      <c r="AJ509" s="20"/>
      <c r="AK509" s="20"/>
      <c r="AL509" s="20"/>
      <c r="AM509" s="20"/>
    </row>
    <row r="510" spans="3:39" ht="32.25" customHeight="1" x14ac:dyDescent="0.2">
      <c r="C510" s="17"/>
      <c r="D510" s="18"/>
      <c r="E510" s="19"/>
      <c r="F510" s="20"/>
      <c r="G510" s="20"/>
      <c r="H510" s="20"/>
      <c r="I510" s="20"/>
      <c r="J510" s="20"/>
      <c r="K510" s="20"/>
      <c r="L510" s="20"/>
      <c r="M510" s="20"/>
      <c r="N510" s="20"/>
      <c r="O510" s="20"/>
      <c r="P510" s="20"/>
      <c r="Q510" s="20"/>
      <c r="R510" s="20"/>
      <c r="S510" s="20"/>
      <c r="T510" s="20"/>
      <c r="U510" s="20"/>
      <c r="V510" s="20"/>
      <c r="W510" s="20"/>
      <c r="X510" s="20"/>
      <c r="Y510" s="20"/>
      <c r="Z510" s="20"/>
      <c r="AA510" s="20"/>
      <c r="AB510" s="20"/>
      <c r="AC510" s="20"/>
      <c r="AD510" s="20"/>
      <c r="AE510" s="20"/>
      <c r="AF510" s="20"/>
      <c r="AG510" s="20"/>
      <c r="AH510" s="20"/>
      <c r="AI510" s="20"/>
      <c r="AJ510" s="20"/>
      <c r="AK510" s="20"/>
      <c r="AL510" s="20"/>
      <c r="AM510" s="20"/>
    </row>
    <row r="511" spans="3:39" ht="32.25" customHeight="1" x14ac:dyDescent="0.2">
      <c r="C511" s="17"/>
      <c r="D511" s="18"/>
      <c r="E511" s="19"/>
      <c r="F511" s="20"/>
      <c r="G511" s="20"/>
      <c r="H511" s="20"/>
      <c r="I511" s="20"/>
      <c r="J511" s="20"/>
      <c r="K511" s="20"/>
      <c r="L511" s="20"/>
      <c r="M511" s="20"/>
      <c r="N511" s="20"/>
      <c r="O511" s="20"/>
      <c r="P511" s="20"/>
      <c r="Q511" s="20"/>
      <c r="R511" s="20"/>
      <c r="S511" s="20"/>
      <c r="T511" s="20"/>
      <c r="U511" s="20"/>
      <c r="V511" s="20"/>
      <c r="W511" s="20"/>
      <c r="X511" s="20"/>
      <c r="Y511" s="20"/>
      <c r="Z511" s="20"/>
      <c r="AA511" s="20"/>
      <c r="AB511" s="20"/>
      <c r="AC511" s="20"/>
      <c r="AD511" s="20"/>
      <c r="AE511" s="20"/>
      <c r="AF511" s="20"/>
      <c r="AG511" s="20"/>
      <c r="AH511" s="20"/>
      <c r="AI511" s="20"/>
      <c r="AJ511" s="20"/>
      <c r="AK511" s="20"/>
      <c r="AL511" s="20"/>
      <c r="AM511" s="20"/>
    </row>
    <row r="512" spans="3:39" ht="32.25" customHeight="1" x14ac:dyDescent="0.2">
      <c r="C512" s="17"/>
      <c r="D512" s="18"/>
      <c r="E512" s="19"/>
      <c r="F512" s="20"/>
      <c r="G512" s="20"/>
      <c r="H512" s="20"/>
      <c r="I512" s="20"/>
      <c r="J512" s="20"/>
      <c r="K512" s="20"/>
      <c r="L512" s="20"/>
      <c r="M512" s="20"/>
      <c r="N512" s="20"/>
      <c r="O512" s="20"/>
      <c r="P512" s="20"/>
      <c r="Q512" s="20"/>
      <c r="R512" s="20"/>
      <c r="S512" s="20"/>
      <c r="T512" s="20"/>
      <c r="U512" s="20"/>
      <c r="V512" s="20"/>
      <c r="W512" s="20"/>
      <c r="X512" s="20"/>
      <c r="Y512" s="20"/>
      <c r="Z512" s="20"/>
      <c r="AA512" s="20"/>
      <c r="AB512" s="20"/>
      <c r="AC512" s="20"/>
      <c r="AD512" s="20"/>
      <c r="AE512" s="20"/>
      <c r="AF512" s="20"/>
      <c r="AG512" s="20"/>
      <c r="AH512" s="20"/>
      <c r="AI512" s="20"/>
      <c r="AJ512" s="20"/>
      <c r="AK512" s="20"/>
      <c r="AL512" s="20"/>
      <c r="AM512" s="20"/>
    </row>
    <row r="513" spans="3:39" ht="32.25" customHeight="1" x14ac:dyDescent="0.2">
      <c r="C513" s="17"/>
      <c r="D513" s="18"/>
      <c r="E513" s="19"/>
      <c r="F513" s="20"/>
      <c r="G513" s="20"/>
      <c r="H513" s="20"/>
      <c r="I513" s="20"/>
      <c r="J513" s="20"/>
      <c r="K513" s="20"/>
      <c r="L513" s="20"/>
      <c r="M513" s="20"/>
      <c r="N513" s="20"/>
      <c r="O513" s="20"/>
      <c r="P513" s="20"/>
      <c r="Q513" s="20"/>
      <c r="R513" s="20"/>
      <c r="S513" s="20"/>
      <c r="T513" s="20"/>
      <c r="U513" s="20"/>
      <c r="V513" s="20"/>
      <c r="W513" s="20"/>
      <c r="X513" s="20"/>
      <c r="Y513" s="20"/>
      <c r="Z513" s="20"/>
      <c r="AA513" s="20"/>
      <c r="AB513" s="20"/>
      <c r="AC513" s="20"/>
      <c r="AD513" s="20"/>
      <c r="AE513" s="20"/>
      <c r="AF513" s="20"/>
      <c r="AG513" s="20"/>
      <c r="AH513" s="20"/>
      <c r="AI513" s="20"/>
      <c r="AJ513" s="20"/>
      <c r="AK513" s="20"/>
      <c r="AL513" s="20"/>
      <c r="AM513" s="20"/>
    </row>
    <row r="514" spans="3:39" ht="32.25" customHeight="1" x14ac:dyDescent="0.2">
      <c r="C514" s="17"/>
      <c r="D514" s="18"/>
      <c r="E514" s="19"/>
      <c r="F514" s="20"/>
      <c r="G514" s="20"/>
      <c r="H514" s="20"/>
      <c r="I514" s="20"/>
      <c r="J514" s="20"/>
      <c r="K514" s="20"/>
      <c r="L514" s="20"/>
      <c r="M514" s="20"/>
      <c r="N514" s="20"/>
      <c r="O514" s="20"/>
      <c r="P514" s="20"/>
      <c r="Q514" s="20"/>
      <c r="R514" s="20"/>
      <c r="S514" s="20"/>
      <c r="T514" s="20"/>
      <c r="U514" s="20"/>
      <c r="V514" s="20"/>
      <c r="W514" s="20"/>
      <c r="X514" s="20"/>
      <c r="Y514" s="20"/>
      <c r="Z514" s="20"/>
      <c r="AA514" s="20"/>
      <c r="AB514" s="20"/>
      <c r="AC514" s="20"/>
      <c r="AD514" s="20"/>
      <c r="AE514" s="20"/>
      <c r="AF514" s="20"/>
      <c r="AG514" s="20"/>
      <c r="AH514" s="20"/>
      <c r="AI514" s="20"/>
      <c r="AJ514" s="20"/>
      <c r="AK514" s="20"/>
      <c r="AL514" s="20"/>
      <c r="AM514" s="20"/>
    </row>
  </sheetData>
  <mergeCells count="1">
    <mergeCell ref="B1:F1"/>
  </mergeCells>
  <phoneticPr fontId="16"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565489-BBB5-4C0F-BAF7-EF08B03AF564}">
  <sheetPr codeName="Sheet2">
    <tabColor rgb="FF00B0F0"/>
  </sheetPr>
  <dimension ref="B1:BV199"/>
  <sheetViews>
    <sheetView showGridLines="0" zoomScaleNormal="100" workbookViewId="0">
      <pane ySplit="7" topLeftCell="A8" activePane="bottomLeft" state="frozen"/>
      <selection pane="bottomLeft" activeCell="E30" sqref="E30"/>
    </sheetView>
  </sheetViews>
  <sheetFormatPr baseColWidth="10" defaultColWidth="8.83203125" defaultRowHeight="15" outlineLevelRow="1" x14ac:dyDescent="0.2"/>
  <cols>
    <col min="2" max="2" width="38.5" customWidth="1"/>
    <col min="3" max="3" width="13.83203125" bestFit="1" customWidth="1"/>
    <col min="4" max="4" width="13" bestFit="1" customWidth="1"/>
    <col min="5" max="5" width="12" bestFit="1" customWidth="1"/>
    <col min="6" max="6" width="12.5" bestFit="1" customWidth="1"/>
    <col min="7" max="7" width="13.83203125" bestFit="1" customWidth="1"/>
    <col min="8" max="9" width="12" bestFit="1" customWidth="1"/>
    <col min="10" max="12" width="12.5" bestFit="1" customWidth="1"/>
    <col min="13" max="14" width="12" bestFit="1" customWidth="1"/>
    <col min="15" max="16" width="12.5" bestFit="1" customWidth="1"/>
    <col min="17" max="17" width="12.1640625" bestFit="1" customWidth="1"/>
    <col min="18" max="18" width="11.6640625" bestFit="1" customWidth="1"/>
    <col min="19" max="20" width="12.5" bestFit="1" customWidth="1"/>
    <col min="21" max="27" width="12.1640625" bestFit="1" customWidth="1"/>
    <col min="28" max="51" width="12.5" bestFit="1" customWidth="1"/>
    <col min="52" max="53" width="14.5" bestFit="1" customWidth="1"/>
    <col min="54" max="54" width="14" bestFit="1" customWidth="1"/>
    <col min="55" max="55" width="14.5" bestFit="1" customWidth="1"/>
    <col min="56" max="56" width="13.5" bestFit="1" customWidth="1"/>
    <col min="57" max="61" width="14.5" bestFit="1" customWidth="1"/>
    <col min="62" max="66" width="14.83203125" bestFit="1" customWidth="1"/>
    <col min="67" max="67" width="14.5" bestFit="1" customWidth="1"/>
    <col min="68" max="74" width="14.83203125" bestFit="1" customWidth="1"/>
  </cols>
  <sheetData>
    <row r="1" spans="2:74" s="11" customFormat="1" ht="54" customHeight="1" x14ac:dyDescent="0.2">
      <c r="B1" s="191" t="s">
        <v>42</v>
      </c>
      <c r="C1" s="191"/>
      <c r="D1" s="191"/>
      <c r="E1" s="191"/>
      <c r="F1" s="191"/>
      <c r="BS1" s="12"/>
      <c r="BT1" s="12"/>
      <c r="BU1" s="12"/>
    </row>
    <row r="3" spans="2:74" ht="39.75" customHeight="1" x14ac:dyDescent="0.2">
      <c r="B3" s="122"/>
      <c r="C3" s="122"/>
      <c r="D3" s="122"/>
      <c r="E3" s="122"/>
      <c r="F3" s="122"/>
      <c r="BS3" s="25"/>
      <c r="BT3" s="25"/>
      <c r="BU3" s="25"/>
    </row>
    <row r="4" spans="2:74" ht="39.75" customHeight="1" x14ac:dyDescent="0.2">
      <c r="B4" s="122"/>
      <c r="C4" s="122"/>
      <c r="D4" s="122"/>
      <c r="E4" s="122"/>
      <c r="F4" s="122"/>
      <c r="BS4" s="25"/>
      <c r="BT4" s="25"/>
      <c r="BU4" s="25"/>
    </row>
    <row r="5" spans="2:74" ht="39.75" customHeight="1" x14ac:dyDescent="0.2">
      <c r="B5" s="122"/>
      <c r="C5" s="122"/>
      <c r="D5" s="122"/>
      <c r="E5" s="122"/>
      <c r="F5" s="122"/>
      <c r="BS5" s="25"/>
      <c r="BT5" s="25"/>
      <c r="BU5" s="25"/>
    </row>
    <row r="6" spans="2:74" ht="39.75" customHeight="1" thickBot="1" x14ac:dyDescent="0.25">
      <c r="B6" s="122"/>
      <c r="C6" s="122"/>
      <c r="D6" s="122"/>
      <c r="E6" s="122"/>
      <c r="F6" s="122"/>
      <c r="BS6" s="25"/>
      <c r="BT6" s="25"/>
      <c r="BU6" s="25"/>
    </row>
    <row r="7" spans="2:74" ht="30" thickBot="1" x14ac:dyDescent="0.25">
      <c r="B7" s="123"/>
      <c r="C7" s="14">
        <f>+'1. Calculator'!C4</f>
        <v>46143</v>
      </c>
      <c r="D7" s="15">
        <f t="shared" ref="D7:AI7" si="0">+DATE(YEAR(C7),MONTH(C7)+1,DAY(C7))</f>
        <v>46174</v>
      </c>
      <c r="E7" s="15">
        <f t="shared" si="0"/>
        <v>46204</v>
      </c>
      <c r="F7" s="15">
        <f t="shared" si="0"/>
        <v>46235</v>
      </c>
      <c r="G7" s="15">
        <f t="shared" si="0"/>
        <v>46266</v>
      </c>
      <c r="H7" s="15">
        <f t="shared" si="0"/>
        <v>46296</v>
      </c>
      <c r="I7" s="15">
        <f t="shared" si="0"/>
        <v>46327</v>
      </c>
      <c r="J7" s="15">
        <f t="shared" si="0"/>
        <v>46357</v>
      </c>
      <c r="K7" s="15">
        <f t="shared" si="0"/>
        <v>46388</v>
      </c>
      <c r="L7" s="15">
        <f t="shared" si="0"/>
        <v>46419</v>
      </c>
      <c r="M7" s="15">
        <f t="shared" si="0"/>
        <v>46447</v>
      </c>
      <c r="N7" s="15">
        <f t="shared" si="0"/>
        <v>46478</v>
      </c>
      <c r="O7" s="15">
        <f t="shared" si="0"/>
        <v>46508</v>
      </c>
      <c r="P7" s="15">
        <f t="shared" si="0"/>
        <v>46539</v>
      </c>
      <c r="Q7" s="15">
        <f t="shared" si="0"/>
        <v>46569</v>
      </c>
      <c r="R7" s="15">
        <f t="shared" si="0"/>
        <v>46600</v>
      </c>
      <c r="S7" s="15">
        <f t="shared" si="0"/>
        <v>46631</v>
      </c>
      <c r="T7" s="15">
        <f t="shared" si="0"/>
        <v>46661</v>
      </c>
      <c r="U7" s="15">
        <f t="shared" si="0"/>
        <v>46692</v>
      </c>
      <c r="V7" s="15">
        <f t="shared" si="0"/>
        <v>46722</v>
      </c>
      <c r="W7" s="15">
        <f t="shared" si="0"/>
        <v>46753</v>
      </c>
      <c r="X7" s="15">
        <f t="shared" si="0"/>
        <v>46784</v>
      </c>
      <c r="Y7" s="15">
        <f t="shared" si="0"/>
        <v>46813</v>
      </c>
      <c r="Z7" s="15">
        <f t="shared" si="0"/>
        <v>46844</v>
      </c>
      <c r="AA7" s="15">
        <f t="shared" si="0"/>
        <v>46874</v>
      </c>
      <c r="AB7" s="15">
        <f t="shared" si="0"/>
        <v>46905</v>
      </c>
      <c r="AC7" s="15">
        <f t="shared" si="0"/>
        <v>46935</v>
      </c>
      <c r="AD7" s="15">
        <f t="shared" si="0"/>
        <v>46966</v>
      </c>
      <c r="AE7" s="15">
        <f t="shared" si="0"/>
        <v>46997</v>
      </c>
      <c r="AF7" s="15">
        <f t="shared" si="0"/>
        <v>47027</v>
      </c>
      <c r="AG7" s="15">
        <f t="shared" si="0"/>
        <v>47058</v>
      </c>
      <c r="AH7" s="15">
        <f t="shared" si="0"/>
        <v>47088</v>
      </c>
      <c r="AI7" s="15">
        <f t="shared" si="0"/>
        <v>47119</v>
      </c>
      <c r="AJ7" s="15">
        <f t="shared" ref="AJ7:BO7" si="1">+DATE(YEAR(AI7),MONTH(AI7)+1,DAY(AI7))</f>
        <v>47150</v>
      </c>
      <c r="AK7" s="15">
        <f t="shared" si="1"/>
        <v>47178</v>
      </c>
      <c r="AL7" s="15">
        <f t="shared" si="1"/>
        <v>47209</v>
      </c>
      <c r="AM7" s="15">
        <f t="shared" si="1"/>
        <v>47239</v>
      </c>
      <c r="AN7" s="15">
        <f t="shared" si="1"/>
        <v>47270</v>
      </c>
      <c r="AO7" s="15">
        <f t="shared" si="1"/>
        <v>47300</v>
      </c>
      <c r="AP7" s="15">
        <f t="shared" si="1"/>
        <v>47331</v>
      </c>
      <c r="AQ7" s="15">
        <f t="shared" si="1"/>
        <v>47362</v>
      </c>
      <c r="AR7" s="15">
        <f t="shared" si="1"/>
        <v>47392</v>
      </c>
      <c r="AS7" s="15">
        <f t="shared" si="1"/>
        <v>47423</v>
      </c>
      <c r="AT7" s="15">
        <f t="shared" si="1"/>
        <v>47453</v>
      </c>
      <c r="AU7" s="15">
        <f t="shared" si="1"/>
        <v>47484</v>
      </c>
      <c r="AV7" s="15">
        <f t="shared" si="1"/>
        <v>47515</v>
      </c>
      <c r="AW7" s="15">
        <f t="shared" si="1"/>
        <v>47543</v>
      </c>
      <c r="AX7" s="15">
        <f t="shared" si="1"/>
        <v>47574</v>
      </c>
      <c r="AY7" s="15">
        <f t="shared" si="1"/>
        <v>47604</v>
      </c>
      <c r="AZ7" s="15">
        <f t="shared" si="1"/>
        <v>47635</v>
      </c>
      <c r="BA7" s="15">
        <f t="shared" si="1"/>
        <v>47665</v>
      </c>
      <c r="BB7" s="15">
        <f t="shared" si="1"/>
        <v>47696</v>
      </c>
      <c r="BC7" s="15">
        <f t="shared" si="1"/>
        <v>47727</v>
      </c>
      <c r="BD7" s="15">
        <f t="shared" si="1"/>
        <v>47757</v>
      </c>
      <c r="BE7" s="15">
        <f t="shared" si="1"/>
        <v>47788</v>
      </c>
      <c r="BF7" s="15">
        <f t="shared" si="1"/>
        <v>47818</v>
      </c>
      <c r="BG7" s="15">
        <f t="shared" si="1"/>
        <v>47849</v>
      </c>
      <c r="BH7" s="15">
        <f t="shared" si="1"/>
        <v>47880</v>
      </c>
      <c r="BI7" s="15">
        <f t="shared" si="1"/>
        <v>47908</v>
      </c>
      <c r="BJ7" s="15">
        <f t="shared" si="1"/>
        <v>47939</v>
      </c>
      <c r="BK7" s="15">
        <f t="shared" si="1"/>
        <v>47969</v>
      </c>
      <c r="BL7" s="15">
        <f t="shared" si="1"/>
        <v>48000</v>
      </c>
      <c r="BM7" s="15">
        <f t="shared" si="1"/>
        <v>48030</v>
      </c>
      <c r="BN7" s="15">
        <f t="shared" si="1"/>
        <v>48061</v>
      </c>
      <c r="BO7" s="15">
        <f t="shared" si="1"/>
        <v>48092</v>
      </c>
      <c r="BP7" s="15">
        <f t="shared" ref="BP7:BV7" si="2">+DATE(YEAR(BO7),MONTH(BO7)+1,DAY(BO7))</f>
        <v>48122</v>
      </c>
      <c r="BQ7" s="15">
        <f t="shared" si="2"/>
        <v>48153</v>
      </c>
      <c r="BR7" s="15">
        <f t="shared" si="2"/>
        <v>48183</v>
      </c>
      <c r="BS7" s="15">
        <f t="shared" si="2"/>
        <v>48214</v>
      </c>
      <c r="BT7" s="15">
        <f t="shared" si="2"/>
        <v>48245</v>
      </c>
      <c r="BU7" s="15">
        <f t="shared" si="2"/>
        <v>48274</v>
      </c>
      <c r="BV7" s="15">
        <f t="shared" si="2"/>
        <v>48305</v>
      </c>
    </row>
    <row r="8" spans="2:74" s="125" customFormat="1" ht="17" thickTop="1" x14ac:dyDescent="0.2">
      <c r="B8" s="124" t="s">
        <v>76</v>
      </c>
      <c r="C8" s="93">
        <f t="shared" ref="C8:AH8" si="3">+SUM(C9:C17)</f>
        <v>10500</v>
      </c>
      <c r="D8" s="93">
        <f t="shared" si="3"/>
        <v>11050</v>
      </c>
      <c r="E8" s="93">
        <f t="shared" si="3"/>
        <v>11630</v>
      </c>
      <c r="F8" s="93">
        <f t="shared" si="3"/>
        <v>12241.75</v>
      </c>
      <c r="G8" s="93">
        <f t="shared" si="3"/>
        <v>12887.112499999999</v>
      </c>
      <c r="H8" s="93">
        <f t="shared" si="3"/>
        <v>13568.070625</v>
      </c>
      <c r="I8" s="93">
        <f t="shared" si="3"/>
        <v>14286.736906250002</v>
      </c>
      <c r="J8" s="93">
        <f t="shared" si="3"/>
        <v>15045.362776562502</v>
      </c>
      <c r="K8" s="93">
        <f t="shared" si="3"/>
        <v>15846.348842890628</v>
      </c>
      <c r="L8" s="93">
        <f t="shared" si="3"/>
        <v>16692.256005285159</v>
      </c>
      <c r="M8" s="93">
        <f t="shared" si="3"/>
        <v>17585.817497824417</v>
      </c>
      <c r="N8" s="93">
        <f t="shared" si="3"/>
        <v>18529.951934218137</v>
      </c>
      <c r="O8" s="93">
        <f t="shared" si="3"/>
        <v>19527.777448581797</v>
      </c>
      <c r="P8" s="93">
        <f t="shared" si="3"/>
        <v>20582.627030428914</v>
      </c>
      <c r="Q8" s="93">
        <f t="shared" si="3"/>
        <v>21698.065162310188</v>
      </c>
      <c r="R8" s="93">
        <f t="shared" si="3"/>
        <v>22877.905878821508</v>
      </c>
      <c r="S8" s="93">
        <f t="shared" si="3"/>
        <v>24126.232376997978</v>
      </c>
      <c r="T8" s="93">
        <f t="shared" si="3"/>
        <v>25447.418320506808</v>
      </c>
      <c r="U8" s="93">
        <f t="shared" si="3"/>
        <v>26846.150993656971</v>
      </c>
      <c r="V8" s="93">
        <f t="shared" si="3"/>
        <v>28327.456476177129</v>
      </c>
      <c r="W8" s="93">
        <f t="shared" si="3"/>
        <v>29896.727026107023</v>
      </c>
      <c r="X8" s="93">
        <f t="shared" si="3"/>
        <v>31559.750876145514</v>
      </c>
      <c r="Y8" s="93">
        <f t="shared" si="3"/>
        <v>33322.744668559244</v>
      </c>
      <c r="Z8" s="93">
        <f t="shared" si="3"/>
        <v>35192.38877545431</v>
      </c>
      <c r="AA8" s="93">
        <f t="shared" si="3"/>
        <v>37175.865775040838</v>
      </c>
      <c r="AB8" s="93">
        <f t="shared" si="3"/>
        <v>39280.902380688065</v>
      </c>
      <c r="AC8" s="93">
        <f t="shared" si="3"/>
        <v>41515.815148307178</v>
      </c>
      <c r="AD8" s="93">
        <f t="shared" si="3"/>
        <v>43889.560319165721</v>
      </c>
      <c r="AE8" s="93">
        <f t="shared" si="3"/>
        <v>46411.788189911509</v>
      </c>
      <c r="AF8" s="93">
        <f t="shared" si="3"/>
        <v>49092.902439673329</v>
      </c>
      <c r="AG8" s="93">
        <f t="shared" si="3"/>
        <v>51944.124885949874</v>
      </c>
      <c r="AH8" s="93">
        <f t="shared" si="3"/>
        <v>54977.566186969532</v>
      </c>
      <c r="AI8" s="93">
        <f t="shared" ref="AI8:BN8" si="4">+SUM(AI9:AI17)</f>
        <v>58206.303058712387</v>
      </c>
      <c r="AJ8" s="93">
        <f t="shared" si="4"/>
        <v>61644.462630281829</v>
      </c>
      <c r="AK8" s="93">
        <f t="shared" si="4"/>
        <v>65307.314622293117</v>
      </c>
      <c r="AL8" s="93">
        <f t="shared" si="4"/>
        <v>69211.372099954693</v>
      </c>
      <c r="AM8" s="93">
        <f t="shared" si="4"/>
        <v>73374.501626154044</v>
      </c>
      <c r="AN8" s="93">
        <f t="shared" si="4"/>
        <v>77816.04372078352</v>
      </c>
      <c r="AO8" s="93">
        <f t="shared" si="4"/>
        <v>82556.94462147665</v>
      </c>
      <c r="AP8" s="93">
        <f t="shared" si="4"/>
        <v>87619.900438669836</v>
      </c>
      <c r="AQ8" s="93">
        <f t="shared" si="4"/>
        <v>93029.51490533461</v>
      </c>
      <c r="AR8" s="93">
        <f t="shared" si="4"/>
        <v>98812.472039805754</v>
      </c>
      <c r="AS8" s="93">
        <f t="shared" si="4"/>
        <v>104997.72516992089</v>
      </c>
      <c r="AT8" s="93">
        <f t="shared" si="4"/>
        <v>111616.70390935427</v>
      </c>
      <c r="AU8" s="93">
        <f t="shared" si="4"/>
        <v>118703.54083385304</v>
      </c>
      <c r="AV8" s="93">
        <f t="shared" si="4"/>
        <v>126295.31977747988</v>
      </c>
      <c r="AW8" s="93">
        <f t="shared" si="4"/>
        <v>134432.34785848146</v>
      </c>
      <c r="AX8" s="93">
        <f t="shared" si="4"/>
        <v>143158.45355274586</v>
      </c>
      <c r="AY8" s="93">
        <f t="shared" si="4"/>
        <v>152521.31336185755</v>
      </c>
      <c r="AZ8" s="93">
        <f t="shared" si="4"/>
        <v>162572.80987457227</v>
      </c>
      <c r="BA8" s="93">
        <f t="shared" si="4"/>
        <v>173369.42429738486</v>
      </c>
      <c r="BB8" s="93">
        <f t="shared" si="4"/>
        <v>184972.66683424651</v>
      </c>
      <c r="BC8" s="93">
        <f t="shared" si="4"/>
        <v>197449.5486301505</v>
      </c>
      <c r="BD8" s="93">
        <f t="shared" si="4"/>
        <v>210873.09936126883</v>
      </c>
      <c r="BE8" s="93">
        <f t="shared" si="4"/>
        <v>225322.93495890417</v>
      </c>
      <c r="BF8" s="93">
        <f t="shared" si="4"/>
        <v>240885.88039937842</v>
      </c>
      <c r="BG8" s="93">
        <f t="shared" si="4"/>
        <v>257656.65298112933</v>
      </c>
      <c r="BH8" s="93">
        <f t="shared" si="4"/>
        <v>275738.61204814597</v>
      </c>
      <c r="BI8" s="93">
        <f t="shared" si="4"/>
        <v>295244.58171030949</v>
      </c>
      <c r="BJ8" s="93">
        <f t="shared" si="4"/>
        <v>316297.75376155676</v>
      </c>
      <c r="BK8" s="93">
        <f t="shared" si="4"/>
        <v>339032.6787119396</v>
      </c>
      <c r="BL8" s="93">
        <f t="shared" si="4"/>
        <v>363596.35363607208</v>
      </c>
      <c r="BM8" s="93">
        <f t="shared" si="4"/>
        <v>390149.41640526475</v>
      </c>
      <c r="BN8" s="93">
        <f t="shared" si="4"/>
        <v>418867.45682165597</v>
      </c>
      <c r="BO8" s="93">
        <f t="shared" ref="BO8:BV8" si="5">+SUM(BO9:BO17)</f>
        <v>449942.45621847955</v>
      </c>
      <c r="BP8" s="93">
        <f t="shared" si="5"/>
        <v>483584.36824071832</v>
      </c>
      <c r="BQ8" s="93">
        <f t="shared" si="5"/>
        <v>520022.85478520056</v>
      </c>
      <c r="BR8" s="93">
        <f t="shared" si="5"/>
        <v>559509.19247015147</v>
      </c>
      <c r="BS8" s="93">
        <f t="shared" si="5"/>
        <v>602318.366533919</v>
      </c>
      <c r="BT8" s="93">
        <f t="shared" si="5"/>
        <v>648751.37074490101</v>
      </c>
      <c r="BU8" s="93">
        <f t="shared" si="5"/>
        <v>699137.7337548607</v>
      </c>
      <c r="BV8" s="93">
        <f t="shared" si="5"/>
        <v>753838.29436258995</v>
      </c>
    </row>
    <row r="9" spans="2:74" s="127" customFormat="1" hidden="1" outlineLevel="1" x14ac:dyDescent="0.2">
      <c r="B9" s="126" t="s">
        <v>50</v>
      </c>
      <c r="C9" s="111">
        <v>500</v>
      </c>
      <c r="D9" s="112">
        <f t="shared" ref="D9:BO9" si="6">+C9*1.1</f>
        <v>550</v>
      </c>
      <c r="E9" s="112">
        <f t="shared" si="6"/>
        <v>605</v>
      </c>
      <c r="F9" s="112">
        <f t="shared" si="6"/>
        <v>665.5</v>
      </c>
      <c r="G9" s="112">
        <f t="shared" si="6"/>
        <v>732.05000000000007</v>
      </c>
      <c r="H9" s="112">
        <f t="shared" si="6"/>
        <v>805.25500000000011</v>
      </c>
      <c r="I9" s="112">
        <f t="shared" si="6"/>
        <v>885.78050000000019</v>
      </c>
      <c r="J9" s="112">
        <f t="shared" si="6"/>
        <v>974.35855000000026</v>
      </c>
      <c r="K9" s="112">
        <f t="shared" si="6"/>
        <v>1071.7944050000003</v>
      </c>
      <c r="L9" s="112">
        <f t="shared" si="6"/>
        <v>1178.9738455000004</v>
      </c>
      <c r="M9" s="112">
        <f t="shared" si="6"/>
        <v>1296.8712300500006</v>
      </c>
      <c r="N9" s="112">
        <f t="shared" si="6"/>
        <v>1426.5583530550007</v>
      </c>
      <c r="O9" s="112">
        <f t="shared" si="6"/>
        <v>1569.2141883605009</v>
      </c>
      <c r="P9" s="112">
        <f t="shared" si="6"/>
        <v>1726.1356071965511</v>
      </c>
      <c r="Q9" s="112">
        <f t="shared" si="6"/>
        <v>1898.7491679162063</v>
      </c>
      <c r="R9" s="112">
        <f t="shared" si="6"/>
        <v>2088.624084707827</v>
      </c>
      <c r="S9" s="112">
        <f t="shared" si="6"/>
        <v>2297.4864931786101</v>
      </c>
      <c r="T9" s="112">
        <f t="shared" si="6"/>
        <v>2527.2351424964713</v>
      </c>
      <c r="U9" s="112">
        <f t="shared" si="6"/>
        <v>2779.9586567461188</v>
      </c>
      <c r="V9" s="112">
        <f t="shared" si="6"/>
        <v>3057.9545224207309</v>
      </c>
      <c r="W9" s="112">
        <f t="shared" si="6"/>
        <v>3363.7499746628041</v>
      </c>
      <c r="X9" s="112">
        <f t="shared" si="6"/>
        <v>3700.1249721290847</v>
      </c>
      <c r="Y9" s="112">
        <f t="shared" si="6"/>
        <v>4070.1374693419934</v>
      </c>
      <c r="Z9" s="112">
        <f t="shared" si="6"/>
        <v>4477.1512162761928</v>
      </c>
      <c r="AA9" s="112">
        <f t="shared" si="6"/>
        <v>4924.8663379038126</v>
      </c>
      <c r="AB9" s="112">
        <f t="shared" si="6"/>
        <v>5417.3529716941939</v>
      </c>
      <c r="AC9" s="112">
        <f t="shared" si="6"/>
        <v>5959.0882688636138</v>
      </c>
      <c r="AD9" s="112">
        <f t="shared" si="6"/>
        <v>6554.9970957499754</v>
      </c>
      <c r="AE9" s="112">
        <f t="shared" si="6"/>
        <v>7210.4968053249731</v>
      </c>
      <c r="AF9" s="112">
        <f t="shared" si="6"/>
        <v>7931.5464858574715</v>
      </c>
      <c r="AG9" s="112">
        <f t="shared" si="6"/>
        <v>8724.7011344432194</v>
      </c>
      <c r="AH9" s="112">
        <f t="shared" si="6"/>
        <v>9597.1712478875415</v>
      </c>
      <c r="AI9" s="112">
        <f t="shared" si="6"/>
        <v>10556.888372676296</v>
      </c>
      <c r="AJ9" s="112">
        <f t="shared" si="6"/>
        <v>11612.577209943927</v>
      </c>
      <c r="AK9" s="112">
        <f t="shared" si="6"/>
        <v>12773.834930938321</v>
      </c>
      <c r="AL9" s="112">
        <f t="shared" si="6"/>
        <v>14051.218424032155</v>
      </c>
      <c r="AM9" s="112">
        <f t="shared" si="6"/>
        <v>15456.340266435371</v>
      </c>
      <c r="AN9" s="112">
        <f t="shared" si="6"/>
        <v>17001.974293078911</v>
      </c>
      <c r="AO9" s="112">
        <f t="shared" si="6"/>
        <v>18702.171722386804</v>
      </c>
      <c r="AP9" s="112">
        <f t="shared" si="6"/>
        <v>20572.388894625485</v>
      </c>
      <c r="AQ9" s="112">
        <f t="shared" si="6"/>
        <v>22629.627784088036</v>
      </c>
      <c r="AR9" s="112">
        <f t="shared" si="6"/>
        <v>24892.59056249684</v>
      </c>
      <c r="AS9" s="112">
        <f t="shared" si="6"/>
        <v>27381.849618746528</v>
      </c>
      <c r="AT9" s="112">
        <f t="shared" si="6"/>
        <v>30120.034580621184</v>
      </c>
      <c r="AU9" s="112">
        <f t="shared" si="6"/>
        <v>33132.038038683306</v>
      </c>
      <c r="AV9" s="112">
        <f t="shared" si="6"/>
        <v>36445.241842551637</v>
      </c>
      <c r="AW9" s="112">
        <f t="shared" si="6"/>
        <v>40089.766026806807</v>
      </c>
      <c r="AX9" s="112">
        <f t="shared" si="6"/>
        <v>44098.742629487489</v>
      </c>
      <c r="AY9" s="112">
        <f t="shared" si="6"/>
        <v>48508.616892436243</v>
      </c>
      <c r="AZ9" s="112">
        <f t="shared" si="6"/>
        <v>53359.478581679869</v>
      </c>
      <c r="BA9" s="112">
        <f t="shared" si="6"/>
        <v>58695.426439847863</v>
      </c>
      <c r="BB9" s="112">
        <f t="shared" si="6"/>
        <v>64564.969083832657</v>
      </c>
      <c r="BC9" s="112">
        <f t="shared" si="6"/>
        <v>71021.465992215934</v>
      </c>
      <c r="BD9" s="112">
        <f t="shared" si="6"/>
        <v>78123.61259143753</v>
      </c>
      <c r="BE9" s="112">
        <f t="shared" si="6"/>
        <v>85935.973850581286</v>
      </c>
      <c r="BF9" s="112">
        <f t="shared" si="6"/>
        <v>94529.571235639422</v>
      </c>
      <c r="BG9" s="112">
        <f t="shared" si="6"/>
        <v>103982.52835920337</v>
      </c>
      <c r="BH9" s="112">
        <f t="shared" si="6"/>
        <v>114380.78119512371</v>
      </c>
      <c r="BI9" s="112">
        <f t="shared" si="6"/>
        <v>125818.85931463609</v>
      </c>
      <c r="BJ9" s="112">
        <f t="shared" si="6"/>
        <v>138400.74524609972</v>
      </c>
      <c r="BK9" s="112">
        <f t="shared" si="6"/>
        <v>152240.8197707097</v>
      </c>
      <c r="BL9" s="112">
        <f t="shared" si="6"/>
        <v>167464.90174778068</v>
      </c>
      <c r="BM9" s="112">
        <f t="shared" si="6"/>
        <v>184211.39192255877</v>
      </c>
      <c r="BN9" s="112">
        <f t="shared" si="6"/>
        <v>202632.53111481466</v>
      </c>
      <c r="BO9" s="112">
        <f t="shared" si="6"/>
        <v>222895.78422629615</v>
      </c>
      <c r="BP9" s="112">
        <f t="shared" ref="BP9:BV9" si="7">+BO9*1.1</f>
        <v>245185.36264892577</v>
      </c>
      <c r="BQ9" s="112">
        <f t="shared" si="7"/>
        <v>269703.89891381835</v>
      </c>
      <c r="BR9" s="112">
        <f t="shared" si="7"/>
        <v>296674.28880520019</v>
      </c>
      <c r="BS9" s="112">
        <f t="shared" si="7"/>
        <v>326341.71768572024</v>
      </c>
      <c r="BT9" s="112">
        <f t="shared" si="7"/>
        <v>358975.88945429231</v>
      </c>
      <c r="BU9" s="112">
        <f t="shared" si="7"/>
        <v>394873.47839972156</v>
      </c>
      <c r="BV9" s="112">
        <f t="shared" si="7"/>
        <v>434360.82623969374</v>
      </c>
    </row>
    <row r="10" spans="2:74" s="127" customFormat="1" hidden="1" outlineLevel="1" x14ac:dyDescent="0.2">
      <c r="B10" s="126" t="s">
        <v>51</v>
      </c>
      <c r="C10" s="113"/>
      <c r="D10" s="114"/>
      <c r="E10" s="114"/>
      <c r="F10" s="114"/>
      <c r="G10" s="114"/>
      <c r="H10" s="114"/>
      <c r="I10" s="114"/>
      <c r="J10" s="114"/>
      <c r="K10" s="114"/>
      <c r="L10" s="114"/>
      <c r="M10" s="114"/>
      <c r="N10" s="114"/>
      <c r="O10" s="114"/>
      <c r="P10" s="114"/>
      <c r="Q10" s="114"/>
      <c r="R10" s="114"/>
      <c r="S10" s="114"/>
      <c r="T10" s="114"/>
      <c r="U10" s="114"/>
      <c r="V10" s="114"/>
      <c r="W10" s="114"/>
      <c r="X10" s="114"/>
      <c r="Y10" s="114"/>
      <c r="Z10" s="114"/>
      <c r="AA10" s="114"/>
      <c r="AB10" s="114"/>
      <c r="AC10" s="114"/>
      <c r="AD10" s="114"/>
      <c r="AE10" s="114"/>
      <c r="AF10" s="114"/>
      <c r="AG10" s="114"/>
      <c r="AH10" s="114"/>
      <c r="AI10" s="114"/>
      <c r="AJ10" s="114"/>
      <c r="AK10" s="114"/>
      <c r="AL10" s="114"/>
      <c r="AM10" s="114"/>
      <c r="AN10" s="114"/>
      <c r="AO10" s="114"/>
      <c r="AP10" s="114"/>
      <c r="AQ10" s="114"/>
      <c r="AR10" s="114"/>
      <c r="AS10" s="114"/>
      <c r="AT10" s="114"/>
      <c r="AU10" s="114"/>
      <c r="AV10" s="114"/>
      <c r="AW10" s="114"/>
      <c r="AX10" s="114"/>
      <c r="AY10" s="114"/>
      <c r="AZ10" s="114"/>
      <c r="BA10" s="114"/>
      <c r="BB10" s="114"/>
      <c r="BC10" s="114"/>
      <c r="BD10" s="114"/>
      <c r="BE10" s="114"/>
      <c r="BF10" s="114"/>
      <c r="BG10" s="114"/>
      <c r="BH10" s="114"/>
      <c r="BI10" s="114"/>
      <c r="BJ10" s="114"/>
      <c r="BK10" s="114"/>
      <c r="BL10" s="114"/>
      <c r="BM10" s="114"/>
      <c r="BN10" s="114"/>
      <c r="BO10" s="114"/>
      <c r="BP10" s="114"/>
      <c r="BQ10" s="114"/>
      <c r="BR10" s="114"/>
      <c r="BS10" s="114"/>
      <c r="BT10" s="114"/>
      <c r="BU10" s="114"/>
      <c r="BV10" s="114"/>
    </row>
    <row r="11" spans="2:74" s="127" customFormat="1" hidden="1" outlineLevel="1" x14ac:dyDescent="0.2">
      <c r="B11" s="126" t="s">
        <v>52</v>
      </c>
      <c r="C11" s="113"/>
      <c r="D11" s="114"/>
      <c r="E11" s="114"/>
      <c r="F11" s="114"/>
      <c r="G11" s="114"/>
      <c r="H11" s="114"/>
      <c r="I11" s="114"/>
      <c r="J11" s="114"/>
      <c r="K11" s="114"/>
      <c r="L11" s="114"/>
      <c r="M11" s="114"/>
      <c r="N11" s="114"/>
      <c r="O11" s="114"/>
      <c r="P11" s="114"/>
      <c r="Q11" s="114"/>
      <c r="R11" s="114"/>
      <c r="S11" s="114"/>
      <c r="T11" s="114"/>
      <c r="U11" s="114"/>
      <c r="V11" s="114"/>
      <c r="W11" s="114"/>
      <c r="X11" s="114"/>
      <c r="Y11" s="114"/>
      <c r="Z11" s="114"/>
      <c r="AA11" s="114"/>
      <c r="AB11" s="114"/>
      <c r="AC11" s="114"/>
      <c r="AD11" s="114"/>
      <c r="AE11" s="114"/>
      <c r="AF11" s="114"/>
      <c r="AG11" s="114"/>
      <c r="AH11" s="114"/>
      <c r="AI11" s="114"/>
      <c r="AJ11" s="114"/>
      <c r="AK11" s="114"/>
      <c r="AL11" s="114"/>
      <c r="AM11" s="114"/>
      <c r="AN11" s="114"/>
      <c r="AO11" s="114"/>
      <c r="AP11" s="114"/>
      <c r="AQ11" s="114"/>
      <c r="AR11" s="114"/>
      <c r="AS11" s="114"/>
      <c r="AT11" s="114"/>
      <c r="AU11" s="114"/>
      <c r="AV11" s="114"/>
      <c r="AW11" s="114"/>
      <c r="AX11" s="114"/>
      <c r="AY11" s="114"/>
      <c r="AZ11" s="114"/>
      <c r="BA11" s="114"/>
      <c r="BB11" s="114"/>
      <c r="BC11" s="114"/>
      <c r="BD11" s="114"/>
      <c r="BE11" s="114"/>
      <c r="BF11" s="114"/>
      <c r="BG11" s="114"/>
      <c r="BH11" s="114"/>
      <c r="BI11" s="114"/>
      <c r="BJ11" s="114"/>
      <c r="BK11" s="114"/>
      <c r="BL11" s="114"/>
      <c r="BM11" s="114"/>
      <c r="BN11" s="114"/>
      <c r="BO11" s="114"/>
      <c r="BP11" s="114"/>
      <c r="BQ11" s="114"/>
      <c r="BR11" s="114"/>
      <c r="BS11" s="114"/>
      <c r="BT11" s="114"/>
      <c r="BU11" s="114"/>
      <c r="BV11" s="114"/>
    </row>
    <row r="12" spans="2:74" s="127" customFormat="1" hidden="1" outlineLevel="1" x14ac:dyDescent="0.2">
      <c r="B12" s="126" t="s">
        <v>53</v>
      </c>
      <c r="C12" s="113"/>
      <c r="D12" s="114"/>
      <c r="E12" s="114"/>
      <c r="F12" s="114"/>
      <c r="G12" s="114"/>
      <c r="H12" s="114"/>
      <c r="I12" s="114"/>
      <c r="J12" s="114"/>
      <c r="K12" s="114"/>
      <c r="L12" s="114"/>
      <c r="M12" s="114"/>
      <c r="N12" s="114"/>
      <c r="O12" s="114"/>
      <c r="P12" s="114"/>
      <c r="Q12" s="114"/>
      <c r="R12" s="114"/>
      <c r="S12" s="114"/>
      <c r="T12" s="114"/>
      <c r="U12" s="114"/>
      <c r="V12" s="114"/>
      <c r="W12" s="114"/>
      <c r="X12" s="114"/>
      <c r="Y12" s="114"/>
      <c r="Z12" s="114"/>
      <c r="AA12" s="114"/>
      <c r="AB12" s="114"/>
      <c r="AC12" s="114"/>
      <c r="AD12" s="114"/>
      <c r="AE12" s="114"/>
      <c r="AF12" s="114"/>
      <c r="AG12" s="114"/>
      <c r="AH12" s="114"/>
      <c r="AI12" s="114"/>
      <c r="AJ12" s="114"/>
      <c r="AK12" s="114"/>
      <c r="AL12" s="114"/>
      <c r="AM12" s="114"/>
      <c r="AN12" s="114"/>
      <c r="AO12" s="114"/>
      <c r="AP12" s="114"/>
      <c r="AQ12" s="114"/>
      <c r="AR12" s="114"/>
      <c r="AS12" s="114"/>
      <c r="AT12" s="114"/>
      <c r="AU12" s="114"/>
      <c r="AV12" s="114"/>
      <c r="AW12" s="114"/>
      <c r="AX12" s="114"/>
      <c r="AY12" s="114"/>
      <c r="AZ12" s="114"/>
      <c r="BA12" s="114"/>
      <c r="BB12" s="114"/>
      <c r="BC12" s="114"/>
      <c r="BD12" s="114"/>
      <c r="BE12" s="114"/>
      <c r="BF12" s="114"/>
      <c r="BG12" s="114"/>
      <c r="BH12" s="114"/>
      <c r="BI12" s="114"/>
      <c r="BJ12" s="114"/>
      <c r="BK12" s="114"/>
      <c r="BL12" s="114"/>
      <c r="BM12" s="114"/>
      <c r="BN12" s="114"/>
      <c r="BO12" s="114"/>
      <c r="BP12" s="114"/>
      <c r="BQ12" s="114"/>
      <c r="BR12" s="114"/>
      <c r="BS12" s="114"/>
      <c r="BT12" s="114"/>
      <c r="BU12" s="114"/>
      <c r="BV12" s="114"/>
    </row>
    <row r="13" spans="2:74" s="127" customFormat="1" hidden="1" outlineLevel="1" x14ac:dyDescent="0.2">
      <c r="B13" s="126" t="s">
        <v>54</v>
      </c>
      <c r="C13" s="113">
        <v>10000</v>
      </c>
      <c r="D13" s="114">
        <f t="shared" ref="D13:BO13" si="8">+C13*1.05</f>
        <v>10500</v>
      </c>
      <c r="E13" s="114">
        <f t="shared" si="8"/>
        <v>11025</v>
      </c>
      <c r="F13" s="114">
        <f t="shared" si="8"/>
        <v>11576.25</v>
      </c>
      <c r="G13" s="114">
        <f t="shared" si="8"/>
        <v>12155.0625</v>
      </c>
      <c r="H13" s="114">
        <f t="shared" si="8"/>
        <v>12762.815625000001</v>
      </c>
      <c r="I13" s="114">
        <f t="shared" si="8"/>
        <v>13400.956406250001</v>
      </c>
      <c r="J13" s="114">
        <f t="shared" si="8"/>
        <v>14071.004226562502</v>
      </c>
      <c r="K13" s="114">
        <f t="shared" si="8"/>
        <v>14774.554437890627</v>
      </c>
      <c r="L13" s="114">
        <f t="shared" si="8"/>
        <v>15513.28215978516</v>
      </c>
      <c r="M13" s="114">
        <f t="shared" si="8"/>
        <v>16288.946267774418</v>
      </c>
      <c r="N13" s="114">
        <f t="shared" si="8"/>
        <v>17103.393581163138</v>
      </c>
      <c r="O13" s="114">
        <f t="shared" si="8"/>
        <v>17958.563260221297</v>
      </c>
      <c r="P13" s="114">
        <f t="shared" si="8"/>
        <v>18856.491423232364</v>
      </c>
      <c r="Q13" s="114">
        <f t="shared" si="8"/>
        <v>19799.315994393983</v>
      </c>
      <c r="R13" s="114">
        <f t="shared" si="8"/>
        <v>20789.281794113682</v>
      </c>
      <c r="S13" s="114">
        <f t="shared" si="8"/>
        <v>21828.745883819367</v>
      </c>
      <c r="T13" s="114">
        <f t="shared" si="8"/>
        <v>22920.183178010335</v>
      </c>
      <c r="U13" s="114">
        <f t="shared" si="8"/>
        <v>24066.192336910852</v>
      </c>
      <c r="V13" s="114">
        <f t="shared" si="8"/>
        <v>25269.501953756397</v>
      </c>
      <c r="W13" s="114">
        <f t="shared" si="8"/>
        <v>26532.977051444217</v>
      </c>
      <c r="X13" s="114">
        <f t="shared" si="8"/>
        <v>27859.62590401643</v>
      </c>
      <c r="Y13" s="114">
        <f t="shared" si="8"/>
        <v>29252.607199217251</v>
      </c>
      <c r="Z13" s="114">
        <f t="shared" si="8"/>
        <v>30715.237559178116</v>
      </c>
      <c r="AA13" s="114">
        <f t="shared" si="8"/>
        <v>32250.999437137023</v>
      </c>
      <c r="AB13" s="114">
        <f t="shared" si="8"/>
        <v>33863.549408993873</v>
      </c>
      <c r="AC13" s="114">
        <f t="shared" si="8"/>
        <v>35556.726879443566</v>
      </c>
      <c r="AD13" s="114">
        <f t="shared" si="8"/>
        <v>37334.563223415746</v>
      </c>
      <c r="AE13" s="114">
        <f t="shared" si="8"/>
        <v>39201.291384586533</v>
      </c>
      <c r="AF13" s="114">
        <f t="shared" si="8"/>
        <v>41161.355953815859</v>
      </c>
      <c r="AG13" s="114">
        <f t="shared" si="8"/>
        <v>43219.423751506656</v>
      </c>
      <c r="AH13" s="114">
        <f t="shared" si="8"/>
        <v>45380.394939081991</v>
      </c>
      <c r="AI13" s="114">
        <f t="shared" si="8"/>
        <v>47649.414686036092</v>
      </c>
      <c r="AJ13" s="114">
        <f t="shared" si="8"/>
        <v>50031.885420337901</v>
      </c>
      <c r="AK13" s="114">
        <f t="shared" si="8"/>
        <v>52533.479691354798</v>
      </c>
      <c r="AL13" s="114">
        <f t="shared" si="8"/>
        <v>55160.153675922542</v>
      </c>
      <c r="AM13" s="114">
        <f t="shared" si="8"/>
        <v>57918.161359718673</v>
      </c>
      <c r="AN13" s="114">
        <f t="shared" si="8"/>
        <v>60814.069427704613</v>
      </c>
      <c r="AO13" s="114">
        <f t="shared" si="8"/>
        <v>63854.772899089847</v>
      </c>
      <c r="AP13" s="114">
        <f t="shared" si="8"/>
        <v>67047.511544044348</v>
      </c>
      <c r="AQ13" s="114">
        <f t="shared" si="8"/>
        <v>70399.887121246575</v>
      </c>
      <c r="AR13" s="114">
        <f t="shared" si="8"/>
        <v>73919.881477308911</v>
      </c>
      <c r="AS13" s="114">
        <f t="shared" si="8"/>
        <v>77615.875551174366</v>
      </c>
      <c r="AT13" s="114">
        <f t="shared" si="8"/>
        <v>81496.669328733085</v>
      </c>
      <c r="AU13" s="114">
        <f t="shared" si="8"/>
        <v>85571.502795169741</v>
      </c>
      <c r="AV13" s="114">
        <f t="shared" si="8"/>
        <v>89850.077934928238</v>
      </c>
      <c r="AW13" s="114">
        <f t="shared" si="8"/>
        <v>94342.581831674659</v>
      </c>
      <c r="AX13" s="114">
        <f t="shared" si="8"/>
        <v>99059.71092325839</v>
      </c>
      <c r="AY13" s="114">
        <f t="shared" si="8"/>
        <v>104012.69646942131</v>
      </c>
      <c r="AZ13" s="114">
        <f t="shared" si="8"/>
        <v>109213.33129289238</v>
      </c>
      <c r="BA13" s="114">
        <f t="shared" si="8"/>
        <v>114673.997857537</v>
      </c>
      <c r="BB13" s="114">
        <f t="shared" si="8"/>
        <v>120407.69775041386</v>
      </c>
      <c r="BC13" s="114">
        <f t="shared" si="8"/>
        <v>126428.08263793457</v>
      </c>
      <c r="BD13" s="114">
        <f t="shared" si="8"/>
        <v>132749.4867698313</v>
      </c>
      <c r="BE13" s="114">
        <f t="shared" si="8"/>
        <v>139386.96110832287</v>
      </c>
      <c r="BF13" s="114">
        <f t="shared" si="8"/>
        <v>146356.309163739</v>
      </c>
      <c r="BG13" s="114">
        <f t="shared" si="8"/>
        <v>153674.12462192596</v>
      </c>
      <c r="BH13" s="114">
        <f t="shared" si="8"/>
        <v>161357.83085302226</v>
      </c>
      <c r="BI13" s="114">
        <f t="shared" si="8"/>
        <v>169425.72239567337</v>
      </c>
      <c r="BJ13" s="114">
        <f t="shared" si="8"/>
        <v>177897.00851545704</v>
      </c>
      <c r="BK13" s="114">
        <f t="shared" si="8"/>
        <v>186791.8589412299</v>
      </c>
      <c r="BL13" s="114">
        <f t="shared" si="8"/>
        <v>196131.4518882914</v>
      </c>
      <c r="BM13" s="114">
        <f t="shared" si="8"/>
        <v>205938.02448270598</v>
      </c>
      <c r="BN13" s="114">
        <f t="shared" si="8"/>
        <v>216234.92570684128</v>
      </c>
      <c r="BO13" s="114">
        <f t="shared" si="8"/>
        <v>227046.67199218337</v>
      </c>
      <c r="BP13" s="114">
        <f t="shared" ref="BP13:BV13" si="9">+BO13*1.05</f>
        <v>238399.00559179255</v>
      </c>
      <c r="BQ13" s="114">
        <f t="shared" si="9"/>
        <v>250318.95587138218</v>
      </c>
      <c r="BR13" s="114">
        <f t="shared" si="9"/>
        <v>262834.90366495127</v>
      </c>
      <c r="BS13" s="114">
        <f t="shared" si="9"/>
        <v>275976.64884819882</v>
      </c>
      <c r="BT13" s="114">
        <f t="shared" si="9"/>
        <v>289775.48129060876</v>
      </c>
      <c r="BU13" s="114">
        <f t="shared" si="9"/>
        <v>304264.2553551392</v>
      </c>
      <c r="BV13" s="114">
        <f t="shared" si="9"/>
        <v>319477.46812289616</v>
      </c>
    </row>
    <row r="14" spans="2:74" s="127" customFormat="1" hidden="1" outlineLevel="1" x14ac:dyDescent="0.2">
      <c r="B14" s="126" t="s">
        <v>55</v>
      </c>
      <c r="C14" s="113"/>
      <c r="D14" s="114"/>
      <c r="E14" s="114"/>
      <c r="F14" s="114"/>
      <c r="G14" s="114"/>
      <c r="H14" s="114"/>
      <c r="I14" s="114"/>
      <c r="J14" s="114"/>
      <c r="K14" s="114"/>
      <c r="L14" s="114"/>
      <c r="M14" s="114"/>
      <c r="N14" s="114"/>
      <c r="O14" s="114"/>
      <c r="P14" s="114"/>
      <c r="Q14" s="114"/>
      <c r="R14" s="114"/>
      <c r="S14" s="114"/>
      <c r="T14" s="114"/>
      <c r="U14" s="114"/>
      <c r="V14" s="114"/>
      <c r="W14" s="114"/>
      <c r="X14" s="114"/>
      <c r="Y14" s="114"/>
      <c r="Z14" s="114"/>
      <c r="AA14" s="114"/>
      <c r="AB14" s="114"/>
      <c r="AC14" s="114"/>
      <c r="AD14" s="114"/>
      <c r="AE14" s="114"/>
      <c r="AF14" s="114"/>
      <c r="AG14" s="114"/>
      <c r="AH14" s="114"/>
      <c r="AI14" s="114"/>
      <c r="AJ14" s="114"/>
      <c r="AK14" s="114"/>
      <c r="AL14" s="114"/>
      <c r="AM14" s="114"/>
      <c r="AN14" s="114"/>
      <c r="AO14" s="114"/>
      <c r="AP14" s="114"/>
      <c r="AQ14" s="114"/>
      <c r="AR14" s="114"/>
      <c r="AS14" s="114"/>
      <c r="AT14" s="114"/>
      <c r="AU14" s="114"/>
      <c r="AV14" s="114"/>
      <c r="AW14" s="114"/>
      <c r="AX14" s="114"/>
      <c r="AY14" s="114"/>
      <c r="AZ14" s="114"/>
      <c r="BA14" s="114"/>
      <c r="BB14" s="114"/>
      <c r="BC14" s="114"/>
      <c r="BD14" s="114"/>
      <c r="BE14" s="114"/>
      <c r="BF14" s="114"/>
      <c r="BG14" s="114"/>
      <c r="BH14" s="114"/>
      <c r="BI14" s="114"/>
      <c r="BJ14" s="114"/>
      <c r="BK14" s="114"/>
      <c r="BL14" s="114"/>
      <c r="BM14" s="114"/>
      <c r="BN14" s="114"/>
      <c r="BO14" s="114"/>
      <c r="BP14" s="114"/>
      <c r="BQ14" s="114"/>
      <c r="BR14" s="114"/>
      <c r="BS14" s="114"/>
      <c r="BT14" s="114"/>
      <c r="BU14" s="114"/>
      <c r="BV14" s="114"/>
    </row>
    <row r="15" spans="2:74" s="127" customFormat="1" hidden="1" outlineLevel="1" x14ac:dyDescent="0.2">
      <c r="B15" s="126" t="s">
        <v>56</v>
      </c>
      <c r="C15" s="113"/>
      <c r="D15" s="114"/>
      <c r="E15" s="114"/>
      <c r="F15" s="114"/>
      <c r="G15" s="114"/>
      <c r="H15" s="114"/>
      <c r="I15" s="114"/>
      <c r="J15" s="114"/>
      <c r="K15" s="114"/>
      <c r="L15" s="114"/>
      <c r="M15" s="114"/>
      <c r="N15" s="114"/>
      <c r="O15" s="114"/>
      <c r="P15" s="114"/>
      <c r="Q15" s="114"/>
      <c r="R15" s="114"/>
      <c r="S15" s="114"/>
      <c r="T15" s="114"/>
      <c r="U15" s="114"/>
      <c r="V15" s="114"/>
      <c r="W15" s="114"/>
      <c r="X15" s="114"/>
      <c r="Y15" s="114"/>
      <c r="Z15" s="114"/>
      <c r="AA15" s="114"/>
      <c r="AB15" s="114"/>
      <c r="AC15" s="114"/>
      <c r="AD15" s="114"/>
      <c r="AE15" s="114"/>
      <c r="AF15" s="114"/>
      <c r="AG15" s="114"/>
      <c r="AH15" s="114"/>
      <c r="AI15" s="114"/>
      <c r="AJ15" s="114"/>
      <c r="AK15" s="114"/>
      <c r="AL15" s="114"/>
      <c r="AM15" s="114"/>
      <c r="AN15" s="114"/>
      <c r="AO15" s="114"/>
      <c r="AP15" s="114"/>
      <c r="AQ15" s="114"/>
      <c r="AR15" s="114"/>
      <c r="AS15" s="114"/>
      <c r="AT15" s="114"/>
      <c r="AU15" s="114"/>
      <c r="AV15" s="114"/>
      <c r="AW15" s="114"/>
      <c r="AX15" s="114"/>
      <c r="AY15" s="114"/>
      <c r="AZ15" s="114"/>
      <c r="BA15" s="114"/>
      <c r="BB15" s="114"/>
      <c r="BC15" s="114"/>
      <c r="BD15" s="114"/>
      <c r="BE15" s="114"/>
      <c r="BF15" s="114"/>
      <c r="BG15" s="114"/>
      <c r="BH15" s="114"/>
      <c r="BI15" s="114"/>
      <c r="BJ15" s="114"/>
      <c r="BK15" s="114"/>
      <c r="BL15" s="114"/>
      <c r="BM15" s="114"/>
      <c r="BN15" s="114"/>
      <c r="BO15" s="114"/>
      <c r="BP15" s="114"/>
      <c r="BQ15" s="114"/>
      <c r="BR15" s="114"/>
      <c r="BS15" s="114"/>
      <c r="BT15" s="114"/>
      <c r="BU15" s="114"/>
      <c r="BV15" s="114"/>
    </row>
    <row r="16" spans="2:74" s="127" customFormat="1" hidden="1" outlineLevel="1" x14ac:dyDescent="0.2">
      <c r="B16" s="126" t="s">
        <v>57</v>
      </c>
      <c r="C16" s="113"/>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4"/>
      <c r="AB16" s="114"/>
      <c r="AC16" s="114"/>
      <c r="AD16" s="114"/>
      <c r="AE16" s="114"/>
      <c r="AF16" s="114"/>
      <c r="AG16" s="114"/>
      <c r="AH16" s="114"/>
      <c r="AI16" s="114"/>
      <c r="AJ16" s="114"/>
      <c r="AK16" s="114"/>
      <c r="AL16" s="114"/>
      <c r="AM16" s="114"/>
      <c r="AN16" s="114"/>
      <c r="AO16" s="114"/>
      <c r="AP16" s="114"/>
      <c r="AQ16" s="114"/>
      <c r="AR16" s="114"/>
      <c r="AS16" s="114"/>
      <c r="AT16" s="114"/>
      <c r="AU16" s="114"/>
      <c r="AV16" s="114"/>
      <c r="AW16" s="114"/>
      <c r="AX16" s="114"/>
      <c r="AY16" s="114"/>
      <c r="AZ16" s="114"/>
      <c r="BA16" s="114"/>
      <c r="BB16" s="114"/>
      <c r="BC16" s="114"/>
      <c r="BD16" s="114"/>
      <c r="BE16" s="114"/>
      <c r="BF16" s="114"/>
      <c r="BG16" s="114"/>
      <c r="BH16" s="114"/>
      <c r="BI16" s="114"/>
      <c r="BJ16" s="114"/>
      <c r="BK16" s="114"/>
      <c r="BL16" s="114"/>
      <c r="BM16" s="114"/>
      <c r="BN16" s="114"/>
      <c r="BO16" s="114"/>
      <c r="BP16" s="114"/>
      <c r="BQ16" s="114"/>
      <c r="BR16" s="114"/>
      <c r="BS16" s="114"/>
      <c r="BT16" s="114"/>
      <c r="BU16" s="114"/>
      <c r="BV16" s="114"/>
    </row>
    <row r="17" spans="2:74" s="127" customFormat="1" ht="16" hidden="1" outlineLevel="1" thickBot="1" x14ac:dyDescent="0.25">
      <c r="B17" s="126" t="s">
        <v>58</v>
      </c>
      <c r="C17" s="115"/>
      <c r="D17" s="116"/>
      <c r="E17" s="116"/>
      <c r="F17" s="116"/>
      <c r="G17" s="116"/>
      <c r="H17" s="116"/>
      <c r="I17" s="116"/>
      <c r="J17" s="116"/>
      <c r="K17" s="116"/>
      <c r="L17" s="116"/>
      <c r="M17" s="116"/>
      <c r="N17" s="116"/>
      <c r="O17" s="116"/>
      <c r="P17" s="116"/>
      <c r="Q17" s="116"/>
      <c r="R17" s="116"/>
      <c r="S17" s="116"/>
      <c r="T17" s="116"/>
      <c r="U17" s="116"/>
      <c r="V17" s="116"/>
      <c r="W17" s="116"/>
      <c r="X17" s="116"/>
      <c r="Y17" s="116"/>
      <c r="Z17" s="116"/>
      <c r="AA17" s="116"/>
      <c r="AB17" s="116"/>
      <c r="AC17" s="116"/>
      <c r="AD17" s="116"/>
      <c r="AE17" s="116"/>
      <c r="AF17" s="116"/>
      <c r="AG17" s="116"/>
      <c r="AH17" s="116"/>
      <c r="AI17" s="116"/>
      <c r="AJ17" s="116"/>
      <c r="AK17" s="116"/>
      <c r="AL17" s="116"/>
      <c r="AM17" s="116"/>
      <c r="AN17" s="116"/>
      <c r="AO17" s="116"/>
      <c r="AP17" s="116"/>
      <c r="AQ17" s="116"/>
      <c r="AR17" s="116"/>
      <c r="AS17" s="116"/>
      <c r="AT17" s="116"/>
      <c r="AU17" s="116"/>
      <c r="AV17" s="116"/>
      <c r="AW17" s="116"/>
      <c r="AX17" s="116"/>
      <c r="AY17" s="116"/>
      <c r="AZ17" s="116"/>
      <c r="BA17" s="116"/>
      <c r="BB17" s="116"/>
      <c r="BC17" s="116"/>
      <c r="BD17" s="116"/>
      <c r="BE17" s="116"/>
      <c r="BF17" s="116"/>
      <c r="BG17" s="116"/>
      <c r="BH17" s="116"/>
      <c r="BI17" s="116"/>
      <c r="BJ17" s="116"/>
      <c r="BK17" s="116"/>
      <c r="BL17" s="116"/>
      <c r="BM17" s="116"/>
      <c r="BN17" s="116"/>
      <c r="BO17" s="116"/>
      <c r="BP17" s="116"/>
      <c r="BQ17" s="116"/>
      <c r="BR17" s="116"/>
      <c r="BS17" s="116"/>
      <c r="BT17" s="116"/>
      <c r="BU17" s="116"/>
      <c r="BV17" s="116"/>
    </row>
    <row r="18" spans="2:74" s="125" customFormat="1" collapsed="1" x14ac:dyDescent="0.2">
      <c r="B18" s="128"/>
      <c r="C18" s="93"/>
      <c r="D18" s="94"/>
      <c r="E18" s="95"/>
      <c r="F18" s="95"/>
      <c r="G18" s="95"/>
      <c r="H18" s="95"/>
      <c r="I18" s="95"/>
      <c r="J18" s="95"/>
      <c r="K18" s="95"/>
      <c r="L18" s="95"/>
      <c r="M18" s="95"/>
      <c r="N18" s="95"/>
      <c r="O18" s="95"/>
      <c r="P18" s="95"/>
      <c r="Q18" s="95"/>
      <c r="R18" s="95"/>
      <c r="S18" s="95"/>
      <c r="T18" s="95"/>
      <c r="U18" s="95"/>
      <c r="V18" s="95"/>
      <c r="W18" s="95"/>
      <c r="X18" s="95"/>
      <c r="Y18" s="95"/>
      <c r="Z18" s="95"/>
      <c r="AA18" s="95"/>
      <c r="AB18" s="95"/>
      <c r="AC18" s="95"/>
      <c r="AD18" s="95"/>
      <c r="AE18" s="95"/>
      <c r="AF18" s="95"/>
      <c r="AG18" s="95"/>
      <c r="AH18" s="95"/>
      <c r="AI18" s="95"/>
      <c r="AJ18" s="95"/>
      <c r="AK18" s="95"/>
      <c r="AL18" s="95"/>
      <c r="AM18" s="95"/>
      <c r="AN18" s="95"/>
      <c r="AO18" s="95"/>
      <c r="AP18" s="95"/>
      <c r="AQ18" s="95"/>
      <c r="AR18" s="95"/>
      <c r="AS18" s="95"/>
      <c r="AT18" s="95"/>
      <c r="AU18" s="95"/>
      <c r="AV18" s="95"/>
      <c r="AW18" s="95"/>
      <c r="AX18" s="95"/>
      <c r="AY18" s="95"/>
      <c r="AZ18" s="95"/>
      <c r="BA18" s="95"/>
      <c r="BB18" s="95"/>
      <c r="BC18" s="95"/>
      <c r="BD18" s="95"/>
      <c r="BE18" s="95"/>
      <c r="BF18" s="95"/>
      <c r="BG18" s="95"/>
      <c r="BH18" s="95"/>
      <c r="BI18" s="95"/>
      <c r="BJ18" s="95"/>
      <c r="BK18" s="95"/>
      <c r="BL18" s="95"/>
      <c r="BM18" s="95"/>
      <c r="BN18" s="95"/>
      <c r="BO18" s="95"/>
      <c r="BP18" s="95"/>
      <c r="BQ18" s="95"/>
      <c r="BR18" s="95"/>
      <c r="BS18" s="95"/>
      <c r="BT18" s="95"/>
      <c r="BU18" s="95"/>
      <c r="BV18" s="95"/>
    </row>
    <row r="19" spans="2:74" s="125" customFormat="1" ht="16" x14ac:dyDescent="0.2">
      <c r="B19" s="129" t="s">
        <v>77</v>
      </c>
      <c r="C19" s="117">
        <f t="shared" ref="C19:AH19" si="10">+IFERROR(SUMPRODUCT(C20:C28,C9:C17)/SUMPRODUCT(C9:C17),"")</f>
        <v>5.6190476190476186</v>
      </c>
      <c r="D19" s="117">
        <f t="shared" si="10"/>
        <v>5.6244343891402711</v>
      </c>
      <c r="E19" s="117">
        <f t="shared" si="10"/>
        <v>5.6300515907136717</v>
      </c>
      <c r="F19" s="117">
        <f t="shared" si="10"/>
        <v>5.6359078563113938</v>
      </c>
      <c r="G19" s="117">
        <f t="shared" si="10"/>
        <v>5.6420120294596634</v>
      </c>
      <c r="H19" s="117">
        <f t="shared" si="10"/>
        <v>5.6483731589877397</v>
      </c>
      <c r="I19" s="117">
        <f t="shared" si="10"/>
        <v>5.6550004920319656</v>
      </c>
      <c r="J19" s="117">
        <f t="shared" si="10"/>
        <v>5.661903465617633</v>
      </c>
      <c r="K19" s="117">
        <f t="shared" si="10"/>
        <v>5.6690916967098159</v>
      </c>
      <c r="L19" s="117">
        <f t="shared" si="10"/>
        <v>5.6765749706221129</v>
      </c>
      <c r="M19" s="117">
        <f t="shared" si="10"/>
        <v>5.6843632276706</v>
      </c>
      <c r="N19" s="117">
        <f t="shared" si="10"/>
        <v>5.6924665479596666</v>
      </c>
      <c r="O19" s="117">
        <f t="shared" si="10"/>
        <v>5.7008951341867204</v>
      </c>
      <c r="P19" s="117">
        <f t="shared" si="10"/>
        <v>5.7096592923542602</v>
      </c>
      <c r="Q19" s="117">
        <f t="shared" si="10"/>
        <v>5.7187694102806876</v>
      </c>
      <c r="R19" s="117">
        <f t="shared" si="10"/>
        <v>5.728235933805605</v>
      </c>
      <c r="S19" s="117">
        <f t="shared" si="10"/>
        <v>5.7380693405913892</v>
      </c>
      <c r="T19" s="117">
        <f t="shared" si="10"/>
        <v>5.7482801114307831</v>
      </c>
      <c r="U19" s="117">
        <f t="shared" si="10"/>
        <v>5.7588786989802516</v>
      </c>
      <c r="V19" s="117">
        <f t="shared" si="10"/>
        <v>5.7698754938510284</v>
      </c>
      <c r="W19" s="117">
        <f t="shared" si="10"/>
        <v>5.7812807880044401</v>
      </c>
      <c r="X19" s="117">
        <f t="shared" si="10"/>
        <v>5.7931047354152145</v>
      </c>
      <c r="Y19" s="117">
        <f t="shared" si="10"/>
        <v>5.8053573099864026</v>
      </c>
      <c r="Z19" s="117">
        <f t="shared" si="10"/>
        <v>5.8180482607221364</v>
      </c>
      <c r="AA19" s="117">
        <f t="shared" si="10"/>
        <v>5.8311870641900603</v>
      </c>
      <c r="AB19" s="117">
        <f t="shared" si="10"/>
        <v>5.8447828743337098</v>
      </c>
      <c r="AC19" s="117">
        <f t="shared" si="10"/>
        <v>5.8588444697265327</v>
      </c>
      <c r="AD19" s="117">
        <f t="shared" si="10"/>
        <v>5.873380198393531</v>
      </c>
      <c r="AE19" s="117">
        <f t="shared" si="10"/>
        <v>5.8883979203634906</v>
      </c>
      <c r="AF19" s="117">
        <f t="shared" si="10"/>
        <v>5.9039049481543673</v>
      </c>
      <c r="AG19" s="117">
        <f t="shared" si="10"/>
        <v>5.9199079854362475</v>
      </c>
      <c r="AH19" s="117">
        <f t="shared" si="10"/>
        <v>5.9364130641600781</v>
      </c>
      <c r="AI19" s="117">
        <f t="shared" ref="AI19:BN19" si="11">+IFERROR(SUMPRODUCT(AI20:AI28,AI9:AI17)/SUMPRODUCT(AI9:AI17),"")</f>
        <v>5.9534254804856621</v>
      </c>
      <c r="AJ19" s="117">
        <f t="shared" si="11"/>
        <v>5.9709497298886109</v>
      </c>
      <c r="AK19" s="117">
        <f t="shared" si="11"/>
        <v>5.9889894418724836</v>
      </c>
      <c r="AL19" s="117">
        <f t="shared" si="11"/>
        <v>6.0075473147584573</v>
      </c>
      <c r="AM19" s="117">
        <f t="shared" si="11"/>
        <v>6.0266250510697175</v>
      </c>
      <c r="AN19" s="117">
        <f t="shared" si="11"/>
        <v>6.046223294070459</v>
      </c>
      <c r="AO19" s="117">
        <f t="shared" si="11"/>
        <v>6.0663415660589246</v>
      </c>
      <c r="AP19" s="117">
        <f t="shared" si="11"/>
        <v>6.0869782090492466</v>
      </c>
      <c r="AQ19" s="117">
        <f t="shared" si="11"/>
        <v>6.1081303285069151</v>
      </c>
      <c r="AR19" s="117">
        <f t="shared" si="11"/>
        <v>6.1297937408262859</v>
      </c>
      <c r="AS19" s="117">
        <f t="shared" si="11"/>
        <v>6.1519629252546588</v>
      </c>
      <c r="AT19" s="117">
        <f t="shared" si="11"/>
        <v>6.1746309809749027</v>
      </c>
      <c r="AU19" s="117">
        <f t="shared" si="11"/>
        <v>6.1977895900564919</v>
      </c>
      <c r="AV19" s="117">
        <f t="shared" si="11"/>
        <v>6.2214289869720556</v>
      </c>
      <c r="AW19" s="117">
        <f t="shared" si="11"/>
        <v>6.2455379353526164</v>
      </c>
      <c r="AX19" s="117">
        <f t="shared" si="11"/>
        <v>6.270103712618682</v>
      </c>
      <c r="AY19" s="117">
        <f t="shared" si="11"/>
        <v>6.2951121030761996</v>
      </c>
      <c r="AZ19" s="117">
        <f t="shared" si="11"/>
        <v>6.3205474000056894</v>
      </c>
      <c r="BA19" s="117">
        <f t="shared" si="11"/>
        <v>6.3463924171999055</v>
      </c>
      <c r="BB19" s="117">
        <f t="shared" si="11"/>
        <v>6.3726285103205154</v>
      </c>
      <c r="BC19" s="117">
        <f t="shared" si="11"/>
        <v>6.3992356083483468</v>
      </c>
      <c r="BD19" s="117">
        <f t="shared" si="11"/>
        <v>6.4261922552956339</v>
      </c>
      <c r="BE19" s="117">
        <f t="shared" si="11"/>
        <v>6.4534756622340153</v>
      </c>
      <c r="BF19" s="117">
        <f t="shared" si="11"/>
        <v>6.4810617695702373</v>
      </c>
      <c r="BG19" s="117">
        <f t="shared" si="11"/>
        <v>6.5089253193747245</v>
      </c>
      <c r="BH19" s="117">
        <f t="shared" si="11"/>
        <v>6.5370399374385766</v>
      </c>
      <c r="BI19" s="117">
        <f t="shared" si="11"/>
        <v>6.5653782246043733</v>
      </c>
      <c r="BJ19" s="117">
        <f t="shared" si="11"/>
        <v>6.5939118567882247</v>
      </c>
      <c r="BK19" s="117">
        <f t="shared" si="11"/>
        <v>6.622611692987137</v>
      </c>
      <c r="BL19" s="117">
        <f t="shared" si="11"/>
        <v>6.6514478904496821</v>
      </c>
      <c r="BM19" s="117">
        <f t="shared" si="11"/>
        <v>6.6803900260817679</v>
      </c>
      <c r="BN19" s="117">
        <f t="shared" si="11"/>
        <v>6.7094072230651403</v>
      </c>
      <c r="BO19" s="117">
        <f t="shared" ref="BO19:BV19" si="12">+IFERROR(SUMPRODUCT(BO20:BO28,BO9:BO17)/SUMPRODUCT(BO9:BO17),"")</f>
        <v>6.7384682815865684</v>
      </c>
      <c r="BP19" s="117">
        <f t="shared" si="12"/>
        <v>6.7675418125120084</v>
      </c>
      <c r="BQ19" s="117">
        <f t="shared" si="12"/>
        <v>6.7965963727941414</v>
      </c>
      <c r="BR19" s="117">
        <f t="shared" si="12"/>
        <v>6.8256006013745116</v>
      </c>
      <c r="BS19" s="117">
        <f t="shared" si="12"/>
        <v>6.8545233543336694</v>
      </c>
      <c r="BT19" s="117">
        <f t="shared" si="12"/>
        <v>6.8833338380546065</v>
      </c>
      <c r="BU19" s="117">
        <f t="shared" si="12"/>
        <v>6.9120017391958442</v>
      </c>
      <c r="BV19" s="117">
        <f t="shared" si="12"/>
        <v>6.9404973503202312</v>
      </c>
    </row>
    <row r="20" spans="2:74" s="127" customFormat="1" hidden="1" outlineLevel="1" x14ac:dyDescent="0.2">
      <c r="B20" s="126" t="s">
        <v>50</v>
      </c>
      <c r="C20" s="78">
        <v>8</v>
      </c>
      <c r="D20" s="79">
        <v>8</v>
      </c>
      <c r="E20" s="80">
        <v>8</v>
      </c>
      <c r="F20" s="80">
        <v>8</v>
      </c>
      <c r="G20" s="80">
        <v>8</v>
      </c>
      <c r="H20" s="80">
        <v>8</v>
      </c>
      <c r="I20" s="80">
        <v>8</v>
      </c>
      <c r="J20" s="80">
        <v>8</v>
      </c>
      <c r="K20" s="80">
        <v>8</v>
      </c>
      <c r="L20" s="80">
        <v>8</v>
      </c>
      <c r="M20" s="80">
        <v>8</v>
      </c>
      <c r="N20" s="80">
        <v>8</v>
      </c>
      <c r="O20" s="80">
        <v>8</v>
      </c>
      <c r="P20" s="80">
        <v>8</v>
      </c>
      <c r="Q20" s="80">
        <v>8</v>
      </c>
      <c r="R20" s="80">
        <v>8</v>
      </c>
      <c r="S20" s="80">
        <v>8</v>
      </c>
      <c r="T20" s="80">
        <v>8</v>
      </c>
      <c r="U20" s="80">
        <v>8</v>
      </c>
      <c r="V20" s="80">
        <v>8</v>
      </c>
      <c r="W20" s="80">
        <v>8</v>
      </c>
      <c r="X20" s="80">
        <v>8</v>
      </c>
      <c r="Y20" s="80">
        <v>8</v>
      </c>
      <c r="Z20" s="80">
        <v>8</v>
      </c>
      <c r="AA20" s="80">
        <v>8</v>
      </c>
      <c r="AB20" s="80">
        <v>8</v>
      </c>
      <c r="AC20" s="80">
        <v>8</v>
      </c>
      <c r="AD20" s="80">
        <v>8</v>
      </c>
      <c r="AE20" s="80">
        <v>8</v>
      </c>
      <c r="AF20" s="80">
        <v>8</v>
      </c>
      <c r="AG20" s="80">
        <v>8</v>
      </c>
      <c r="AH20" s="80">
        <v>8</v>
      </c>
      <c r="AI20" s="80">
        <v>8</v>
      </c>
      <c r="AJ20" s="80">
        <v>8</v>
      </c>
      <c r="AK20" s="80">
        <v>8</v>
      </c>
      <c r="AL20" s="80">
        <v>8</v>
      </c>
      <c r="AM20" s="80">
        <v>8</v>
      </c>
      <c r="AN20" s="80">
        <v>8</v>
      </c>
      <c r="AO20" s="80">
        <v>8</v>
      </c>
      <c r="AP20" s="80">
        <v>8</v>
      </c>
      <c r="AQ20" s="80">
        <v>8</v>
      </c>
      <c r="AR20" s="80">
        <v>8</v>
      </c>
      <c r="AS20" s="80">
        <v>8</v>
      </c>
      <c r="AT20" s="80">
        <v>8</v>
      </c>
      <c r="AU20" s="80">
        <v>8</v>
      </c>
      <c r="AV20" s="80">
        <v>8</v>
      </c>
      <c r="AW20" s="80">
        <v>8</v>
      </c>
      <c r="AX20" s="80">
        <v>8</v>
      </c>
      <c r="AY20" s="80">
        <v>8</v>
      </c>
      <c r="AZ20" s="80">
        <v>8</v>
      </c>
      <c r="BA20" s="80">
        <v>8</v>
      </c>
      <c r="BB20" s="80">
        <v>8</v>
      </c>
      <c r="BC20" s="80">
        <v>8</v>
      </c>
      <c r="BD20" s="80">
        <v>8</v>
      </c>
      <c r="BE20" s="80">
        <v>8</v>
      </c>
      <c r="BF20" s="80">
        <v>8</v>
      </c>
      <c r="BG20" s="80">
        <v>8</v>
      </c>
      <c r="BH20" s="80">
        <v>8</v>
      </c>
      <c r="BI20" s="80">
        <v>8</v>
      </c>
      <c r="BJ20" s="80">
        <v>8</v>
      </c>
      <c r="BK20" s="80">
        <v>8</v>
      </c>
      <c r="BL20" s="80">
        <v>8</v>
      </c>
      <c r="BM20" s="80">
        <v>8</v>
      </c>
      <c r="BN20" s="80">
        <v>8</v>
      </c>
      <c r="BO20" s="80">
        <v>8</v>
      </c>
      <c r="BP20" s="80">
        <v>8</v>
      </c>
      <c r="BQ20" s="80">
        <v>8</v>
      </c>
      <c r="BR20" s="80">
        <v>8</v>
      </c>
      <c r="BS20" s="80">
        <v>8</v>
      </c>
      <c r="BT20" s="80">
        <v>8</v>
      </c>
      <c r="BU20" s="80">
        <v>8</v>
      </c>
      <c r="BV20" s="80">
        <v>8</v>
      </c>
    </row>
    <row r="21" spans="2:74" s="127" customFormat="1" hidden="1" outlineLevel="1" x14ac:dyDescent="0.2">
      <c r="B21" s="126" t="s">
        <v>51</v>
      </c>
      <c r="C21" s="81"/>
      <c r="D21" s="82"/>
      <c r="E21" s="83"/>
      <c r="F21" s="83"/>
      <c r="G21" s="83"/>
      <c r="H21" s="83"/>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row>
    <row r="22" spans="2:74" s="127" customFormat="1" hidden="1" outlineLevel="1" x14ac:dyDescent="0.2">
      <c r="B22" s="126" t="s">
        <v>52</v>
      </c>
      <c r="C22" s="81"/>
      <c r="D22" s="82"/>
      <c r="E22" s="83"/>
      <c r="F22" s="83"/>
      <c r="G22" s="83"/>
      <c r="H22" s="83"/>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row>
    <row r="23" spans="2:74" s="127" customFormat="1" hidden="1" outlineLevel="1" x14ac:dyDescent="0.2">
      <c r="B23" s="126" t="s">
        <v>53</v>
      </c>
      <c r="C23" s="81"/>
      <c r="D23" s="82"/>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row>
    <row r="24" spans="2:74" s="127" customFormat="1" hidden="1" outlineLevel="1" x14ac:dyDescent="0.2">
      <c r="B24" s="126" t="s">
        <v>54</v>
      </c>
      <c r="C24" s="81">
        <v>5.5</v>
      </c>
      <c r="D24" s="82">
        <v>5.5</v>
      </c>
      <c r="E24" s="83">
        <v>5.5</v>
      </c>
      <c r="F24" s="83">
        <v>5.5</v>
      </c>
      <c r="G24" s="83">
        <v>5.5</v>
      </c>
      <c r="H24" s="83">
        <v>5.5</v>
      </c>
      <c r="I24" s="83">
        <v>5.5</v>
      </c>
      <c r="J24" s="83">
        <v>5.5</v>
      </c>
      <c r="K24" s="83">
        <v>5.5</v>
      </c>
      <c r="L24" s="83">
        <v>5.5</v>
      </c>
      <c r="M24" s="83">
        <v>5.5</v>
      </c>
      <c r="N24" s="83">
        <v>5.5</v>
      </c>
      <c r="O24" s="83">
        <v>5.5</v>
      </c>
      <c r="P24" s="83">
        <v>5.5</v>
      </c>
      <c r="Q24" s="83">
        <v>5.5</v>
      </c>
      <c r="R24" s="83">
        <v>5.5</v>
      </c>
      <c r="S24" s="83">
        <v>5.5</v>
      </c>
      <c r="T24" s="83">
        <v>5.5</v>
      </c>
      <c r="U24" s="83">
        <v>5.5</v>
      </c>
      <c r="V24" s="83">
        <v>5.5</v>
      </c>
      <c r="W24" s="83">
        <v>5.5</v>
      </c>
      <c r="X24" s="83">
        <v>5.5</v>
      </c>
      <c r="Y24" s="83">
        <v>5.5</v>
      </c>
      <c r="Z24" s="83">
        <v>5.5</v>
      </c>
      <c r="AA24" s="83">
        <v>5.5</v>
      </c>
      <c r="AB24" s="83">
        <v>5.5</v>
      </c>
      <c r="AC24" s="83">
        <v>5.5</v>
      </c>
      <c r="AD24" s="83">
        <v>5.5</v>
      </c>
      <c r="AE24" s="83">
        <v>5.5</v>
      </c>
      <c r="AF24" s="83">
        <v>5.5</v>
      </c>
      <c r="AG24" s="83">
        <v>5.5</v>
      </c>
      <c r="AH24" s="83">
        <v>5.5</v>
      </c>
      <c r="AI24" s="83">
        <v>5.5</v>
      </c>
      <c r="AJ24" s="83">
        <v>5.5</v>
      </c>
      <c r="AK24" s="83">
        <v>5.5</v>
      </c>
      <c r="AL24" s="83">
        <v>5.5</v>
      </c>
      <c r="AM24" s="83">
        <v>5.5</v>
      </c>
      <c r="AN24" s="83">
        <v>5.5</v>
      </c>
      <c r="AO24" s="83">
        <v>5.5</v>
      </c>
      <c r="AP24" s="83">
        <v>5.5</v>
      </c>
      <c r="AQ24" s="83">
        <v>5.5</v>
      </c>
      <c r="AR24" s="83">
        <v>5.5</v>
      </c>
      <c r="AS24" s="83">
        <v>5.5</v>
      </c>
      <c r="AT24" s="83">
        <v>5.5</v>
      </c>
      <c r="AU24" s="83">
        <v>5.5</v>
      </c>
      <c r="AV24" s="83">
        <v>5.5</v>
      </c>
      <c r="AW24" s="83">
        <v>5.5</v>
      </c>
      <c r="AX24" s="83">
        <v>5.5</v>
      </c>
      <c r="AY24" s="83">
        <v>5.5</v>
      </c>
      <c r="AZ24" s="83">
        <v>5.5</v>
      </c>
      <c r="BA24" s="83">
        <v>5.5</v>
      </c>
      <c r="BB24" s="83">
        <v>5.5</v>
      </c>
      <c r="BC24" s="83">
        <v>5.5</v>
      </c>
      <c r="BD24" s="83">
        <v>5.5</v>
      </c>
      <c r="BE24" s="83">
        <v>5.5</v>
      </c>
      <c r="BF24" s="83">
        <v>5.5</v>
      </c>
      <c r="BG24" s="83">
        <v>5.5</v>
      </c>
      <c r="BH24" s="83">
        <v>5.5</v>
      </c>
      <c r="BI24" s="83">
        <v>5.5</v>
      </c>
      <c r="BJ24" s="83">
        <v>5.5</v>
      </c>
      <c r="BK24" s="83">
        <v>5.5</v>
      </c>
      <c r="BL24" s="83">
        <v>5.5</v>
      </c>
      <c r="BM24" s="83">
        <v>5.5</v>
      </c>
      <c r="BN24" s="83">
        <v>5.5</v>
      </c>
      <c r="BO24" s="83">
        <v>5.5</v>
      </c>
      <c r="BP24" s="83">
        <v>5.5</v>
      </c>
      <c r="BQ24" s="83">
        <v>5.5</v>
      </c>
      <c r="BR24" s="83">
        <v>5.5</v>
      </c>
      <c r="BS24" s="83">
        <v>5.5</v>
      </c>
      <c r="BT24" s="83">
        <v>5.5</v>
      </c>
      <c r="BU24" s="83">
        <v>5.5</v>
      </c>
      <c r="BV24" s="83">
        <v>5.5</v>
      </c>
    </row>
    <row r="25" spans="2:74" s="127" customFormat="1" hidden="1" outlineLevel="1" x14ac:dyDescent="0.2">
      <c r="B25" s="126" t="s">
        <v>55</v>
      </c>
      <c r="C25" s="81"/>
      <c r="D25" s="82"/>
      <c r="E25" s="83"/>
      <c r="F25" s="83"/>
      <c r="G25" s="83"/>
      <c r="H25" s="83"/>
      <c r="I25" s="83"/>
      <c r="J25" s="83"/>
      <c r="K25" s="83"/>
      <c r="L25" s="83"/>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row>
    <row r="26" spans="2:74" s="127" customFormat="1" hidden="1" outlineLevel="1" x14ac:dyDescent="0.2">
      <c r="B26" s="126" t="s">
        <v>56</v>
      </c>
      <c r="C26" s="81"/>
      <c r="D26" s="82"/>
      <c r="E26" s="83"/>
      <c r="F26" s="83"/>
      <c r="G26" s="83"/>
      <c r="H26" s="83"/>
      <c r="I26" s="83"/>
      <c r="J26" s="83"/>
      <c r="K26" s="83"/>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row>
    <row r="27" spans="2:74" s="127" customFormat="1" hidden="1" outlineLevel="1" x14ac:dyDescent="0.2">
      <c r="B27" s="126" t="s">
        <v>57</v>
      </c>
      <c r="C27" s="81"/>
      <c r="D27" s="82"/>
      <c r="E27" s="83"/>
      <c r="F27" s="83"/>
      <c r="G27" s="83"/>
      <c r="H27" s="83"/>
      <c r="I27" s="83"/>
      <c r="J27" s="83"/>
      <c r="K27" s="83"/>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row>
    <row r="28" spans="2:74" s="127" customFormat="1" ht="16" hidden="1" outlineLevel="1" thickBot="1" x14ac:dyDescent="0.25">
      <c r="B28" s="126" t="s">
        <v>58</v>
      </c>
      <c r="C28" s="84"/>
      <c r="D28" s="85"/>
      <c r="E28" s="86"/>
      <c r="F28" s="86"/>
      <c r="G28" s="86"/>
      <c r="H28" s="86"/>
      <c r="I28" s="86"/>
      <c r="J28" s="86"/>
      <c r="K28" s="86"/>
      <c r="L28" s="86"/>
      <c r="M28" s="86"/>
      <c r="N28" s="86"/>
      <c r="O28" s="86"/>
      <c r="P28" s="86"/>
      <c r="Q28" s="86"/>
      <c r="R28" s="86"/>
      <c r="S28" s="86"/>
      <c r="T28" s="86"/>
      <c r="U28" s="86"/>
      <c r="V28" s="86"/>
      <c r="W28" s="86"/>
      <c r="X28" s="86"/>
      <c r="Y28" s="86"/>
      <c r="Z28" s="86"/>
      <c r="AA28" s="86"/>
      <c r="AB28" s="86"/>
      <c r="AC28" s="86"/>
      <c r="AD28" s="86"/>
      <c r="AE28" s="86"/>
      <c r="AF28" s="86"/>
      <c r="AG28" s="86"/>
      <c r="AH28" s="86"/>
      <c r="AI28" s="86"/>
      <c r="AJ28" s="86"/>
      <c r="AK28" s="86"/>
      <c r="AL28" s="86"/>
      <c r="AM28" s="86"/>
      <c r="AN28" s="86"/>
      <c r="AO28" s="86"/>
      <c r="AP28" s="86"/>
      <c r="AQ28" s="86"/>
      <c r="AR28" s="86"/>
      <c r="AS28" s="86"/>
      <c r="AT28" s="86"/>
      <c r="AU28" s="86"/>
      <c r="AV28" s="86"/>
      <c r="AW28" s="86"/>
      <c r="AX28" s="86"/>
      <c r="AY28" s="86"/>
      <c r="AZ28" s="86"/>
      <c r="BA28" s="86"/>
      <c r="BB28" s="86"/>
      <c r="BC28" s="86"/>
      <c r="BD28" s="86"/>
      <c r="BE28" s="86"/>
      <c r="BF28" s="86"/>
      <c r="BG28" s="86"/>
      <c r="BH28" s="86"/>
      <c r="BI28" s="86"/>
      <c r="BJ28" s="86"/>
      <c r="BK28" s="86"/>
      <c r="BL28" s="86"/>
      <c r="BM28" s="86"/>
      <c r="BN28" s="86"/>
      <c r="BO28" s="86"/>
      <c r="BP28" s="86"/>
      <c r="BQ28" s="86"/>
      <c r="BR28" s="86"/>
      <c r="BS28" s="86"/>
      <c r="BT28" s="86"/>
      <c r="BU28" s="86"/>
      <c r="BV28" s="86"/>
    </row>
    <row r="29" spans="2:74" s="125" customFormat="1" collapsed="1" x14ac:dyDescent="0.2">
      <c r="B29" s="128"/>
      <c r="C29" s="93"/>
      <c r="D29" s="94"/>
      <c r="E29" s="95"/>
      <c r="F29" s="95"/>
      <c r="G29" s="95"/>
      <c r="H29" s="95"/>
      <c r="I29" s="95"/>
      <c r="J29" s="95"/>
      <c r="K29" s="95"/>
      <c r="L29" s="95"/>
      <c r="M29" s="95"/>
      <c r="N29" s="95"/>
      <c r="O29" s="95"/>
      <c r="P29" s="95"/>
      <c r="Q29" s="95"/>
      <c r="R29" s="95"/>
      <c r="S29" s="95"/>
      <c r="T29" s="95"/>
      <c r="U29" s="95"/>
      <c r="V29" s="95"/>
      <c r="W29" s="95"/>
      <c r="X29" s="95"/>
      <c r="Y29" s="95"/>
      <c r="Z29" s="95"/>
      <c r="AA29" s="95"/>
      <c r="AB29" s="95"/>
      <c r="AC29" s="95"/>
      <c r="AD29" s="95"/>
      <c r="AE29" s="95"/>
      <c r="AF29" s="95"/>
      <c r="AG29" s="95"/>
      <c r="AH29" s="95"/>
      <c r="AI29" s="95"/>
      <c r="AJ29" s="95"/>
      <c r="AK29" s="95"/>
      <c r="AL29" s="95"/>
      <c r="AM29" s="95"/>
      <c r="AN29" s="95"/>
      <c r="AO29" s="95"/>
      <c r="AP29" s="95"/>
      <c r="AQ29" s="95"/>
      <c r="AR29" s="95"/>
      <c r="AS29" s="95"/>
      <c r="AT29" s="95"/>
      <c r="AU29" s="95"/>
      <c r="AV29" s="95"/>
      <c r="AW29" s="95"/>
      <c r="AX29" s="95"/>
      <c r="AY29" s="95"/>
      <c r="AZ29" s="95"/>
      <c r="BA29" s="95"/>
      <c r="BB29" s="95"/>
      <c r="BC29" s="95"/>
      <c r="BD29" s="95"/>
      <c r="BE29" s="95"/>
      <c r="BF29" s="95"/>
      <c r="BG29" s="95"/>
      <c r="BH29" s="95"/>
      <c r="BI29" s="95"/>
      <c r="BJ29" s="95"/>
      <c r="BK29" s="95"/>
      <c r="BL29" s="95"/>
      <c r="BM29" s="95"/>
      <c r="BN29" s="95"/>
      <c r="BO29" s="95"/>
      <c r="BP29" s="95"/>
      <c r="BQ29" s="95"/>
      <c r="BR29" s="95"/>
      <c r="BS29" s="95"/>
      <c r="BT29" s="95"/>
      <c r="BU29" s="95"/>
      <c r="BV29" s="95"/>
    </row>
    <row r="30" spans="2:74" s="125" customFormat="1" ht="15.75" customHeight="1" thickBot="1" x14ac:dyDescent="0.25">
      <c r="B30" s="124" t="s">
        <v>49</v>
      </c>
      <c r="C30" s="96">
        <f t="shared" ref="C30:AH30" si="13">+SUM(C31:C39)</f>
        <v>59000</v>
      </c>
      <c r="D30" s="96">
        <f t="shared" si="13"/>
        <v>62150</v>
      </c>
      <c r="E30" s="97">
        <f t="shared" si="13"/>
        <v>65477.5</v>
      </c>
      <c r="F30" s="97">
        <f t="shared" si="13"/>
        <v>68993.375</v>
      </c>
      <c r="G30" s="97">
        <f t="shared" si="13"/>
        <v>72709.243749999994</v>
      </c>
      <c r="H30" s="97">
        <f t="shared" si="13"/>
        <v>76637.525937500002</v>
      </c>
      <c r="I30" s="97">
        <f t="shared" si="13"/>
        <v>80791.50423437501</v>
      </c>
      <c r="J30" s="97">
        <f t="shared" si="13"/>
        <v>85185.391646093762</v>
      </c>
      <c r="K30" s="97">
        <f t="shared" si="13"/>
        <v>89834.404648398457</v>
      </c>
      <c r="L30" s="97">
        <f t="shared" si="13"/>
        <v>94754.842642818388</v>
      </c>
      <c r="M30" s="97">
        <f t="shared" si="13"/>
        <v>99964.17431315931</v>
      </c>
      <c r="N30" s="97">
        <f t="shared" si="13"/>
        <v>105481.13152083727</v>
      </c>
      <c r="O30" s="97">
        <f t="shared" si="13"/>
        <v>111325.81143810114</v>
      </c>
      <c r="P30" s="97">
        <f t="shared" si="13"/>
        <v>117519.78768535041</v>
      </c>
      <c r="Q30" s="97">
        <f t="shared" si="13"/>
        <v>124086.23131249656</v>
      </c>
      <c r="R30" s="97">
        <f t="shared" si="13"/>
        <v>131050.04254528787</v>
      </c>
      <c r="S30" s="97">
        <f t="shared" si="13"/>
        <v>138437.9943064354</v>
      </c>
      <c r="T30" s="97">
        <f t="shared" si="13"/>
        <v>146278.88861902861</v>
      </c>
      <c r="U30" s="97">
        <f t="shared" si="13"/>
        <v>154603.72710697865</v>
      </c>
      <c r="V30" s="97">
        <f t="shared" si="13"/>
        <v>163445.89692502603</v>
      </c>
      <c r="W30" s="97">
        <f t="shared" si="13"/>
        <v>172841.37358024565</v>
      </c>
      <c r="X30" s="97">
        <f t="shared" si="13"/>
        <v>182828.94224912304</v>
      </c>
      <c r="Y30" s="97">
        <f t="shared" si="13"/>
        <v>193450.43935043082</v>
      </c>
      <c r="Z30" s="97">
        <f t="shared" si="13"/>
        <v>204751.01630568918</v>
      </c>
      <c r="AA30" s="97">
        <f t="shared" si="13"/>
        <v>216779.42760748413</v>
      </c>
      <c r="AB30" s="97">
        <f t="shared" si="13"/>
        <v>229588.34552301985</v>
      </c>
      <c r="AC30" s="97">
        <f t="shared" si="13"/>
        <v>243234.70398784854</v>
      </c>
      <c r="AD30" s="97">
        <f t="shared" si="13"/>
        <v>257780.07449478642</v>
      </c>
      <c r="AE30" s="97">
        <f t="shared" si="13"/>
        <v>273291.07705782575</v>
      </c>
      <c r="AF30" s="97">
        <f t="shared" si="13"/>
        <v>289839.82963284699</v>
      </c>
      <c r="AG30" s="97">
        <f t="shared" si="13"/>
        <v>307504.43970883236</v>
      </c>
      <c r="AH30" s="97">
        <f t="shared" si="13"/>
        <v>326369.54214805132</v>
      </c>
      <c r="AI30" s="97">
        <f t="shared" ref="AI30:BN30" si="14">+SUM(AI31:AI39)</f>
        <v>346526.88775460888</v>
      </c>
      <c r="AJ30" s="97">
        <f t="shared" si="14"/>
        <v>368075.98749140988</v>
      </c>
      <c r="AK30" s="97">
        <f t="shared" si="14"/>
        <v>391124.81774995796</v>
      </c>
      <c r="AL30" s="97">
        <f t="shared" si="14"/>
        <v>415790.59260983125</v>
      </c>
      <c r="AM30" s="97">
        <f t="shared" si="14"/>
        <v>442200.60960993567</v>
      </c>
      <c r="AN30" s="97">
        <f t="shared" si="14"/>
        <v>470493.1761970066</v>
      </c>
      <c r="AO30" s="97">
        <f t="shared" si="14"/>
        <v>500818.62472408859</v>
      </c>
      <c r="AP30" s="97">
        <f t="shared" si="14"/>
        <v>533340.42464924778</v>
      </c>
      <c r="AQ30" s="97">
        <f t="shared" si="14"/>
        <v>568236.40143956046</v>
      </c>
      <c r="AR30" s="97">
        <f t="shared" si="14"/>
        <v>605700.07262517372</v>
      </c>
      <c r="AS30" s="97">
        <f t="shared" si="14"/>
        <v>645942.11248143122</v>
      </c>
      <c r="AT30" s="97">
        <f t="shared" si="14"/>
        <v>689191.95795300137</v>
      </c>
      <c r="AU30" s="97">
        <f t="shared" si="14"/>
        <v>735699.5696829001</v>
      </c>
      <c r="AV30" s="97">
        <f t="shared" si="14"/>
        <v>785737.36338251841</v>
      </c>
      <c r="AW30" s="97">
        <f t="shared" si="14"/>
        <v>839602.32828866504</v>
      </c>
      <c r="AX30" s="97">
        <f t="shared" si="14"/>
        <v>897618.35111382103</v>
      </c>
      <c r="AY30" s="97">
        <f t="shared" si="14"/>
        <v>960138.76572130714</v>
      </c>
      <c r="AZ30" s="97">
        <f t="shared" si="14"/>
        <v>1027549.1507643471</v>
      </c>
      <c r="BA30" s="97">
        <f t="shared" si="14"/>
        <v>1100270.3997352363</v>
      </c>
      <c r="BB30" s="97">
        <f t="shared" si="14"/>
        <v>1178762.0902979374</v>
      </c>
      <c r="BC30" s="97">
        <f t="shared" si="14"/>
        <v>1263526.1824463676</v>
      </c>
      <c r="BD30" s="97">
        <f t="shared" si="14"/>
        <v>1355111.0779655725</v>
      </c>
      <c r="BE30" s="97">
        <f t="shared" si="14"/>
        <v>1454116.0769004261</v>
      </c>
      <c r="BF30" s="97">
        <f t="shared" si="14"/>
        <v>1561196.27028568</v>
      </c>
      <c r="BG30" s="97">
        <f t="shared" si="14"/>
        <v>1677067.9122942197</v>
      </c>
      <c r="BH30" s="97">
        <f t="shared" si="14"/>
        <v>1802514.3192526121</v>
      </c>
      <c r="BI30" s="97">
        <f t="shared" si="14"/>
        <v>1938392.3476932924</v>
      </c>
      <c r="BJ30" s="97">
        <f t="shared" si="14"/>
        <v>2085639.5088038114</v>
      </c>
      <c r="BK30" s="97">
        <f t="shared" si="14"/>
        <v>2245281.7823424423</v>
      </c>
      <c r="BL30" s="97">
        <f t="shared" si="14"/>
        <v>2418442.1993678482</v>
      </c>
      <c r="BM30" s="97">
        <f t="shared" si="14"/>
        <v>2606350.270035353</v>
      </c>
      <c r="BN30" s="97">
        <f t="shared" si="14"/>
        <v>2810352.3403061442</v>
      </c>
      <c r="BO30" s="97">
        <f t="shared" ref="BO30:BV30" si="15">+SUM(BO31:BO39)</f>
        <v>3031922.9697673777</v>
      </c>
      <c r="BP30" s="97">
        <f t="shared" si="15"/>
        <v>3272677.4319462655</v>
      </c>
      <c r="BQ30" s="97">
        <f t="shared" si="15"/>
        <v>3534385.4486031486</v>
      </c>
      <c r="BR30" s="97">
        <f t="shared" si="15"/>
        <v>3818986.2805988332</v>
      </c>
      <c r="BS30" s="97">
        <f t="shared" si="15"/>
        <v>4128605.3101508552</v>
      </c>
      <c r="BT30" s="97">
        <f t="shared" si="15"/>
        <v>4465572.2627326865</v>
      </c>
      <c r="BU30" s="97">
        <f t="shared" si="15"/>
        <v>4832441.2316510379</v>
      </c>
      <c r="BV30" s="97">
        <f t="shared" si="15"/>
        <v>5232012.6845934782</v>
      </c>
    </row>
    <row r="31" spans="2:74" s="127" customFormat="1" ht="15.75" customHeight="1" outlineLevel="1" x14ac:dyDescent="0.2">
      <c r="B31" s="126" t="s">
        <v>50</v>
      </c>
      <c r="C31" s="130">
        <f t="shared" ref="C31:AH31" si="16">+C9*C20</f>
        <v>4000</v>
      </c>
      <c r="D31" s="131">
        <f t="shared" si="16"/>
        <v>4400</v>
      </c>
      <c r="E31" s="131">
        <f t="shared" si="16"/>
        <v>4840</v>
      </c>
      <c r="F31" s="131">
        <f t="shared" si="16"/>
        <v>5324</v>
      </c>
      <c r="G31" s="131">
        <f t="shared" si="16"/>
        <v>5856.4000000000005</v>
      </c>
      <c r="H31" s="131">
        <f t="shared" si="16"/>
        <v>6442.0400000000009</v>
      </c>
      <c r="I31" s="131">
        <f t="shared" si="16"/>
        <v>7086.2440000000015</v>
      </c>
      <c r="J31" s="131">
        <f t="shared" si="16"/>
        <v>7794.8684000000021</v>
      </c>
      <c r="K31" s="131">
        <f t="shared" si="16"/>
        <v>8574.3552400000026</v>
      </c>
      <c r="L31" s="131">
        <f t="shared" si="16"/>
        <v>9431.790764000003</v>
      </c>
      <c r="M31" s="131">
        <f t="shared" si="16"/>
        <v>10374.969840400005</v>
      </c>
      <c r="N31" s="131">
        <f t="shared" si="16"/>
        <v>11412.466824440005</v>
      </c>
      <c r="O31" s="131">
        <f t="shared" si="16"/>
        <v>12553.713506884007</v>
      </c>
      <c r="P31" s="131">
        <f t="shared" si="16"/>
        <v>13809.084857572409</v>
      </c>
      <c r="Q31" s="131">
        <f t="shared" si="16"/>
        <v>15189.99334332965</v>
      </c>
      <c r="R31" s="131">
        <f t="shared" si="16"/>
        <v>16708.992677662616</v>
      </c>
      <c r="S31" s="131">
        <f t="shared" si="16"/>
        <v>18379.891945428881</v>
      </c>
      <c r="T31" s="131">
        <f t="shared" si="16"/>
        <v>20217.881139971771</v>
      </c>
      <c r="U31" s="131">
        <f t="shared" si="16"/>
        <v>22239.66925396895</v>
      </c>
      <c r="V31" s="131">
        <f t="shared" si="16"/>
        <v>24463.636179365847</v>
      </c>
      <c r="W31" s="131">
        <f t="shared" si="16"/>
        <v>26909.999797302433</v>
      </c>
      <c r="X31" s="131">
        <f t="shared" si="16"/>
        <v>29600.999777032677</v>
      </c>
      <c r="Y31" s="131">
        <f t="shared" si="16"/>
        <v>32561.099754735947</v>
      </c>
      <c r="Z31" s="131">
        <f t="shared" si="16"/>
        <v>35817.209730209543</v>
      </c>
      <c r="AA31" s="131">
        <f t="shared" si="16"/>
        <v>39398.930703230501</v>
      </c>
      <c r="AB31" s="131">
        <f t="shared" si="16"/>
        <v>43338.823773553551</v>
      </c>
      <c r="AC31" s="131">
        <f t="shared" si="16"/>
        <v>47672.706150908911</v>
      </c>
      <c r="AD31" s="131">
        <f t="shared" si="16"/>
        <v>52439.976765999803</v>
      </c>
      <c r="AE31" s="131">
        <f t="shared" si="16"/>
        <v>57683.974442599785</v>
      </c>
      <c r="AF31" s="131">
        <f t="shared" si="16"/>
        <v>63452.371886859772</v>
      </c>
      <c r="AG31" s="131">
        <f t="shared" si="16"/>
        <v>69797.609075545755</v>
      </c>
      <c r="AH31" s="131">
        <f t="shared" si="16"/>
        <v>76777.369983100332</v>
      </c>
      <c r="AI31" s="131">
        <f t="shared" ref="AI31:BN31" si="17">+AI9*AI20</f>
        <v>84455.106981410368</v>
      </c>
      <c r="AJ31" s="131">
        <f t="shared" si="17"/>
        <v>92900.617679551418</v>
      </c>
      <c r="AK31" s="131">
        <f t="shared" si="17"/>
        <v>102190.67944750657</v>
      </c>
      <c r="AL31" s="131">
        <f t="shared" si="17"/>
        <v>112409.74739225724</v>
      </c>
      <c r="AM31" s="131">
        <f t="shared" si="17"/>
        <v>123650.72213148297</v>
      </c>
      <c r="AN31" s="131">
        <f t="shared" si="17"/>
        <v>136015.79434463129</v>
      </c>
      <c r="AO31" s="131">
        <f t="shared" si="17"/>
        <v>149617.37377909443</v>
      </c>
      <c r="AP31" s="131">
        <f t="shared" si="17"/>
        <v>164579.11115700388</v>
      </c>
      <c r="AQ31" s="131">
        <f t="shared" si="17"/>
        <v>181037.02227270429</v>
      </c>
      <c r="AR31" s="131">
        <f t="shared" si="17"/>
        <v>199140.72449997472</v>
      </c>
      <c r="AS31" s="131">
        <f t="shared" si="17"/>
        <v>219054.79694997222</v>
      </c>
      <c r="AT31" s="131">
        <f t="shared" si="17"/>
        <v>240960.27664496948</v>
      </c>
      <c r="AU31" s="131">
        <f t="shared" si="17"/>
        <v>265056.30430946645</v>
      </c>
      <c r="AV31" s="131">
        <f t="shared" si="17"/>
        <v>291561.9347404131</v>
      </c>
      <c r="AW31" s="131">
        <f t="shared" si="17"/>
        <v>320718.12821445445</v>
      </c>
      <c r="AX31" s="131">
        <f t="shared" si="17"/>
        <v>352789.94103589992</v>
      </c>
      <c r="AY31" s="131">
        <f t="shared" si="17"/>
        <v>388068.93513948994</v>
      </c>
      <c r="AZ31" s="131">
        <f t="shared" si="17"/>
        <v>426875.82865343895</v>
      </c>
      <c r="BA31" s="131">
        <f t="shared" si="17"/>
        <v>469563.4115187829</v>
      </c>
      <c r="BB31" s="131">
        <f t="shared" si="17"/>
        <v>516519.75267066126</v>
      </c>
      <c r="BC31" s="131">
        <f t="shared" si="17"/>
        <v>568171.72793772747</v>
      </c>
      <c r="BD31" s="131">
        <f t="shared" si="17"/>
        <v>624988.90073150024</v>
      </c>
      <c r="BE31" s="131">
        <f t="shared" si="17"/>
        <v>687487.79080465029</v>
      </c>
      <c r="BF31" s="131">
        <f t="shared" si="17"/>
        <v>756236.56988511537</v>
      </c>
      <c r="BG31" s="131">
        <f t="shared" si="17"/>
        <v>831860.22687362693</v>
      </c>
      <c r="BH31" s="131">
        <f t="shared" si="17"/>
        <v>915046.24956098967</v>
      </c>
      <c r="BI31" s="131">
        <f t="shared" si="17"/>
        <v>1006550.8745170888</v>
      </c>
      <c r="BJ31" s="131">
        <f t="shared" si="17"/>
        <v>1107205.9619687977</v>
      </c>
      <c r="BK31" s="131">
        <f t="shared" si="17"/>
        <v>1217926.5581656776</v>
      </c>
      <c r="BL31" s="131">
        <f t="shared" si="17"/>
        <v>1339719.2139822454</v>
      </c>
      <c r="BM31" s="131">
        <f t="shared" si="17"/>
        <v>1473691.1353804702</v>
      </c>
      <c r="BN31" s="131">
        <f t="shared" si="17"/>
        <v>1621060.2489185173</v>
      </c>
      <c r="BO31" s="131">
        <f t="shared" ref="BO31:BV31" si="18">+BO9*BO20</f>
        <v>1783166.2738103692</v>
      </c>
      <c r="BP31" s="131">
        <f t="shared" si="18"/>
        <v>1961482.9011914062</v>
      </c>
      <c r="BQ31" s="131">
        <f t="shared" si="18"/>
        <v>2157631.1913105468</v>
      </c>
      <c r="BR31" s="131">
        <f t="shared" si="18"/>
        <v>2373394.3104416016</v>
      </c>
      <c r="BS31" s="131">
        <f t="shared" si="18"/>
        <v>2610733.7414857619</v>
      </c>
      <c r="BT31" s="131">
        <f t="shared" si="18"/>
        <v>2871807.1156343385</v>
      </c>
      <c r="BU31" s="131">
        <f t="shared" si="18"/>
        <v>3158987.8271977725</v>
      </c>
      <c r="BV31" s="131">
        <f t="shared" si="18"/>
        <v>3474886.6099175499</v>
      </c>
    </row>
    <row r="32" spans="2:74" s="127" customFormat="1" ht="15.75" customHeight="1" outlineLevel="1" x14ac:dyDescent="0.2">
      <c r="B32" s="126" t="s">
        <v>51</v>
      </c>
      <c r="C32" s="132">
        <f t="shared" ref="C32:AH32" si="19">+C10*C21</f>
        <v>0</v>
      </c>
      <c r="D32" s="133">
        <f t="shared" si="19"/>
        <v>0</v>
      </c>
      <c r="E32" s="133">
        <f t="shared" si="19"/>
        <v>0</v>
      </c>
      <c r="F32" s="133">
        <f t="shared" si="19"/>
        <v>0</v>
      </c>
      <c r="G32" s="133">
        <f t="shared" si="19"/>
        <v>0</v>
      </c>
      <c r="H32" s="133">
        <f t="shared" si="19"/>
        <v>0</v>
      </c>
      <c r="I32" s="133">
        <f t="shared" si="19"/>
        <v>0</v>
      </c>
      <c r="J32" s="133">
        <f t="shared" si="19"/>
        <v>0</v>
      </c>
      <c r="K32" s="133">
        <f t="shared" si="19"/>
        <v>0</v>
      </c>
      <c r="L32" s="133">
        <f t="shared" si="19"/>
        <v>0</v>
      </c>
      <c r="M32" s="133">
        <f t="shared" si="19"/>
        <v>0</v>
      </c>
      <c r="N32" s="133">
        <f t="shared" si="19"/>
        <v>0</v>
      </c>
      <c r="O32" s="133">
        <f t="shared" si="19"/>
        <v>0</v>
      </c>
      <c r="P32" s="133">
        <f t="shared" si="19"/>
        <v>0</v>
      </c>
      <c r="Q32" s="133">
        <f t="shared" si="19"/>
        <v>0</v>
      </c>
      <c r="R32" s="133">
        <f t="shared" si="19"/>
        <v>0</v>
      </c>
      <c r="S32" s="133">
        <f t="shared" si="19"/>
        <v>0</v>
      </c>
      <c r="T32" s="133">
        <f t="shared" si="19"/>
        <v>0</v>
      </c>
      <c r="U32" s="133">
        <f t="shared" si="19"/>
        <v>0</v>
      </c>
      <c r="V32" s="133">
        <f t="shared" si="19"/>
        <v>0</v>
      </c>
      <c r="W32" s="133">
        <f t="shared" si="19"/>
        <v>0</v>
      </c>
      <c r="X32" s="133">
        <f t="shared" si="19"/>
        <v>0</v>
      </c>
      <c r="Y32" s="133">
        <f t="shared" si="19"/>
        <v>0</v>
      </c>
      <c r="Z32" s="133">
        <f t="shared" si="19"/>
        <v>0</v>
      </c>
      <c r="AA32" s="133">
        <f t="shared" si="19"/>
        <v>0</v>
      </c>
      <c r="AB32" s="133">
        <f t="shared" si="19"/>
        <v>0</v>
      </c>
      <c r="AC32" s="133">
        <f t="shared" si="19"/>
        <v>0</v>
      </c>
      <c r="AD32" s="133">
        <f t="shared" si="19"/>
        <v>0</v>
      </c>
      <c r="AE32" s="133">
        <f t="shared" si="19"/>
        <v>0</v>
      </c>
      <c r="AF32" s="133">
        <f t="shared" si="19"/>
        <v>0</v>
      </c>
      <c r="AG32" s="133">
        <f t="shared" si="19"/>
        <v>0</v>
      </c>
      <c r="AH32" s="133">
        <f t="shared" si="19"/>
        <v>0</v>
      </c>
      <c r="AI32" s="133">
        <f t="shared" ref="AI32:BN32" si="20">+AI10*AI21</f>
        <v>0</v>
      </c>
      <c r="AJ32" s="133">
        <f t="shared" si="20"/>
        <v>0</v>
      </c>
      <c r="AK32" s="133">
        <f t="shared" si="20"/>
        <v>0</v>
      </c>
      <c r="AL32" s="133">
        <f t="shared" si="20"/>
        <v>0</v>
      </c>
      <c r="AM32" s="133">
        <f t="shared" si="20"/>
        <v>0</v>
      </c>
      <c r="AN32" s="133">
        <f t="shared" si="20"/>
        <v>0</v>
      </c>
      <c r="AO32" s="133">
        <f t="shared" si="20"/>
        <v>0</v>
      </c>
      <c r="AP32" s="133">
        <f t="shared" si="20"/>
        <v>0</v>
      </c>
      <c r="AQ32" s="133">
        <f t="shared" si="20"/>
        <v>0</v>
      </c>
      <c r="AR32" s="133">
        <f t="shared" si="20"/>
        <v>0</v>
      </c>
      <c r="AS32" s="133">
        <f t="shared" si="20"/>
        <v>0</v>
      </c>
      <c r="AT32" s="133">
        <f t="shared" si="20"/>
        <v>0</v>
      </c>
      <c r="AU32" s="133">
        <f t="shared" si="20"/>
        <v>0</v>
      </c>
      <c r="AV32" s="133">
        <f t="shared" si="20"/>
        <v>0</v>
      </c>
      <c r="AW32" s="133">
        <f t="shared" si="20"/>
        <v>0</v>
      </c>
      <c r="AX32" s="133">
        <f t="shared" si="20"/>
        <v>0</v>
      </c>
      <c r="AY32" s="133">
        <f t="shared" si="20"/>
        <v>0</v>
      </c>
      <c r="AZ32" s="133">
        <f t="shared" si="20"/>
        <v>0</v>
      </c>
      <c r="BA32" s="133">
        <f t="shared" si="20"/>
        <v>0</v>
      </c>
      <c r="BB32" s="133">
        <f t="shared" si="20"/>
        <v>0</v>
      </c>
      <c r="BC32" s="133">
        <f t="shared" si="20"/>
        <v>0</v>
      </c>
      <c r="BD32" s="133">
        <f t="shared" si="20"/>
        <v>0</v>
      </c>
      <c r="BE32" s="133">
        <f t="shared" si="20"/>
        <v>0</v>
      </c>
      <c r="BF32" s="133">
        <f t="shared" si="20"/>
        <v>0</v>
      </c>
      <c r="BG32" s="133">
        <f t="shared" si="20"/>
        <v>0</v>
      </c>
      <c r="BH32" s="133">
        <f t="shared" si="20"/>
        <v>0</v>
      </c>
      <c r="BI32" s="133">
        <f t="shared" si="20"/>
        <v>0</v>
      </c>
      <c r="BJ32" s="133">
        <f t="shared" si="20"/>
        <v>0</v>
      </c>
      <c r="BK32" s="133">
        <f t="shared" si="20"/>
        <v>0</v>
      </c>
      <c r="BL32" s="133">
        <f t="shared" si="20"/>
        <v>0</v>
      </c>
      <c r="BM32" s="133">
        <f t="shared" si="20"/>
        <v>0</v>
      </c>
      <c r="BN32" s="133">
        <f t="shared" si="20"/>
        <v>0</v>
      </c>
      <c r="BO32" s="133">
        <f t="shared" ref="BO32:BV32" si="21">+BO10*BO21</f>
        <v>0</v>
      </c>
      <c r="BP32" s="133">
        <f t="shared" si="21"/>
        <v>0</v>
      </c>
      <c r="BQ32" s="133">
        <f t="shared" si="21"/>
        <v>0</v>
      </c>
      <c r="BR32" s="133">
        <f t="shared" si="21"/>
        <v>0</v>
      </c>
      <c r="BS32" s="133">
        <f t="shared" si="21"/>
        <v>0</v>
      </c>
      <c r="BT32" s="133">
        <f t="shared" si="21"/>
        <v>0</v>
      </c>
      <c r="BU32" s="133">
        <f t="shared" si="21"/>
        <v>0</v>
      </c>
      <c r="BV32" s="133">
        <f t="shared" si="21"/>
        <v>0</v>
      </c>
    </row>
    <row r="33" spans="2:74" s="127" customFormat="1" ht="15.75" customHeight="1" outlineLevel="1" x14ac:dyDescent="0.2">
      <c r="B33" s="126" t="s">
        <v>52</v>
      </c>
      <c r="C33" s="132">
        <f t="shared" ref="C33:AH33" si="22">+C11*C22</f>
        <v>0</v>
      </c>
      <c r="D33" s="133">
        <f t="shared" si="22"/>
        <v>0</v>
      </c>
      <c r="E33" s="133">
        <f t="shared" si="22"/>
        <v>0</v>
      </c>
      <c r="F33" s="133">
        <f t="shared" si="22"/>
        <v>0</v>
      </c>
      <c r="G33" s="133">
        <f t="shared" si="22"/>
        <v>0</v>
      </c>
      <c r="H33" s="133">
        <f t="shared" si="22"/>
        <v>0</v>
      </c>
      <c r="I33" s="133">
        <f t="shared" si="22"/>
        <v>0</v>
      </c>
      <c r="J33" s="133">
        <f t="shared" si="22"/>
        <v>0</v>
      </c>
      <c r="K33" s="133">
        <f t="shared" si="22"/>
        <v>0</v>
      </c>
      <c r="L33" s="133">
        <f t="shared" si="22"/>
        <v>0</v>
      </c>
      <c r="M33" s="133">
        <f t="shared" si="22"/>
        <v>0</v>
      </c>
      <c r="N33" s="133">
        <f t="shared" si="22"/>
        <v>0</v>
      </c>
      <c r="O33" s="133">
        <f t="shared" si="22"/>
        <v>0</v>
      </c>
      <c r="P33" s="133">
        <f t="shared" si="22"/>
        <v>0</v>
      </c>
      <c r="Q33" s="133">
        <f t="shared" si="22"/>
        <v>0</v>
      </c>
      <c r="R33" s="133">
        <f t="shared" si="22"/>
        <v>0</v>
      </c>
      <c r="S33" s="133">
        <f t="shared" si="22"/>
        <v>0</v>
      </c>
      <c r="T33" s="133">
        <f t="shared" si="22"/>
        <v>0</v>
      </c>
      <c r="U33" s="133">
        <f t="shared" si="22"/>
        <v>0</v>
      </c>
      <c r="V33" s="133">
        <f t="shared" si="22"/>
        <v>0</v>
      </c>
      <c r="W33" s="133">
        <f t="shared" si="22"/>
        <v>0</v>
      </c>
      <c r="X33" s="133">
        <f t="shared" si="22"/>
        <v>0</v>
      </c>
      <c r="Y33" s="133">
        <f t="shared" si="22"/>
        <v>0</v>
      </c>
      <c r="Z33" s="133">
        <f t="shared" si="22"/>
        <v>0</v>
      </c>
      <c r="AA33" s="133">
        <f t="shared" si="22"/>
        <v>0</v>
      </c>
      <c r="AB33" s="133">
        <f t="shared" si="22"/>
        <v>0</v>
      </c>
      <c r="AC33" s="133">
        <f t="shared" si="22"/>
        <v>0</v>
      </c>
      <c r="AD33" s="133">
        <f t="shared" si="22"/>
        <v>0</v>
      </c>
      <c r="AE33" s="133">
        <f t="shared" si="22"/>
        <v>0</v>
      </c>
      <c r="AF33" s="133">
        <f t="shared" si="22"/>
        <v>0</v>
      </c>
      <c r="AG33" s="133">
        <f t="shared" si="22"/>
        <v>0</v>
      </c>
      <c r="AH33" s="133">
        <f t="shared" si="22"/>
        <v>0</v>
      </c>
      <c r="AI33" s="133">
        <f t="shared" ref="AI33:BN33" si="23">+AI11*AI22</f>
        <v>0</v>
      </c>
      <c r="AJ33" s="133">
        <f t="shared" si="23"/>
        <v>0</v>
      </c>
      <c r="AK33" s="133">
        <f t="shared" si="23"/>
        <v>0</v>
      </c>
      <c r="AL33" s="133">
        <f t="shared" si="23"/>
        <v>0</v>
      </c>
      <c r="AM33" s="133">
        <f t="shared" si="23"/>
        <v>0</v>
      </c>
      <c r="AN33" s="133">
        <f t="shared" si="23"/>
        <v>0</v>
      </c>
      <c r="AO33" s="133">
        <f t="shared" si="23"/>
        <v>0</v>
      </c>
      <c r="AP33" s="133">
        <f t="shared" si="23"/>
        <v>0</v>
      </c>
      <c r="AQ33" s="133">
        <f t="shared" si="23"/>
        <v>0</v>
      </c>
      <c r="AR33" s="133">
        <f t="shared" si="23"/>
        <v>0</v>
      </c>
      <c r="AS33" s="133">
        <f t="shared" si="23"/>
        <v>0</v>
      </c>
      <c r="AT33" s="133">
        <f t="shared" si="23"/>
        <v>0</v>
      </c>
      <c r="AU33" s="133">
        <f t="shared" si="23"/>
        <v>0</v>
      </c>
      <c r="AV33" s="133">
        <f t="shared" si="23"/>
        <v>0</v>
      </c>
      <c r="AW33" s="133">
        <f t="shared" si="23"/>
        <v>0</v>
      </c>
      <c r="AX33" s="133">
        <f t="shared" si="23"/>
        <v>0</v>
      </c>
      <c r="AY33" s="133">
        <f t="shared" si="23"/>
        <v>0</v>
      </c>
      <c r="AZ33" s="133">
        <f t="shared" si="23"/>
        <v>0</v>
      </c>
      <c r="BA33" s="133">
        <f t="shared" si="23"/>
        <v>0</v>
      </c>
      <c r="BB33" s="133">
        <f t="shared" si="23"/>
        <v>0</v>
      </c>
      <c r="BC33" s="133">
        <f t="shared" si="23"/>
        <v>0</v>
      </c>
      <c r="BD33" s="133">
        <f t="shared" si="23"/>
        <v>0</v>
      </c>
      <c r="BE33" s="133">
        <f t="shared" si="23"/>
        <v>0</v>
      </c>
      <c r="BF33" s="133">
        <f t="shared" si="23"/>
        <v>0</v>
      </c>
      <c r="BG33" s="133">
        <f t="shared" si="23"/>
        <v>0</v>
      </c>
      <c r="BH33" s="133">
        <f t="shared" si="23"/>
        <v>0</v>
      </c>
      <c r="BI33" s="133">
        <f t="shared" si="23"/>
        <v>0</v>
      </c>
      <c r="BJ33" s="133">
        <f t="shared" si="23"/>
        <v>0</v>
      </c>
      <c r="BK33" s="133">
        <f t="shared" si="23"/>
        <v>0</v>
      </c>
      <c r="BL33" s="133">
        <f t="shared" si="23"/>
        <v>0</v>
      </c>
      <c r="BM33" s="133">
        <f t="shared" si="23"/>
        <v>0</v>
      </c>
      <c r="BN33" s="133">
        <f t="shared" si="23"/>
        <v>0</v>
      </c>
      <c r="BO33" s="133">
        <f t="shared" ref="BO33:BV33" si="24">+BO11*BO22</f>
        <v>0</v>
      </c>
      <c r="BP33" s="133">
        <f t="shared" si="24"/>
        <v>0</v>
      </c>
      <c r="BQ33" s="133">
        <f t="shared" si="24"/>
        <v>0</v>
      </c>
      <c r="BR33" s="133">
        <f t="shared" si="24"/>
        <v>0</v>
      </c>
      <c r="BS33" s="133">
        <f t="shared" si="24"/>
        <v>0</v>
      </c>
      <c r="BT33" s="133">
        <f t="shared" si="24"/>
        <v>0</v>
      </c>
      <c r="BU33" s="133">
        <f t="shared" si="24"/>
        <v>0</v>
      </c>
      <c r="BV33" s="133">
        <f t="shared" si="24"/>
        <v>0</v>
      </c>
    </row>
    <row r="34" spans="2:74" s="127" customFormat="1" ht="15.75" customHeight="1" outlineLevel="1" x14ac:dyDescent="0.2">
      <c r="B34" s="126" t="s">
        <v>53</v>
      </c>
      <c r="C34" s="132">
        <f t="shared" ref="C34:AH34" si="25">+C12*C23</f>
        <v>0</v>
      </c>
      <c r="D34" s="133">
        <f t="shared" si="25"/>
        <v>0</v>
      </c>
      <c r="E34" s="133">
        <f t="shared" si="25"/>
        <v>0</v>
      </c>
      <c r="F34" s="133">
        <f t="shared" si="25"/>
        <v>0</v>
      </c>
      <c r="G34" s="133">
        <f t="shared" si="25"/>
        <v>0</v>
      </c>
      <c r="H34" s="133">
        <f t="shared" si="25"/>
        <v>0</v>
      </c>
      <c r="I34" s="133">
        <f t="shared" si="25"/>
        <v>0</v>
      </c>
      <c r="J34" s="133">
        <f t="shared" si="25"/>
        <v>0</v>
      </c>
      <c r="K34" s="133">
        <f t="shared" si="25"/>
        <v>0</v>
      </c>
      <c r="L34" s="133">
        <f t="shared" si="25"/>
        <v>0</v>
      </c>
      <c r="M34" s="133">
        <f t="shared" si="25"/>
        <v>0</v>
      </c>
      <c r="N34" s="133">
        <f t="shared" si="25"/>
        <v>0</v>
      </c>
      <c r="O34" s="133">
        <f t="shared" si="25"/>
        <v>0</v>
      </c>
      <c r="P34" s="133">
        <f t="shared" si="25"/>
        <v>0</v>
      </c>
      <c r="Q34" s="133">
        <f t="shared" si="25"/>
        <v>0</v>
      </c>
      <c r="R34" s="133">
        <f t="shared" si="25"/>
        <v>0</v>
      </c>
      <c r="S34" s="133">
        <f t="shared" si="25"/>
        <v>0</v>
      </c>
      <c r="T34" s="133">
        <f t="shared" si="25"/>
        <v>0</v>
      </c>
      <c r="U34" s="133">
        <f t="shared" si="25"/>
        <v>0</v>
      </c>
      <c r="V34" s="133">
        <f t="shared" si="25"/>
        <v>0</v>
      </c>
      <c r="W34" s="133">
        <f t="shared" si="25"/>
        <v>0</v>
      </c>
      <c r="X34" s="133">
        <f t="shared" si="25"/>
        <v>0</v>
      </c>
      <c r="Y34" s="133">
        <f t="shared" si="25"/>
        <v>0</v>
      </c>
      <c r="Z34" s="133">
        <f t="shared" si="25"/>
        <v>0</v>
      </c>
      <c r="AA34" s="133">
        <f t="shared" si="25"/>
        <v>0</v>
      </c>
      <c r="AB34" s="133">
        <f t="shared" si="25"/>
        <v>0</v>
      </c>
      <c r="AC34" s="133">
        <f t="shared" si="25"/>
        <v>0</v>
      </c>
      <c r="AD34" s="133">
        <f t="shared" si="25"/>
        <v>0</v>
      </c>
      <c r="AE34" s="133">
        <f t="shared" si="25"/>
        <v>0</v>
      </c>
      <c r="AF34" s="133">
        <f t="shared" si="25"/>
        <v>0</v>
      </c>
      <c r="AG34" s="133">
        <f t="shared" si="25"/>
        <v>0</v>
      </c>
      <c r="AH34" s="133">
        <f t="shared" si="25"/>
        <v>0</v>
      </c>
      <c r="AI34" s="133">
        <f t="shared" ref="AI34:BN34" si="26">+AI12*AI23</f>
        <v>0</v>
      </c>
      <c r="AJ34" s="133">
        <f t="shared" si="26"/>
        <v>0</v>
      </c>
      <c r="AK34" s="133">
        <f t="shared" si="26"/>
        <v>0</v>
      </c>
      <c r="AL34" s="133">
        <f t="shared" si="26"/>
        <v>0</v>
      </c>
      <c r="AM34" s="133">
        <f t="shared" si="26"/>
        <v>0</v>
      </c>
      <c r="AN34" s="133">
        <f t="shared" si="26"/>
        <v>0</v>
      </c>
      <c r="AO34" s="133">
        <f t="shared" si="26"/>
        <v>0</v>
      </c>
      <c r="AP34" s="133">
        <f t="shared" si="26"/>
        <v>0</v>
      </c>
      <c r="AQ34" s="133">
        <f t="shared" si="26"/>
        <v>0</v>
      </c>
      <c r="AR34" s="133">
        <f t="shared" si="26"/>
        <v>0</v>
      </c>
      <c r="AS34" s="133">
        <f t="shared" si="26"/>
        <v>0</v>
      </c>
      <c r="AT34" s="133">
        <f t="shared" si="26"/>
        <v>0</v>
      </c>
      <c r="AU34" s="133">
        <f t="shared" si="26"/>
        <v>0</v>
      </c>
      <c r="AV34" s="133">
        <f t="shared" si="26"/>
        <v>0</v>
      </c>
      <c r="AW34" s="133">
        <f t="shared" si="26"/>
        <v>0</v>
      </c>
      <c r="AX34" s="133">
        <f t="shared" si="26"/>
        <v>0</v>
      </c>
      <c r="AY34" s="133">
        <f t="shared" si="26"/>
        <v>0</v>
      </c>
      <c r="AZ34" s="133">
        <f t="shared" si="26"/>
        <v>0</v>
      </c>
      <c r="BA34" s="133">
        <f t="shared" si="26"/>
        <v>0</v>
      </c>
      <c r="BB34" s="133">
        <f t="shared" si="26"/>
        <v>0</v>
      </c>
      <c r="BC34" s="133">
        <f t="shared" si="26"/>
        <v>0</v>
      </c>
      <c r="BD34" s="133">
        <f t="shared" si="26"/>
        <v>0</v>
      </c>
      <c r="BE34" s="133">
        <f t="shared" si="26"/>
        <v>0</v>
      </c>
      <c r="BF34" s="133">
        <f t="shared" si="26"/>
        <v>0</v>
      </c>
      <c r="BG34" s="133">
        <f t="shared" si="26"/>
        <v>0</v>
      </c>
      <c r="BH34" s="133">
        <f t="shared" si="26"/>
        <v>0</v>
      </c>
      <c r="BI34" s="133">
        <f t="shared" si="26"/>
        <v>0</v>
      </c>
      <c r="BJ34" s="133">
        <f t="shared" si="26"/>
        <v>0</v>
      </c>
      <c r="BK34" s="133">
        <f t="shared" si="26"/>
        <v>0</v>
      </c>
      <c r="BL34" s="133">
        <f t="shared" si="26"/>
        <v>0</v>
      </c>
      <c r="BM34" s="133">
        <f t="shared" si="26"/>
        <v>0</v>
      </c>
      <c r="BN34" s="133">
        <f t="shared" si="26"/>
        <v>0</v>
      </c>
      <c r="BO34" s="133">
        <f t="shared" ref="BO34:BV34" si="27">+BO12*BO23</f>
        <v>0</v>
      </c>
      <c r="BP34" s="133">
        <f t="shared" si="27"/>
        <v>0</v>
      </c>
      <c r="BQ34" s="133">
        <f t="shared" si="27"/>
        <v>0</v>
      </c>
      <c r="BR34" s="133">
        <f t="shared" si="27"/>
        <v>0</v>
      </c>
      <c r="BS34" s="133">
        <f t="shared" si="27"/>
        <v>0</v>
      </c>
      <c r="BT34" s="133">
        <f t="shared" si="27"/>
        <v>0</v>
      </c>
      <c r="BU34" s="133">
        <f t="shared" si="27"/>
        <v>0</v>
      </c>
      <c r="BV34" s="133">
        <f t="shared" si="27"/>
        <v>0</v>
      </c>
    </row>
    <row r="35" spans="2:74" s="127" customFormat="1" ht="15.75" customHeight="1" outlineLevel="1" x14ac:dyDescent="0.2">
      <c r="B35" s="126" t="s">
        <v>54</v>
      </c>
      <c r="C35" s="132">
        <f t="shared" ref="C35:AH35" si="28">+C13*C24</f>
        <v>55000</v>
      </c>
      <c r="D35" s="133">
        <f t="shared" si="28"/>
        <v>57750</v>
      </c>
      <c r="E35" s="133">
        <f t="shared" si="28"/>
        <v>60637.5</v>
      </c>
      <c r="F35" s="133">
        <f t="shared" si="28"/>
        <v>63669.375</v>
      </c>
      <c r="G35" s="133">
        <f t="shared" si="28"/>
        <v>66852.84375</v>
      </c>
      <c r="H35" s="133">
        <f t="shared" si="28"/>
        <v>70195.485937500009</v>
      </c>
      <c r="I35" s="133">
        <f t="shared" si="28"/>
        <v>73705.260234375004</v>
      </c>
      <c r="J35" s="133">
        <f t="shared" si="28"/>
        <v>77390.523246093755</v>
      </c>
      <c r="K35" s="133">
        <f t="shared" si="28"/>
        <v>81260.049408398452</v>
      </c>
      <c r="L35" s="133">
        <f t="shared" si="28"/>
        <v>85323.051878818384</v>
      </c>
      <c r="M35" s="133">
        <f t="shared" si="28"/>
        <v>89589.204472759302</v>
      </c>
      <c r="N35" s="133">
        <f t="shared" si="28"/>
        <v>94068.66469639726</v>
      </c>
      <c r="O35" s="133">
        <f t="shared" si="28"/>
        <v>98772.09793121714</v>
      </c>
      <c r="P35" s="133">
        <f t="shared" si="28"/>
        <v>103710.702827778</v>
      </c>
      <c r="Q35" s="133">
        <f t="shared" si="28"/>
        <v>108896.2379691669</v>
      </c>
      <c r="R35" s="133">
        <f t="shared" si="28"/>
        <v>114341.04986762525</v>
      </c>
      <c r="S35" s="133">
        <f t="shared" si="28"/>
        <v>120058.10236100652</v>
      </c>
      <c r="T35" s="133">
        <f t="shared" si="28"/>
        <v>126061.00747905685</v>
      </c>
      <c r="U35" s="133">
        <f t="shared" si="28"/>
        <v>132364.0578530097</v>
      </c>
      <c r="V35" s="133">
        <f t="shared" si="28"/>
        <v>138982.26074566017</v>
      </c>
      <c r="W35" s="133">
        <f t="shared" si="28"/>
        <v>145931.37378294321</v>
      </c>
      <c r="X35" s="133">
        <f t="shared" si="28"/>
        <v>153227.94247209036</v>
      </c>
      <c r="Y35" s="133">
        <f t="shared" si="28"/>
        <v>160889.33959569488</v>
      </c>
      <c r="Z35" s="133">
        <f t="shared" si="28"/>
        <v>168933.80657547963</v>
      </c>
      <c r="AA35" s="133">
        <f t="shared" si="28"/>
        <v>177380.49690425364</v>
      </c>
      <c r="AB35" s="133">
        <f t="shared" si="28"/>
        <v>186249.52174946631</v>
      </c>
      <c r="AC35" s="133">
        <f t="shared" si="28"/>
        <v>195561.99783693961</v>
      </c>
      <c r="AD35" s="133">
        <f t="shared" si="28"/>
        <v>205340.09772878661</v>
      </c>
      <c r="AE35" s="133">
        <f t="shared" si="28"/>
        <v>215607.10261522594</v>
      </c>
      <c r="AF35" s="133">
        <f t="shared" si="28"/>
        <v>226387.45774598722</v>
      </c>
      <c r="AG35" s="133">
        <f t="shared" si="28"/>
        <v>237706.83063328662</v>
      </c>
      <c r="AH35" s="133">
        <f t="shared" si="28"/>
        <v>249592.17216495096</v>
      </c>
      <c r="AI35" s="133">
        <f t="shared" ref="AI35:BN35" si="29">+AI13*AI24</f>
        <v>262071.78077319852</v>
      </c>
      <c r="AJ35" s="133">
        <f t="shared" si="29"/>
        <v>275175.36981185846</v>
      </c>
      <c r="AK35" s="133">
        <f t="shared" si="29"/>
        <v>288934.13830245141</v>
      </c>
      <c r="AL35" s="133">
        <f t="shared" si="29"/>
        <v>303380.84521757398</v>
      </c>
      <c r="AM35" s="133">
        <f t="shared" si="29"/>
        <v>318549.8874784527</v>
      </c>
      <c r="AN35" s="133">
        <f t="shared" si="29"/>
        <v>334477.38185237534</v>
      </c>
      <c r="AO35" s="133">
        <f t="shared" si="29"/>
        <v>351201.25094499416</v>
      </c>
      <c r="AP35" s="133">
        <f t="shared" si="29"/>
        <v>368761.31349224393</v>
      </c>
      <c r="AQ35" s="133">
        <f t="shared" si="29"/>
        <v>387199.37916685618</v>
      </c>
      <c r="AR35" s="133">
        <f t="shared" si="29"/>
        <v>406559.34812519903</v>
      </c>
      <c r="AS35" s="133">
        <f t="shared" si="29"/>
        <v>426887.315531459</v>
      </c>
      <c r="AT35" s="133">
        <f t="shared" si="29"/>
        <v>448231.68130803196</v>
      </c>
      <c r="AU35" s="133">
        <f t="shared" si="29"/>
        <v>470643.26537343359</v>
      </c>
      <c r="AV35" s="133">
        <f t="shared" si="29"/>
        <v>494175.42864210531</v>
      </c>
      <c r="AW35" s="133">
        <f t="shared" si="29"/>
        <v>518884.20007421065</v>
      </c>
      <c r="AX35" s="133">
        <f t="shared" si="29"/>
        <v>544828.41007792111</v>
      </c>
      <c r="AY35" s="133">
        <f t="shared" si="29"/>
        <v>572069.83058181719</v>
      </c>
      <c r="AZ35" s="133">
        <f t="shared" si="29"/>
        <v>600673.32211090811</v>
      </c>
      <c r="BA35" s="133">
        <f t="shared" si="29"/>
        <v>630706.98821645346</v>
      </c>
      <c r="BB35" s="133">
        <f t="shared" si="29"/>
        <v>662242.3376272762</v>
      </c>
      <c r="BC35" s="133">
        <f t="shared" si="29"/>
        <v>695354.4545086401</v>
      </c>
      <c r="BD35" s="133">
        <f t="shared" si="29"/>
        <v>730122.17723407212</v>
      </c>
      <c r="BE35" s="133">
        <f t="shared" si="29"/>
        <v>766628.28609577578</v>
      </c>
      <c r="BF35" s="133">
        <f t="shared" si="29"/>
        <v>804959.70040056447</v>
      </c>
      <c r="BG35" s="133">
        <f t="shared" si="29"/>
        <v>845207.68542059278</v>
      </c>
      <c r="BH35" s="133">
        <f t="shared" si="29"/>
        <v>887468.0696916224</v>
      </c>
      <c r="BI35" s="133">
        <f t="shared" si="29"/>
        <v>931841.47317620355</v>
      </c>
      <c r="BJ35" s="133">
        <f t="shared" si="29"/>
        <v>978433.54683501367</v>
      </c>
      <c r="BK35" s="133">
        <f t="shared" si="29"/>
        <v>1027355.2241767645</v>
      </c>
      <c r="BL35" s="133">
        <f t="shared" si="29"/>
        <v>1078722.9853856028</v>
      </c>
      <c r="BM35" s="133">
        <f t="shared" si="29"/>
        <v>1132659.1346548828</v>
      </c>
      <c r="BN35" s="133">
        <f t="shared" si="29"/>
        <v>1189292.0913876272</v>
      </c>
      <c r="BO35" s="133">
        <f t="shared" ref="BO35:BV35" si="30">+BO13*BO24</f>
        <v>1248756.6959570085</v>
      </c>
      <c r="BP35" s="133">
        <f t="shared" si="30"/>
        <v>1311194.5307548591</v>
      </c>
      <c r="BQ35" s="133">
        <f t="shared" si="30"/>
        <v>1376754.257292602</v>
      </c>
      <c r="BR35" s="133">
        <f t="shared" si="30"/>
        <v>1445591.9701572319</v>
      </c>
      <c r="BS35" s="133">
        <f t="shared" si="30"/>
        <v>1517871.5686650935</v>
      </c>
      <c r="BT35" s="133">
        <f t="shared" si="30"/>
        <v>1593765.1470983482</v>
      </c>
      <c r="BU35" s="133">
        <f t="shared" si="30"/>
        <v>1673453.4044532657</v>
      </c>
      <c r="BV35" s="133">
        <f t="shared" si="30"/>
        <v>1757126.0746759288</v>
      </c>
    </row>
    <row r="36" spans="2:74" s="127" customFormat="1" ht="15.75" customHeight="1" outlineLevel="1" x14ac:dyDescent="0.2">
      <c r="B36" s="126" t="s">
        <v>55</v>
      </c>
      <c r="C36" s="132">
        <f t="shared" ref="C36:AH36" si="31">+C14*C25</f>
        <v>0</v>
      </c>
      <c r="D36" s="133">
        <f t="shared" si="31"/>
        <v>0</v>
      </c>
      <c r="E36" s="133">
        <f t="shared" si="31"/>
        <v>0</v>
      </c>
      <c r="F36" s="133">
        <f t="shared" si="31"/>
        <v>0</v>
      </c>
      <c r="G36" s="133">
        <f t="shared" si="31"/>
        <v>0</v>
      </c>
      <c r="H36" s="133">
        <f t="shared" si="31"/>
        <v>0</v>
      </c>
      <c r="I36" s="133">
        <f t="shared" si="31"/>
        <v>0</v>
      </c>
      <c r="J36" s="133">
        <f t="shared" si="31"/>
        <v>0</v>
      </c>
      <c r="K36" s="133">
        <f t="shared" si="31"/>
        <v>0</v>
      </c>
      <c r="L36" s="133">
        <f t="shared" si="31"/>
        <v>0</v>
      </c>
      <c r="M36" s="133">
        <f t="shared" si="31"/>
        <v>0</v>
      </c>
      <c r="N36" s="133">
        <f t="shared" si="31"/>
        <v>0</v>
      </c>
      <c r="O36" s="133">
        <f t="shared" si="31"/>
        <v>0</v>
      </c>
      <c r="P36" s="133">
        <f t="shared" si="31"/>
        <v>0</v>
      </c>
      <c r="Q36" s="133">
        <f t="shared" si="31"/>
        <v>0</v>
      </c>
      <c r="R36" s="133">
        <f t="shared" si="31"/>
        <v>0</v>
      </c>
      <c r="S36" s="133">
        <f t="shared" si="31"/>
        <v>0</v>
      </c>
      <c r="T36" s="133">
        <f t="shared" si="31"/>
        <v>0</v>
      </c>
      <c r="U36" s="133">
        <f t="shared" si="31"/>
        <v>0</v>
      </c>
      <c r="V36" s="133">
        <f t="shared" si="31"/>
        <v>0</v>
      </c>
      <c r="W36" s="133">
        <f t="shared" si="31"/>
        <v>0</v>
      </c>
      <c r="X36" s="133">
        <f t="shared" si="31"/>
        <v>0</v>
      </c>
      <c r="Y36" s="133">
        <f t="shared" si="31"/>
        <v>0</v>
      </c>
      <c r="Z36" s="133">
        <f t="shared" si="31"/>
        <v>0</v>
      </c>
      <c r="AA36" s="133">
        <f t="shared" si="31"/>
        <v>0</v>
      </c>
      <c r="AB36" s="133">
        <f t="shared" si="31"/>
        <v>0</v>
      </c>
      <c r="AC36" s="133">
        <f t="shared" si="31"/>
        <v>0</v>
      </c>
      <c r="AD36" s="133">
        <f t="shared" si="31"/>
        <v>0</v>
      </c>
      <c r="AE36" s="133">
        <f t="shared" si="31"/>
        <v>0</v>
      </c>
      <c r="AF36" s="133">
        <f t="shared" si="31"/>
        <v>0</v>
      </c>
      <c r="AG36" s="133">
        <f t="shared" si="31"/>
        <v>0</v>
      </c>
      <c r="AH36" s="133">
        <f t="shared" si="31"/>
        <v>0</v>
      </c>
      <c r="AI36" s="133">
        <f t="shared" ref="AI36:BN36" si="32">+AI14*AI25</f>
        <v>0</v>
      </c>
      <c r="AJ36" s="133">
        <f t="shared" si="32"/>
        <v>0</v>
      </c>
      <c r="AK36" s="133">
        <f t="shared" si="32"/>
        <v>0</v>
      </c>
      <c r="AL36" s="133">
        <f t="shared" si="32"/>
        <v>0</v>
      </c>
      <c r="AM36" s="133">
        <f t="shared" si="32"/>
        <v>0</v>
      </c>
      <c r="AN36" s="133">
        <f t="shared" si="32"/>
        <v>0</v>
      </c>
      <c r="AO36" s="133">
        <f t="shared" si="32"/>
        <v>0</v>
      </c>
      <c r="AP36" s="133">
        <f t="shared" si="32"/>
        <v>0</v>
      </c>
      <c r="AQ36" s="133">
        <f t="shared" si="32"/>
        <v>0</v>
      </c>
      <c r="AR36" s="133">
        <f t="shared" si="32"/>
        <v>0</v>
      </c>
      <c r="AS36" s="133">
        <f t="shared" si="32"/>
        <v>0</v>
      </c>
      <c r="AT36" s="133">
        <f t="shared" si="32"/>
        <v>0</v>
      </c>
      <c r="AU36" s="133">
        <f t="shared" si="32"/>
        <v>0</v>
      </c>
      <c r="AV36" s="133">
        <f t="shared" si="32"/>
        <v>0</v>
      </c>
      <c r="AW36" s="133">
        <f t="shared" si="32"/>
        <v>0</v>
      </c>
      <c r="AX36" s="133">
        <f t="shared" si="32"/>
        <v>0</v>
      </c>
      <c r="AY36" s="133">
        <f t="shared" si="32"/>
        <v>0</v>
      </c>
      <c r="AZ36" s="133">
        <f t="shared" si="32"/>
        <v>0</v>
      </c>
      <c r="BA36" s="133">
        <f t="shared" si="32"/>
        <v>0</v>
      </c>
      <c r="BB36" s="133">
        <f t="shared" si="32"/>
        <v>0</v>
      </c>
      <c r="BC36" s="133">
        <f t="shared" si="32"/>
        <v>0</v>
      </c>
      <c r="BD36" s="133">
        <f t="shared" si="32"/>
        <v>0</v>
      </c>
      <c r="BE36" s="133">
        <f t="shared" si="32"/>
        <v>0</v>
      </c>
      <c r="BF36" s="133">
        <f t="shared" si="32"/>
        <v>0</v>
      </c>
      <c r="BG36" s="133">
        <f t="shared" si="32"/>
        <v>0</v>
      </c>
      <c r="BH36" s="133">
        <f t="shared" si="32"/>
        <v>0</v>
      </c>
      <c r="BI36" s="133">
        <f t="shared" si="32"/>
        <v>0</v>
      </c>
      <c r="BJ36" s="133">
        <f t="shared" si="32"/>
        <v>0</v>
      </c>
      <c r="BK36" s="133">
        <f t="shared" si="32"/>
        <v>0</v>
      </c>
      <c r="BL36" s="133">
        <f t="shared" si="32"/>
        <v>0</v>
      </c>
      <c r="BM36" s="133">
        <f t="shared" si="32"/>
        <v>0</v>
      </c>
      <c r="BN36" s="133">
        <f t="shared" si="32"/>
        <v>0</v>
      </c>
      <c r="BO36" s="133">
        <f t="shared" ref="BO36:BV36" si="33">+BO14*BO25</f>
        <v>0</v>
      </c>
      <c r="BP36" s="133">
        <f t="shared" si="33"/>
        <v>0</v>
      </c>
      <c r="BQ36" s="133">
        <f t="shared" si="33"/>
        <v>0</v>
      </c>
      <c r="BR36" s="133">
        <f t="shared" si="33"/>
        <v>0</v>
      </c>
      <c r="BS36" s="133">
        <f t="shared" si="33"/>
        <v>0</v>
      </c>
      <c r="BT36" s="133">
        <f t="shared" si="33"/>
        <v>0</v>
      </c>
      <c r="BU36" s="133">
        <f t="shared" si="33"/>
        <v>0</v>
      </c>
      <c r="BV36" s="133">
        <f t="shared" si="33"/>
        <v>0</v>
      </c>
    </row>
    <row r="37" spans="2:74" s="127" customFormat="1" ht="15.75" customHeight="1" outlineLevel="1" x14ac:dyDescent="0.2">
      <c r="B37" s="126" t="s">
        <v>56</v>
      </c>
      <c r="C37" s="132">
        <f t="shared" ref="C37:AH37" si="34">+C15*C26</f>
        <v>0</v>
      </c>
      <c r="D37" s="133">
        <f t="shared" si="34"/>
        <v>0</v>
      </c>
      <c r="E37" s="133">
        <f t="shared" si="34"/>
        <v>0</v>
      </c>
      <c r="F37" s="133">
        <f t="shared" si="34"/>
        <v>0</v>
      </c>
      <c r="G37" s="133">
        <f t="shared" si="34"/>
        <v>0</v>
      </c>
      <c r="H37" s="133">
        <f t="shared" si="34"/>
        <v>0</v>
      </c>
      <c r="I37" s="133">
        <f t="shared" si="34"/>
        <v>0</v>
      </c>
      <c r="J37" s="133">
        <f t="shared" si="34"/>
        <v>0</v>
      </c>
      <c r="K37" s="133">
        <f t="shared" si="34"/>
        <v>0</v>
      </c>
      <c r="L37" s="133">
        <f t="shared" si="34"/>
        <v>0</v>
      </c>
      <c r="M37" s="133">
        <f t="shared" si="34"/>
        <v>0</v>
      </c>
      <c r="N37" s="133">
        <f t="shared" si="34"/>
        <v>0</v>
      </c>
      <c r="O37" s="133">
        <f t="shared" si="34"/>
        <v>0</v>
      </c>
      <c r="P37" s="133">
        <f t="shared" si="34"/>
        <v>0</v>
      </c>
      <c r="Q37" s="133">
        <f t="shared" si="34"/>
        <v>0</v>
      </c>
      <c r="R37" s="133">
        <f t="shared" si="34"/>
        <v>0</v>
      </c>
      <c r="S37" s="133">
        <f t="shared" si="34"/>
        <v>0</v>
      </c>
      <c r="T37" s="133">
        <f t="shared" si="34"/>
        <v>0</v>
      </c>
      <c r="U37" s="133">
        <f t="shared" si="34"/>
        <v>0</v>
      </c>
      <c r="V37" s="133">
        <f t="shared" si="34"/>
        <v>0</v>
      </c>
      <c r="W37" s="133">
        <f t="shared" si="34"/>
        <v>0</v>
      </c>
      <c r="X37" s="133">
        <f t="shared" si="34"/>
        <v>0</v>
      </c>
      <c r="Y37" s="133">
        <f t="shared" si="34"/>
        <v>0</v>
      </c>
      <c r="Z37" s="133">
        <f t="shared" si="34"/>
        <v>0</v>
      </c>
      <c r="AA37" s="133">
        <f t="shared" si="34"/>
        <v>0</v>
      </c>
      <c r="AB37" s="133">
        <f t="shared" si="34"/>
        <v>0</v>
      </c>
      <c r="AC37" s="133">
        <f t="shared" si="34"/>
        <v>0</v>
      </c>
      <c r="AD37" s="133">
        <f t="shared" si="34"/>
        <v>0</v>
      </c>
      <c r="AE37" s="133">
        <f t="shared" si="34"/>
        <v>0</v>
      </c>
      <c r="AF37" s="133">
        <f t="shared" si="34"/>
        <v>0</v>
      </c>
      <c r="AG37" s="133">
        <f t="shared" si="34"/>
        <v>0</v>
      </c>
      <c r="AH37" s="133">
        <f t="shared" si="34"/>
        <v>0</v>
      </c>
      <c r="AI37" s="133">
        <f t="shared" ref="AI37:BN37" si="35">+AI15*AI26</f>
        <v>0</v>
      </c>
      <c r="AJ37" s="133">
        <f t="shared" si="35"/>
        <v>0</v>
      </c>
      <c r="AK37" s="133">
        <f t="shared" si="35"/>
        <v>0</v>
      </c>
      <c r="AL37" s="133">
        <f t="shared" si="35"/>
        <v>0</v>
      </c>
      <c r="AM37" s="133">
        <f t="shared" si="35"/>
        <v>0</v>
      </c>
      <c r="AN37" s="133">
        <f t="shared" si="35"/>
        <v>0</v>
      </c>
      <c r="AO37" s="133">
        <f t="shared" si="35"/>
        <v>0</v>
      </c>
      <c r="AP37" s="133">
        <f t="shared" si="35"/>
        <v>0</v>
      </c>
      <c r="AQ37" s="133">
        <f t="shared" si="35"/>
        <v>0</v>
      </c>
      <c r="AR37" s="133">
        <f t="shared" si="35"/>
        <v>0</v>
      </c>
      <c r="AS37" s="133">
        <f t="shared" si="35"/>
        <v>0</v>
      </c>
      <c r="AT37" s="133">
        <f t="shared" si="35"/>
        <v>0</v>
      </c>
      <c r="AU37" s="133">
        <f t="shared" si="35"/>
        <v>0</v>
      </c>
      <c r="AV37" s="133">
        <f t="shared" si="35"/>
        <v>0</v>
      </c>
      <c r="AW37" s="133">
        <f t="shared" si="35"/>
        <v>0</v>
      </c>
      <c r="AX37" s="133">
        <f t="shared" si="35"/>
        <v>0</v>
      </c>
      <c r="AY37" s="133">
        <f t="shared" si="35"/>
        <v>0</v>
      </c>
      <c r="AZ37" s="133">
        <f t="shared" si="35"/>
        <v>0</v>
      </c>
      <c r="BA37" s="133">
        <f t="shared" si="35"/>
        <v>0</v>
      </c>
      <c r="BB37" s="133">
        <f t="shared" si="35"/>
        <v>0</v>
      </c>
      <c r="BC37" s="133">
        <f t="shared" si="35"/>
        <v>0</v>
      </c>
      <c r="BD37" s="133">
        <f t="shared" si="35"/>
        <v>0</v>
      </c>
      <c r="BE37" s="133">
        <f t="shared" si="35"/>
        <v>0</v>
      </c>
      <c r="BF37" s="133">
        <f t="shared" si="35"/>
        <v>0</v>
      </c>
      <c r="BG37" s="133">
        <f t="shared" si="35"/>
        <v>0</v>
      </c>
      <c r="BH37" s="133">
        <f t="shared" si="35"/>
        <v>0</v>
      </c>
      <c r="BI37" s="133">
        <f t="shared" si="35"/>
        <v>0</v>
      </c>
      <c r="BJ37" s="133">
        <f t="shared" si="35"/>
        <v>0</v>
      </c>
      <c r="BK37" s="133">
        <f t="shared" si="35"/>
        <v>0</v>
      </c>
      <c r="BL37" s="133">
        <f t="shared" si="35"/>
        <v>0</v>
      </c>
      <c r="BM37" s="133">
        <f t="shared" si="35"/>
        <v>0</v>
      </c>
      <c r="BN37" s="133">
        <f t="shared" si="35"/>
        <v>0</v>
      </c>
      <c r="BO37" s="133">
        <f t="shared" ref="BO37:BV37" si="36">+BO15*BO26</f>
        <v>0</v>
      </c>
      <c r="BP37" s="133">
        <f t="shared" si="36"/>
        <v>0</v>
      </c>
      <c r="BQ37" s="133">
        <f t="shared" si="36"/>
        <v>0</v>
      </c>
      <c r="BR37" s="133">
        <f t="shared" si="36"/>
        <v>0</v>
      </c>
      <c r="BS37" s="133">
        <f t="shared" si="36"/>
        <v>0</v>
      </c>
      <c r="BT37" s="133">
        <f t="shared" si="36"/>
        <v>0</v>
      </c>
      <c r="BU37" s="133">
        <f t="shared" si="36"/>
        <v>0</v>
      </c>
      <c r="BV37" s="133">
        <f t="shared" si="36"/>
        <v>0</v>
      </c>
    </row>
    <row r="38" spans="2:74" s="127" customFormat="1" ht="15.75" customHeight="1" outlineLevel="1" x14ac:dyDescent="0.2">
      <c r="B38" s="126" t="s">
        <v>57</v>
      </c>
      <c r="C38" s="132">
        <f t="shared" ref="C38:AH38" si="37">+C16*C27</f>
        <v>0</v>
      </c>
      <c r="D38" s="133">
        <f t="shared" si="37"/>
        <v>0</v>
      </c>
      <c r="E38" s="133">
        <f t="shared" si="37"/>
        <v>0</v>
      </c>
      <c r="F38" s="133">
        <f t="shared" si="37"/>
        <v>0</v>
      </c>
      <c r="G38" s="133">
        <f t="shared" si="37"/>
        <v>0</v>
      </c>
      <c r="H38" s="133">
        <f t="shared" si="37"/>
        <v>0</v>
      </c>
      <c r="I38" s="133">
        <f t="shared" si="37"/>
        <v>0</v>
      </c>
      <c r="J38" s="133">
        <f t="shared" si="37"/>
        <v>0</v>
      </c>
      <c r="K38" s="133">
        <f t="shared" si="37"/>
        <v>0</v>
      </c>
      <c r="L38" s="133">
        <f t="shared" si="37"/>
        <v>0</v>
      </c>
      <c r="M38" s="133">
        <f t="shared" si="37"/>
        <v>0</v>
      </c>
      <c r="N38" s="133">
        <f t="shared" si="37"/>
        <v>0</v>
      </c>
      <c r="O38" s="133">
        <f t="shared" si="37"/>
        <v>0</v>
      </c>
      <c r="P38" s="133">
        <f t="shared" si="37"/>
        <v>0</v>
      </c>
      <c r="Q38" s="133">
        <f t="shared" si="37"/>
        <v>0</v>
      </c>
      <c r="R38" s="133">
        <f t="shared" si="37"/>
        <v>0</v>
      </c>
      <c r="S38" s="133">
        <f t="shared" si="37"/>
        <v>0</v>
      </c>
      <c r="T38" s="133">
        <f t="shared" si="37"/>
        <v>0</v>
      </c>
      <c r="U38" s="133">
        <f t="shared" si="37"/>
        <v>0</v>
      </c>
      <c r="V38" s="133">
        <f t="shared" si="37"/>
        <v>0</v>
      </c>
      <c r="W38" s="133">
        <f t="shared" si="37"/>
        <v>0</v>
      </c>
      <c r="X38" s="133">
        <f t="shared" si="37"/>
        <v>0</v>
      </c>
      <c r="Y38" s="133">
        <f t="shared" si="37"/>
        <v>0</v>
      </c>
      <c r="Z38" s="133">
        <f t="shared" si="37"/>
        <v>0</v>
      </c>
      <c r="AA38" s="133">
        <f t="shared" si="37"/>
        <v>0</v>
      </c>
      <c r="AB38" s="133">
        <f t="shared" si="37"/>
        <v>0</v>
      </c>
      <c r="AC38" s="133">
        <f t="shared" si="37"/>
        <v>0</v>
      </c>
      <c r="AD38" s="133">
        <f t="shared" si="37"/>
        <v>0</v>
      </c>
      <c r="AE38" s="133">
        <f t="shared" si="37"/>
        <v>0</v>
      </c>
      <c r="AF38" s="133">
        <f t="shared" si="37"/>
        <v>0</v>
      </c>
      <c r="AG38" s="133">
        <f t="shared" si="37"/>
        <v>0</v>
      </c>
      <c r="AH38" s="133">
        <f t="shared" si="37"/>
        <v>0</v>
      </c>
      <c r="AI38" s="133">
        <f t="shared" ref="AI38:BN38" si="38">+AI16*AI27</f>
        <v>0</v>
      </c>
      <c r="AJ38" s="133">
        <f t="shared" si="38"/>
        <v>0</v>
      </c>
      <c r="AK38" s="133">
        <f t="shared" si="38"/>
        <v>0</v>
      </c>
      <c r="AL38" s="133">
        <f t="shared" si="38"/>
        <v>0</v>
      </c>
      <c r="AM38" s="133">
        <f t="shared" si="38"/>
        <v>0</v>
      </c>
      <c r="AN38" s="133">
        <f t="shared" si="38"/>
        <v>0</v>
      </c>
      <c r="AO38" s="133">
        <f t="shared" si="38"/>
        <v>0</v>
      </c>
      <c r="AP38" s="133">
        <f t="shared" si="38"/>
        <v>0</v>
      </c>
      <c r="AQ38" s="133">
        <f t="shared" si="38"/>
        <v>0</v>
      </c>
      <c r="AR38" s="133">
        <f t="shared" si="38"/>
        <v>0</v>
      </c>
      <c r="AS38" s="133">
        <f t="shared" si="38"/>
        <v>0</v>
      </c>
      <c r="AT38" s="133">
        <f t="shared" si="38"/>
        <v>0</v>
      </c>
      <c r="AU38" s="133">
        <f t="shared" si="38"/>
        <v>0</v>
      </c>
      <c r="AV38" s="133">
        <f t="shared" si="38"/>
        <v>0</v>
      </c>
      <c r="AW38" s="133">
        <f t="shared" si="38"/>
        <v>0</v>
      </c>
      <c r="AX38" s="133">
        <f t="shared" si="38"/>
        <v>0</v>
      </c>
      <c r="AY38" s="133">
        <f t="shared" si="38"/>
        <v>0</v>
      </c>
      <c r="AZ38" s="133">
        <f t="shared" si="38"/>
        <v>0</v>
      </c>
      <c r="BA38" s="133">
        <f t="shared" si="38"/>
        <v>0</v>
      </c>
      <c r="BB38" s="133">
        <f t="shared" si="38"/>
        <v>0</v>
      </c>
      <c r="BC38" s="133">
        <f t="shared" si="38"/>
        <v>0</v>
      </c>
      <c r="BD38" s="133">
        <f t="shared" si="38"/>
        <v>0</v>
      </c>
      <c r="BE38" s="133">
        <f t="shared" si="38"/>
        <v>0</v>
      </c>
      <c r="BF38" s="133">
        <f t="shared" si="38"/>
        <v>0</v>
      </c>
      <c r="BG38" s="133">
        <f t="shared" si="38"/>
        <v>0</v>
      </c>
      <c r="BH38" s="133">
        <f t="shared" si="38"/>
        <v>0</v>
      </c>
      <c r="BI38" s="133">
        <f t="shared" si="38"/>
        <v>0</v>
      </c>
      <c r="BJ38" s="133">
        <f t="shared" si="38"/>
        <v>0</v>
      </c>
      <c r="BK38" s="133">
        <f t="shared" si="38"/>
        <v>0</v>
      </c>
      <c r="BL38" s="133">
        <f t="shared" si="38"/>
        <v>0</v>
      </c>
      <c r="BM38" s="133">
        <f t="shared" si="38"/>
        <v>0</v>
      </c>
      <c r="BN38" s="133">
        <f t="shared" si="38"/>
        <v>0</v>
      </c>
      <c r="BO38" s="133">
        <f t="shared" ref="BO38:BV38" si="39">+BO16*BO27</f>
        <v>0</v>
      </c>
      <c r="BP38" s="133">
        <f t="shared" si="39"/>
        <v>0</v>
      </c>
      <c r="BQ38" s="133">
        <f t="shared" si="39"/>
        <v>0</v>
      </c>
      <c r="BR38" s="133">
        <f t="shared" si="39"/>
        <v>0</v>
      </c>
      <c r="BS38" s="133">
        <f t="shared" si="39"/>
        <v>0</v>
      </c>
      <c r="BT38" s="133">
        <f t="shared" si="39"/>
        <v>0</v>
      </c>
      <c r="BU38" s="133">
        <f t="shared" si="39"/>
        <v>0</v>
      </c>
      <c r="BV38" s="133">
        <f t="shared" si="39"/>
        <v>0</v>
      </c>
    </row>
    <row r="39" spans="2:74" s="127" customFormat="1" ht="15.75" customHeight="1" outlineLevel="1" thickBot="1" x14ac:dyDescent="0.25">
      <c r="B39" s="126" t="s">
        <v>58</v>
      </c>
      <c r="C39" s="134">
        <f t="shared" ref="C39:AH39" si="40">+C17*C28</f>
        <v>0</v>
      </c>
      <c r="D39" s="135">
        <f t="shared" si="40"/>
        <v>0</v>
      </c>
      <c r="E39" s="135">
        <f t="shared" si="40"/>
        <v>0</v>
      </c>
      <c r="F39" s="135">
        <f t="shared" si="40"/>
        <v>0</v>
      </c>
      <c r="G39" s="135">
        <f t="shared" si="40"/>
        <v>0</v>
      </c>
      <c r="H39" s="135">
        <f t="shared" si="40"/>
        <v>0</v>
      </c>
      <c r="I39" s="135">
        <f t="shared" si="40"/>
        <v>0</v>
      </c>
      <c r="J39" s="135">
        <f t="shared" si="40"/>
        <v>0</v>
      </c>
      <c r="K39" s="135">
        <f t="shared" si="40"/>
        <v>0</v>
      </c>
      <c r="L39" s="135">
        <f t="shared" si="40"/>
        <v>0</v>
      </c>
      <c r="M39" s="135">
        <f t="shared" si="40"/>
        <v>0</v>
      </c>
      <c r="N39" s="135">
        <f t="shared" si="40"/>
        <v>0</v>
      </c>
      <c r="O39" s="135">
        <f t="shared" si="40"/>
        <v>0</v>
      </c>
      <c r="P39" s="135">
        <f t="shared" si="40"/>
        <v>0</v>
      </c>
      <c r="Q39" s="135">
        <f t="shared" si="40"/>
        <v>0</v>
      </c>
      <c r="R39" s="135">
        <f t="shared" si="40"/>
        <v>0</v>
      </c>
      <c r="S39" s="135">
        <f t="shared" si="40"/>
        <v>0</v>
      </c>
      <c r="T39" s="135">
        <f t="shared" si="40"/>
        <v>0</v>
      </c>
      <c r="U39" s="135">
        <f t="shared" si="40"/>
        <v>0</v>
      </c>
      <c r="V39" s="135">
        <f t="shared" si="40"/>
        <v>0</v>
      </c>
      <c r="W39" s="135">
        <f t="shared" si="40"/>
        <v>0</v>
      </c>
      <c r="X39" s="135">
        <f t="shared" si="40"/>
        <v>0</v>
      </c>
      <c r="Y39" s="135">
        <f t="shared" si="40"/>
        <v>0</v>
      </c>
      <c r="Z39" s="135">
        <f t="shared" si="40"/>
        <v>0</v>
      </c>
      <c r="AA39" s="135">
        <f t="shared" si="40"/>
        <v>0</v>
      </c>
      <c r="AB39" s="135">
        <f t="shared" si="40"/>
        <v>0</v>
      </c>
      <c r="AC39" s="135">
        <f t="shared" si="40"/>
        <v>0</v>
      </c>
      <c r="AD39" s="135">
        <f t="shared" si="40"/>
        <v>0</v>
      </c>
      <c r="AE39" s="135">
        <f t="shared" si="40"/>
        <v>0</v>
      </c>
      <c r="AF39" s="135">
        <f t="shared" si="40"/>
        <v>0</v>
      </c>
      <c r="AG39" s="135">
        <f t="shared" si="40"/>
        <v>0</v>
      </c>
      <c r="AH39" s="135">
        <f t="shared" si="40"/>
        <v>0</v>
      </c>
      <c r="AI39" s="135">
        <f t="shared" ref="AI39:BN39" si="41">+AI17*AI28</f>
        <v>0</v>
      </c>
      <c r="AJ39" s="135">
        <f t="shared" si="41"/>
        <v>0</v>
      </c>
      <c r="AK39" s="135">
        <f t="shared" si="41"/>
        <v>0</v>
      </c>
      <c r="AL39" s="135">
        <f t="shared" si="41"/>
        <v>0</v>
      </c>
      <c r="AM39" s="135">
        <f t="shared" si="41"/>
        <v>0</v>
      </c>
      <c r="AN39" s="135">
        <f t="shared" si="41"/>
        <v>0</v>
      </c>
      <c r="AO39" s="135">
        <f t="shared" si="41"/>
        <v>0</v>
      </c>
      <c r="AP39" s="135">
        <f t="shared" si="41"/>
        <v>0</v>
      </c>
      <c r="AQ39" s="135">
        <f t="shared" si="41"/>
        <v>0</v>
      </c>
      <c r="AR39" s="135">
        <f t="shared" si="41"/>
        <v>0</v>
      </c>
      <c r="AS39" s="135">
        <f t="shared" si="41"/>
        <v>0</v>
      </c>
      <c r="AT39" s="135">
        <f t="shared" si="41"/>
        <v>0</v>
      </c>
      <c r="AU39" s="135">
        <f t="shared" si="41"/>
        <v>0</v>
      </c>
      <c r="AV39" s="135">
        <f t="shared" si="41"/>
        <v>0</v>
      </c>
      <c r="AW39" s="135">
        <f t="shared" si="41"/>
        <v>0</v>
      </c>
      <c r="AX39" s="135">
        <f t="shared" si="41"/>
        <v>0</v>
      </c>
      <c r="AY39" s="135">
        <f t="shared" si="41"/>
        <v>0</v>
      </c>
      <c r="AZ39" s="135">
        <f t="shared" si="41"/>
        <v>0</v>
      </c>
      <c r="BA39" s="135">
        <f t="shared" si="41"/>
        <v>0</v>
      </c>
      <c r="BB39" s="135">
        <f t="shared" si="41"/>
        <v>0</v>
      </c>
      <c r="BC39" s="135">
        <f t="shared" si="41"/>
        <v>0</v>
      </c>
      <c r="BD39" s="135">
        <f t="shared" si="41"/>
        <v>0</v>
      </c>
      <c r="BE39" s="135">
        <f t="shared" si="41"/>
        <v>0</v>
      </c>
      <c r="BF39" s="135">
        <f t="shared" si="41"/>
        <v>0</v>
      </c>
      <c r="BG39" s="135">
        <f t="shared" si="41"/>
        <v>0</v>
      </c>
      <c r="BH39" s="135">
        <f t="shared" si="41"/>
        <v>0</v>
      </c>
      <c r="BI39" s="135">
        <f t="shared" si="41"/>
        <v>0</v>
      </c>
      <c r="BJ39" s="135">
        <f t="shared" si="41"/>
        <v>0</v>
      </c>
      <c r="BK39" s="135">
        <f t="shared" si="41"/>
        <v>0</v>
      </c>
      <c r="BL39" s="135">
        <f t="shared" si="41"/>
        <v>0</v>
      </c>
      <c r="BM39" s="135">
        <f t="shared" si="41"/>
        <v>0</v>
      </c>
      <c r="BN39" s="135">
        <f t="shared" si="41"/>
        <v>0</v>
      </c>
      <c r="BO39" s="135">
        <f t="shared" ref="BO39:BV39" si="42">+BO17*BO28</f>
        <v>0</v>
      </c>
      <c r="BP39" s="135">
        <f t="shared" si="42"/>
        <v>0</v>
      </c>
      <c r="BQ39" s="135">
        <f t="shared" si="42"/>
        <v>0</v>
      </c>
      <c r="BR39" s="135">
        <f t="shared" si="42"/>
        <v>0</v>
      </c>
      <c r="BS39" s="135">
        <f t="shared" si="42"/>
        <v>0</v>
      </c>
      <c r="BT39" s="135">
        <f t="shared" si="42"/>
        <v>0</v>
      </c>
      <c r="BU39" s="135">
        <f t="shared" si="42"/>
        <v>0</v>
      </c>
      <c r="BV39" s="135">
        <f t="shared" si="42"/>
        <v>0</v>
      </c>
    </row>
    <row r="40" spans="2:74" s="125" customFormat="1" ht="15.75" customHeight="1" thickBot="1" x14ac:dyDescent="0.25">
      <c r="B40" s="129" t="s">
        <v>78</v>
      </c>
      <c r="C40" s="98">
        <f t="shared" ref="C40:AH40" si="43">+IFERROR(SUMPRODUCT(C41:C49,C9:C17)/SUM(C9:C17),0)</f>
        <v>9.5238095238095233E-2</v>
      </c>
      <c r="D40" s="98">
        <f t="shared" si="43"/>
        <v>9.5022624434389136E-2</v>
      </c>
      <c r="E40" s="98">
        <f t="shared" si="43"/>
        <v>9.4797936371453145E-2</v>
      </c>
      <c r="F40" s="98">
        <f t="shared" si="43"/>
        <v>9.4563685747544271E-2</v>
      </c>
      <c r="G40" s="98">
        <f t="shared" si="43"/>
        <v>9.4319518821613463E-2</v>
      </c>
      <c r="H40" s="98">
        <f t="shared" si="43"/>
        <v>9.4065073640490451E-2</v>
      </c>
      <c r="I40" s="98">
        <f t="shared" si="43"/>
        <v>9.379998031872136E-2</v>
      </c>
      <c r="J40" s="98">
        <f t="shared" si="43"/>
        <v>9.3523861375294684E-2</v>
      </c>
      <c r="K40" s="98">
        <f t="shared" si="43"/>
        <v>9.3236332131607383E-2</v>
      </c>
      <c r="L40" s="98">
        <f t="shared" si="43"/>
        <v>9.2937001175115524E-2</v>
      </c>
      <c r="M40" s="98">
        <f t="shared" si="43"/>
        <v>0.11474905821364791</v>
      </c>
      <c r="N40" s="98">
        <f t="shared" si="43"/>
        <v>9.2301338081613366E-2</v>
      </c>
      <c r="O40" s="98">
        <f t="shared" si="43"/>
        <v>9.1964194632531193E-2</v>
      </c>
      <c r="P40" s="98">
        <f t="shared" si="43"/>
        <v>9.1613628305829628E-2</v>
      </c>
      <c r="Q40" s="98">
        <f t="shared" si="43"/>
        <v>9.1249223588772535E-2</v>
      </c>
      <c r="R40" s="98">
        <f t="shared" si="43"/>
        <v>9.0870562647775793E-2</v>
      </c>
      <c r="S40" s="98">
        <f t="shared" si="43"/>
        <v>9.047722637634445E-2</v>
      </c>
      <c r="T40" s="98">
        <f t="shared" si="43"/>
        <v>9.006879554276867E-2</v>
      </c>
      <c r="U40" s="98">
        <f t="shared" si="43"/>
        <v>8.9644852040789952E-2</v>
      </c>
      <c r="V40" s="98">
        <f t="shared" si="43"/>
        <v>8.9204980245958854E-2</v>
      </c>
      <c r="W40" s="98">
        <f t="shared" si="43"/>
        <v>8.874876847982241E-2</v>
      </c>
      <c r="X40" s="98">
        <f t="shared" si="43"/>
        <v>8.8275810583391429E-2</v>
      </c>
      <c r="Y40" s="98">
        <f t="shared" si="43"/>
        <v>0.1244285847989122</v>
      </c>
      <c r="Z40" s="98">
        <f t="shared" si="43"/>
        <v>8.7278069571114544E-2</v>
      </c>
      <c r="AA40" s="98">
        <f t="shared" si="43"/>
        <v>8.6752517432397563E-2</v>
      </c>
      <c r="AB40" s="98">
        <f t="shared" si="43"/>
        <v>8.6208685026651632E-2</v>
      </c>
      <c r="AC40" s="98">
        <f t="shared" si="43"/>
        <v>8.5646221210938706E-2</v>
      </c>
      <c r="AD40" s="98">
        <f t="shared" si="43"/>
        <v>8.5064792064258765E-2</v>
      </c>
      <c r="AE40" s="98">
        <f t="shared" si="43"/>
        <v>8.4464083185460379E-2</v>
      </c>
      <c r="AF40" s="98">
        <f t="shared" si="43"/>
        <v>8.3843802073825316E-2</v>
      </c>
      <c r="AG40" s="98">
        <f t="shared" si="43"/>
        <v>8.3203680582550107E-2</v>
      </c>
      <c r="AH40" s="98">
        <f t="shared" si="43"/>
        <v>8.2543477433596885E-2</v>
      </c>
      <c r="AI40" s="98">
        <f t="shared" ref="AI40:BN40" si="44">+IFERROR(SUMPRODUCT(AI41:AI49,AI9:AI17)/SUM(AI9:AI17),0)</f>
        <v>8.1862980780573524E-2</v>
      </c>
      <c r="AJ40" s="98">
        <f t="shared" si="44"/>
        <v>8.116201080445555E-2</v>
      </c>
      <c r="AK40" s="98">
        <f t="shared" si="44"/>
        <v>8.0440422325100666E-2</v>
      </c>
      <c r="AL40" s="98">
        <f t="shared" si="44"/>
        <v>7.9698107409661739E-2</v>
      </c>
      <c r="AM40" s="98">
        <f t="shared" si="44"/>
        <v>7.8934997957211317E-2</v>
      </c>
      <c r="AN40" s="98">
        <f t="shared" si="44"/>
        <v>7.8151068237181626E-2</v>
      </c>
      <c r="AO40" s="98">
        <f t="shared" si="44"/>
        <v>7.7346337357643014E-2</v>
      </c>
      <c r="AP40" s="98">
        <f t="shared" si="44"/>
        <v>7.6520871638030147E-2</v>
      </c>
      <c r="AQ40" s="98">
        <f t="shared" si="44"/>
        <v>7.5674786859723397E-2</v>
      </c>
      <c r="AR40" s="98">
        <f t="shared" si="44"/>
        <v>7.4808250366948548E-2</v>
      </c>
      <c r="AS40" s="98">
        <f t="shared" si="44"/>
        <v>7.3921482989813658E-2</v>
      </c>
      <c r="AT40" s="98">
        <f t="shared" si="44"/>
        <v>7.3014760761003883E-2</v>
      </c>
      <c r="AU40" s="98">
        <f t="shared" si="44"/>
        <v>7.2088416397740371E-2</v>
      </c>
      <c r="AV40" s="98">
        <f t="shared" si="44"/>
        <v>7.1142840521117801E-2</v>
      </c>
      <c r="AW40" s="98">
        <f t="shared" si="44"/>
        <v>7.0178482585895346E-2</v>
      </c>
      <c r="AX40" s="98">
        <f t="shared" si="44"/>
        <v>6.919585149525273E-2</v>
      </c>
      <c r="AY40" s="98">
        <f t="shared" si="44"/>
        <v>6.8195515876952023E-2</v>
      </c>
      <c r="AZ40" s="98">
        <f t="shared" si="44"/>
        <v>6.7178103999772393E-2</v>
      </c>
      <c r="BA40" s="98">
        <f t="shared" si="44"/>
        <v>6.6144303312003772E-2</v>
      </c>
      <c r="BB40" s="98">
        <f t="shared" si="44"/>
        <v>6.5094859587179366E-2</v>
      </c>
      <c r="BC40" s="98">
        <f t="shared" si="44"/>
        <v>6.4030575666066139E-2</v>
      </c>
      <c r="BD40" s="98">
        <f t="shared" si="44"/>
        <v>6.2952309788174662E-2</v>
      </c>
      <c r="BE40" s="98">
        <f t="shared" si="44"/>
        <v>6.1860973510639364E-2</v>
      </c>
      <c r="BF40" s="98">
        <f t="shared" si="44"/>
        <v>6.0757529217190541E-2</v>
      </c>
      <c r="BG40" s="98">
        <f t="shared" si="44"/>
        <v>5.9642987225011032E-2</v>
      </c>
      <c r="BH40" s="98">
        <f t="shared" si="44"/>
        <v>5.8518402502456934E-2</v>
      </c>
      <c r="BI40" s="98">
        <f t="shared" si="44"/>
        <v>5.7384871015825074E-2</v>
      </c>
      <c r="BJ40" s="98">
        <f t="shared" si="44"/>
        <v>5.6243525728471008E-2</v>
      </c>
      <c r="BK40" s="98">
        <f t="shared" si="44"/>
        <v>5.5095532280514566E-2</v>
      </c>
      <c r="BL40" s="98">
        <f t="shared" si="44"/>
        <v>5.3942084382012728E-2</v>
      </c>
      <c r="BM40" s="98">
        <f t="shared" si="44"/>
        <v>5.2784398956729289E-2</v>
      </c>
      <c r="BN40" s="98">
        <f t="shared" si="44"/>
        <v>5.1623711077394378E-2</v>
      </c>
      <c r="BO40" s="98">
        <f t="shared" ref="BO40:BV40" si="45">+IFERROR(SUMPRODUCT(BO41:BO49,BO9:BO17)/SUM(BO9:BO17),0)</f>
        <v>5.0461268736537244E-2</v>
      </c>
      <c r="BP40" s="98">
        <f t="shared" si="45"/>
        <v>4.9298327499519679E-2</v>
      </c>
      <c r="BQ40" s="98">
        <f t="shared" si="45"/>
        <v>4.8136145088234321E-2</v>
      </c>
      <c r="BR40" s="98">
        <f t="shared" si="45"/>
        <v>4.697597594501951E-2</v>
      </c>
      <c r="BS40" s="98">
        <f t="shared" si="45"/>
        <v>4.5819065826653231E-2</v>
      </c>
      <c r="BT40" s="98">
        <f t="shared" si="45"/>
        <v>4.4666646477815757E-2</v>
      </c>
      <c r="BU40" s="98">
        <f t="shared" si="45"/>
        <v>4.3519930432166266E-2</v>
      </c>
      <c r="BV40" s="98">
        <f t="shared" si="45"/>
        <v>4.2380105987190692E-2</v>
      </c>
    </row>
    <row r="41" spans="2:74" s="127" customFormat="1" ht="15.75" customHeight="1" outlineLevel="1" x14ac:dyDescent="0.2">
      <c r="B41" s="126" t="s">
        <v>50</v>
      </c>
      <c r="C41" s="63">
        <v>0</v>
      </c>
      <c r="D41" s="64">
        <v>0</v>
      </c>
      <c r="E41" s="65">
        <v>0</v>
      </c>
      <c r="F41" s="65">
        <v>0</v>
      </c>
      <c r="G41" s="65">
        <v>0</v>
      </c>
      <c r="H41" s="65">
        <v>0</v>
      </c>
      <c r="I41" s="65">
        <v>0</v>
      </c>
      <c r="J41" s="65">
        <v>0</v>
      </c>
      <c r="K41" s="65">
        <v>0</v>
      </c>
      <c r="L41" s="65">
        <v>0</v>
      </c>
      <c r="M41" s="65">
        <v>0.3</v>
      </c>
      <c r="N41" s="65">
        <v>0</v>
      </c>
      <c r="O41" s="65">
        <v>0</v>
      </c>
      <c r="P41" s="65">
        <v>0</v>
      </c>
      <c r="Q41" s="65">
        <v>0</v>
      </c>
      <c r="R41" s="65">
        <v>0</v>
      </c>
      <c r="S41" s="65">
        <v>0</v>
      </c>
      <c r="T41" s="65">
        <v>0</v>
      </c>
      <c r="U41" s="65">
        <v>0</v>
      </c>
      <c r="V41" s="65">
        <v>0</v>
      </c>
      <c r="W41" s="65">
        <v>0</v>
      </c>
      <c r="X41" s="65">
        <v>0</v>
      </c>
      <c r="Y41" s="65">
        <v>0.3</v>
      </c>
      <c r="Z41" s="65">
        <v>0</v>
      </c>
      <c r="AA41" s="65">
        <v>0</v>
      </c>
      <c r="AB41" s="65">
        <v>0</v>
      </c>
      <c r="AC41" s="65">
        <v>0</v>
      </c>
      <c r="AD41" s="65">
        <v>0</v>
      </c>
      <c r="AE41" s="65">
        <v>0</v>
      </c>
      <c r="AF41" s="65">
        <v>0</v>
      </c>
      <c r="AG41" s="65">
        <v>0</v>
      </c>
      <c r="AH41" s="65">
        <v>0</v>
      </c>
      <c r="AI41" s="65">
        <v>0</v>
      </c>
      <c r="AJ41" s="65">
        <v>0</v>
      </c>
      <c r="AK41" s="65">
        <v>0</v>
      </c>
      <c r="AL41" s="65">
        <v>0</v>
      </c>
      <c r="AM41" s="65">
        <v>0</v>
      </c>
      <c r="AN41" s="65">
        <v>0</v>
      </c>
      <c r="AO41" s="65">
        <v>0</v>
      </c>
      <c r="AP41" s="65">
        <v>0</v>
      </c>
      <c r="AQ41" s="65">
        <v>0</v>
      </c>
      <c r="AR41" s="65">
        <v>0</v>
      </c>
      <c r="AS41" s="65">
        <v>0</v>
      </c>
      <c r="AT41" s="65">
        <v>0</v>
      </c>
      <c r="AU41" s="65">
        <v>0</v>
      </c>
      <c r="AV41" s="65">
        <v>0</v>
      </c>
      <c r="AW41" s="65">
        <v>0</v>
      </c>
      <c r="AX41" s="65">
        <v>0</v>
      </c>
      <c r="AY41" s="65">
        <v>0</v>
      </c>
      <c r="AZ41" s="65">
        <v>0</v>
      </c>
      <c r="BA41" s="65">
        <v>0</v>
      </c>
      <c r="BB41" s="65">
        <v>0</v>
      </c>
      <c r="BC41" s="65">
        <v>0</v>
      </c>
      <c r="BD41" s="65">
        <v>0</v>
      </c>
      <c r="BE41" s="65">
        <v>0</v>
      </c>
      <c r="BF41" s="65">
        <v>0</v>
      </c>
      <c r="BG41" s="65">
        <v>0</v>
      </c>
      <c r="BH41" s="65">
        <v>0</v>
      </c>
      <c r="BI41" s="65">
        <v>0</v>
      </c>
      <c r="BJ41" s="65">
        <v>0</v>
      </c>
      <c r="BK41" s="65">
        <v>0</v>
      </c>
      <c r="BL41" s="65">
        <v>0</v>
      </c>
      <c r="BM41" s="65">
        <v>0</v>
      </c>
      <c r="BN41" s="65">
        <v>0</v>
      </c>
      <c r="BO41" s="65">
        <v>0</v>
      </c>
      <c r="BP41" s="65">
        <v>0</v>
      </c>
      <c r="BQ41" s="65">
        <v>0</v>
      </c>
      <c r="BR41" s="65">
        <v>0</v>
      </c>
      <c r="BS41" s="65">
        <v>0</v>
      </c>
      <c r="BT41" s="65">
        <v>0</v>
      </c>
      <c r="BU41" s="65">
        <v>0</v>
      </c>
      <c r="BV41" s="65">
        <v>0</v>
      </c>
    </row>
    <row r="42" spans="2:74" s="127" customFormat="1" ht="15.75" customHeight="1" outlineLevel="1" x14ac:dyDescent="0.2">
      <c r="B42" s="126" t="s">
        <v>51</v>
      </c>
      <c r="C42" s="66">
        <v>0</v>
      </c>
      <c r="D42" s="67">
        <v>0</v>
      </c>
      <c r="E42" s="68">
        <v>0</v>
      </c>
      <c r="F42" s="68">
        <v>0</v>
      </c>
      <c r="G42" s="68">
        <v>0</v>
      </c>
      <c r="H42" s="68">
        <v>0</v>
      </c>
      <c r="I42" s="68">
        <v>0</v>
      </c>
      <c r="J42" s="68">
        <v>0</v>
      </c>
      <c r="K42" s="68">
        <v>0</v>
      </c>
      <c r="L42" s="68">
        <v>0</v>
      </c>
      <c r="M42" s="68">
        <v>0</v>
      </c>
      <c r="N42" s="68">
        <v>0</v>
      </c>
      <c r="O42" s="68">
        <v>0</v>
      </c>
      <c r="P42" s="68">
        <v>0</v>
      </c>
      <c r="Q42" s="68">
        <v>0</v>
      </c>
      <c r="R42" s="68">
        <v>0</v>
      </c>
      <c r="S42" s="68">
        <v>0</v>
      </c>
      <c r="T42" s="68">
        <v>0</v>
      </c>
      <c r="U42" s="68">
        <v>0</v>
      </c>
      <c r="V42" s="68">
        <v>0</v>
      </c>
      <c r="W42" s="68">
        <v>0</v>
      </c>
      <c r="X42" s="68">
        <v>0</v>
      </c>
      <c r="Y42" s="68">
        <v>0</v>
      </c>
      <c r="Z42" s="68">
        <v>0</v>
      </c>
      <c r="AA42" s="68">
        <v>0</v>
      </c>
      <c r="AB42" s="68">
        <v>0</v>
      </c>
      <c r="AC42" s="68">
        <v>0</v>
      </c>
      <c r="AD42" s="68">
        <v>0</v>
      </c>
      <c r="AE42" s="68">
        <v>0</v>
      </c>
      <c r="AF42" s="68">
        <v>0</v>
      </c>
      <c r="AG42" s="68">
        <v>0</v>
      </c>
      <c r="AH42" s="68">
        <v>0</v>
      </c>
      <c r="AI42" s="68">
        <v>0</v>
      </c>
      <c r="AJ42" s="68">
        <v>0</v>
      </c>
      <c r="AK42" s="68">
        <v>0</v>
      </c>
      <c r="AL42" s="68">
        <v>0</v>
      </c>
      <c r="AM42" s="68">
        <v>0</v>
      </c>
      <c r="AN42" s="68">
        <v>0</v>
      </c>
      <c r="AO42" s="68">
        <v>0</v>
      </c>
      <c r="AP42" s="68">
        <v>0</v>
      </c>
      <c r="AQ42" s="68">
        <v>0</v>
      </c>
      <c r="AR42" s="68">
        <v>0</v>
      </c>
      <c r="AS42" s="68">
        <v>0</v>
      </c>
      <c r="AT42" s="68">
        <v>0</v>
      </c>
      <c r="AU42" s="68">
        <v>0</v>
      </c>
      <c r="AV42" s="68">
        <v>0</v>
      </c>
      <c r="AW42" s="68">
        <v>0</v>
      </c>
      <c r="AX42" s="68">
        <v>0</v>
      </c>
      <c r="AY42" s="68">
        <v>0</v>
      </c>
      <c r="AZ42" s="68">
        <v>0</v>
      </c>
      <c r="BA42" s="68">
        <v>0</v>
      </c>
      <c r="BB42" s="68">
        <v>0</v>
      </c>
      <c r="BC42" s="68">
        <v>0</v>
      </c>
      <c r="BD42" s="68">
        <v>0</v>
      </c>
      <c r="BE42" s="68">
        <v>0</v>
      </c>
      <c r="BF42" s="68">
        <v>0</v>
      </c>
      <c r="BG42" s="68">
        <v>0</v>
      </c>
      <c r="BH42" s="68">
        <v>0</v>
      </c>
      <c r="BI42" s="68">
        <v>0</v>
      </c>
      <c r="BJ42" s="68">
        <v>0</v>
      </c>
      <c r="BK42" s="68">
        <v>0</v>
      </c>
      <c r="BL42" s="68">
        <v>0</v>
      </c>
      <c r="BM42" s="68">
        <v>0</v>
      </c>
      <c r="BN42" s="68">
        <v>0</v>
      </c>
      <c r="BO42" s="68">
        <v>0</v>
      </c>
      <c r="BP42" s="68">
        <v>0</v>
      </c>
      <c r="BQ42" s="68">
        <v>0</v>
      </c>
      <c r="BR42" s="68">
        <v>0</v>
      </c>
      <c r="BS42" s="68">
        <v>0</v>
      </c>
      <c r="BT42" s="68">
        <v>0</v>
      </c>
      <c r="BU42" s="68">
        <v>0</v>
      </c>
      <c r="BV42" s="68">
        <v>0</v>
      </c>
    </row>
    <row r="43" spans="2:74" s="127" customFormat="1" ht="15.75" customHeight="1" outlineLevel="1" x14ac:dyDescent="0.2">
      <c r="B43" s="126" t="s">
        <v>52</v>
      </c>
      <c r="C43" s="66">
        <v>0</v>
      </c>
      <c r="D43" s="67">
        <v>0</v>
      </c>
      <c r="E43" s="68">
        <v>0</v>
      </c>
      <c r="F43" s="68">
        <v>0</v>
      </c>
      <c r="G43" s="68">
        <v>0</v>
      </c>
      <c r="H43" s="68">
        <v>0</v>
      </c>
      <c r="I43" s="68">
        <v>0</v>
      </c>
      <c r="J43" s="68">
        <v>0</v>
      </c>
      <c r="K43" s="68">
        <v>0</v>
      </c>
      <c r="L43" s="68">
        <v>0</v>
      </c>
      <c r="M43" s="68">
        <v>0</v>
      </c>
      <c r="N43" s="68">
        <v>0</v>
      </c>
      <c r="O43" s="68">
        <v>0</v>
      </c>
      <c r="P43" s="68">
        <v>0</v>
      </c>
      <c r="Q43" s="68">
        <v>0</v>
      </c>
      <c r="R43" s="68">
        <v>0</v>
      </c>
      <c r="S43" s="68">
        <v>0</v>
      </c>
      <c r="T43" s="68">
        <v>0</v>
      </c>
      <c r="U43" s="68">
        <v>0</v>
      </c>
      <c r="V43" s="68">
        <v>0</v>
      </c>
      <c r="W43" s="68">
        <v>0</v>
      </c>
      <c r="X43" s="68">
        <v>0</v>
      </c>
      <c r="Y43" s="68">
        <v>0</v>
      </c>
      <c r="Z43" s="68">
        <v>0</v>
      </c>
      <c r="AA43" s="68">
        <v>0</v>
      </c>
      <c r="AB43" s="68">
        <v>0</v>
      </c>
      <c r="AC43" s="68">
        <v>0</v>
      </c>
      <c r="AD43" s="68">
        <v>0</v>
      </c>
      <c r="AE43" s="68">
        <v>0</v>
      </c>
      <c r="AF43" s="68">
        <v>0</v>
      </c>
      <c r="AG43" s="68">
        <v>0</v>
      </c>
      <c r="AH43" s="68">
        <v>0</v>
      </c>
      <c r="AI43" s="68">
        <v>0</v>
      </c>
      <c r="AJ43" s="68">
        <v>0</v>
      </c>
      <c r="AK43" s="68">
        <v>0</v>
      </c>
      <c r="AL43" s="68">
        <v>0</v>
      </c>
      <c r="AM43" s="68">
        <v>0</v>
      </c>
      <c r="AN43" s="68">
        <v>0</v>
      </c>
      <c r="AO43" s="68">
        <v>0</v>
      </c>
      <c r="AP43" s="68">
        <v>0</v>
      </c>
      <c r="AQ43" s="68">
        <v>0</v>
      </c>
      <c r="AR43" s="68">
        <v>0</v>
      </c>
      <c r="AS43" s="68">
        <v>0</v>
      </c>
      <c r="AT43" s="68">
        <v>0</v>
      </c>
      <c r="AU43" s="68">
        <v>0</v>
      </c>
      <c r="AV43" s="68">
        <v>0</v>
      </c>
      <c r="AW43" s="68">
        <v>0</v>
      </c>
      <c r="AX43" s="68">
        <v>0</v>
      </c>
      <c r="AY43" s="68">
        <v>0</v>
      </c>
      <c r="AZ43" s="68">
        <v>0</v>
      </c>
      <c r="BA43" s="68">
        <v>0</v>
      </c>
      <c r="BB43" s="68">
        <v>0</v>
      </c>
      <c r="BC43" s="68">
        <v>0</v>
      </c>
      <c r="BD43" s="68">
        <v>0</v>
      </c>
      <c r="BE43" s="68">
        <v>0</v>
      </c>
      <c r="BF43" s="68">
        <v>0</v>
      </c>
      <c r="BG43" s="68">
        <v>0</v>
      </c>
      <c r="BH43" s="68">
        <v>0</v>
      </c>
      <c r="BI43" s="68">
        <v>0</v>
      </c>
      <c r="BJ43" s="68">
        <v>0</v>
      </c>
      <c r="BK43" s="68">
        <v>0</v>
      </c>
      <c r="BL43" s="68">
        <v>0</v>
      </c>
      <c r="BM43" s="68">
        <v>0</v>
      </c>
      <c r="BN43" s="68">
        <v>0</v>
      </c>
      <c r="BO43" s="68">
        <v>0</v>
      </c>
      <c r="BP43" s="68">
        <v>0</v>
      </c>
      <c r="BQ43" s="68">
        <v>0</v>
      </c>
      <c r="BR43" s="68">
        <v>0</v>
      </c>
      <c r="BS43" s="68">
        <v>0</v>
      </c>
      <c r="BT43" s="68">
        <v>0</v>
      </c>
      <c r="BU43" s="68">
        <v>0</v>
      </c>
      <c r="BV43" s="68">
        <v>0</v>
      </c>
    </row>
    <row r="44" spans="2:74" s="127" customFormat="1" ht="15.75" customHeight="1" outlineLevel="1" x14ac:dyDescent="0.2">
      <c r="B44" s="126" t="s">
        <v>53</v>
      </c>
      <c r="C44" s="66">
        <v>0</v>
      </c>
      <c r="D44" s="67">
        <v>0</v>
      </c>
      <c r="E44" s="68">
        <v>0</v>
      </c>
      <c r="F44" s="68">
        <v>0</v>
      </c>
      <c r="G44" s="68">
        <v>0</v>
      </c>
      <c r="H44" s="68">
        <v>0</v>
      </c>
      <c r="I44" s="68">
        <v>0</v>
      </c>
      <c r="J44" s="68">
        <v>0</v>
      </c>
      <c r="K44" s="68">
        <v>0</v>
      </c>
      <c r="L44" s="68">
        <v>0</v>
      </c>
      <c r="M44" s="68">
        <v>0</v>
      </c>
      <c r="N44" s="68">
        <v>0</v>
      </c>
      <c r="O44" s="68">
        <v>0</v>
      </c>
      <c r="P44" s="68">
        <v>0</v>
      </c>
      <c r="Q44" s="68">
        <v>0</v>
      </c>
      <c r="R44" s="68">
        <v>0</v>
      </c>
      <c r="S44" s="68">
        <v>0</v>
      </c>
      <c r="T44" s="68">
        <v>0</v>
      </c>
      <c r="U44" s="68">
        <v>0</v>
      </c>
      <c r="V44" s="68">
        <v>0</v>
      </c>
      <c r="W44" s="68">
        <v>0</v>
      </c>
      <c r="X44" s="68">
        <v>0</v>
      </c>
      <c r="Y44" s="68">
        <v>0</v>
      </c>
      <c r="Z44" s="68">
        <v>0</v>
      </c>
      <c r="AA44" s="68">
        <v>0</v>
      </c>
      <c r="AB44" s="68">
        <v>0</v>
      </c>
      <c r="AC44" s="68">
        <v>0</v>
      </c>
      <c r="AD44" s="68">
        <v>0</v>
      </c>
      <c r="AE44" s="68">
        <v>0</v>
      </c>
      <c r="AF44" s="68">
        <v>0</v>
      </c>
      <c r="AG44" s="68">
        <v>0</v>
      </c>
      <c r="AH44" s="68">
        <v>0</v>
      </c>
      <c r="AI44" s="68">
        <v>0</v>
      </c>
      <c r="AJ44" s="68">
        <v>0</v>
      </c>
      <c r="AK44" s="68">
        <v>0</v>
      </c>
      <c r="AL44" s="68">
        <v>0</v>
      </c>
      <c r="AM44" s="68">
        <v>0</v>
      </c>
      <c r="AN44" s="68">
        <v>0</v>
      </c>
      <c r="AO44" s="68">
        <v>0</v>
      </c>
      <c r="AP44" s="68">
        <v>0</v>
      </c>
      <c r="AQ44" s="68">
        <v>0</v>
      </c>
      <c r="AR44" s="68">
        <v>0</v>
      </c>
      <c r="AS44" s="68">
        <v>0</v>
      </c>
      <c r="AT44" s="68">
        <v>0</v>
      </c>
      <c r="AU44" s="68">
        <v>0</v>
      </c>
      <c r="AV44" s="68">
        <v>0</v>
      </c>
      <c r="AW44" s="68">
        <v>0</v>
      </c>
      <c r="AX44" s="68">
        <v>0</v>
      </c>
      <c r="AY44" s="68">
        <v>0</v>
      </c>
      <c r="AZ44" s="68">
        <v>0</v>
      </c>
      <c r="BA44" s="68">
        <v>0</v>
      </c>
      <c r="BB44" s="68">
        <v>0</v>
      </c>
      <c r="BC44" s="68">
        <v>0</v>
      </c>
      <c r="BD44" s="68">
        <v>0</v>
      </c>
      <c r="BE44" s="68">
        <v>0</v>
      </c>
      <c r="BF44" s="68">
        <v>0</v>
      </c>
      <c r="BG44" s="68">
        <v>0</v>
      </c>
      <c r="BH44" s="68">
        <v>0</v>
      </c>
      <c r="BI44" s="68">
        <v>0</v>
      </c>
      <c r="BJ44" s="68">
        <v>0</v>
      </c>
      <c r="BK44" s="68">
        <v>0</v>
      </c>
      <c r="BL44" s="68">
        <v>0</v>
      </c>
      <c r="BM44" s="68">
        <v>0</v>
      </c>
      <c r="BN44" s="68">
        <v>0</v>
      </c>
      <c r="BO44" s="68">
        <v>0</v>
      </c>
      <c r="BP44" s="68">
        <v>0</v>
      </c>
      <c r="BQ44" s="68">
        <v>0</v>
      </c>
      <c r="BR44" s="68">
        <v>0</v>
      </c>
      <c r="BS44" s="68">
        <v>0</v>
      </c>
      <c r="BT44" s="68">
        <v>0</v>
      </c>
      <c r="BU44" s="68">
        <v>0</v>
      </c>
      <c r="BV44" s="68">
        <v>0</v>
      </c>
    </row>
    <row r="45" spans="2:74" s="127" customFormat="1" ht="15.75" customHeight="1" outlineLevel="1" x14ac:dyDescent="0.2">
      <c r="B45" s="126" t="s">
        <v>54</v>
      </c>
      <c r="C45" s="66">
        <v>0.1</v>
      </c>
      <c r="D45" s="67">
        <v>0.1</v>
      </c>
      <c r="E45" s="68">
        <v>0.1</v>
      </c>
      <c r="F45" s="68">
        <v>0.1</v>
      </c>
      <c r="G45" s="68">
        <v>0.1</v>
      </c>
      <c r="H45" s="68">
        <v>0.1</v>
      </c>
      <c r="I45" s="68">
        <v>0.1</v>
      </c>
      <c r="J45" s="68">
        <v>0.1</v>
      </c>
      <c r="K45" s="68">
        <v>0.1</v>
      </c>
      <c r="L45" s="68">
        <v>0.1</v>
      </c>
      <c r="M45" s="68">
        <v>0.1</v>
      </c>
      <c r="N45" s="68">
        <v>0.1</v>
      </c>
      <c r="O45" s="68">
        <v>0.1</v>
      </c>
      <c r="P45" s="68">
        <v>0.1</v>
      </c>
      <c r="Q45" s="68">
        <v>0.1</v>
      </c>
      <c r="R45" s="68">
        <v>0.1</v>
      </c>
      <c r="S45" s="68">
        <v>0.1</v>
      </c>
      <c r="T45" s="68">
        <v>0.1</v>
      </c>
      <c r="U45" s="68">
        <v>0.1</v>
      </c>
      <c r="V45" s="68">
        <v>0.1</v>
      </c>
      <c r="W45" s="68">
        <v>0.1</v>
      </c>
      <c r="X45" s="68">
        <v>0.1</v>
      </c>
      <c r="Y45" s="68">
        <v>0.1</v>
      </c>
      <c r="Z45" s="68">
        <v>0.1</v>
      </c>
      <c r="AA45" s="68">
        <v>0.1</v>
      </c>
      <c r="AB45" s="68">
        <v>0.1</v>
      </c>
      <c r="AC45" s="68">
        <v>0.1</v>
      </c>
      <c r="AD45" s="68">
        <v>0.1</v>
      </c>
      <c r="AE45" s="68">
        <v>0.1</v>
      </c>
      <c r="AF45" s="68">
        <v>0.1</v>
      </c>
      <c r="AG45" s="68">
        <v>0.1</v>
      </c>
      <c r="AH45" s="68">
        <v>0.1</v>
      </c>
      <c r="AI45" s="68">
        <v>0.1</v>
      </c>
      <c r="AJ45" s="68">
        <v>0.1</v>
      </c>
      <c r="AK45" s="68">
        <v>0.1</v>
      </c>
      <c r="AL45" s="68">
        <v>0.1</v>
      </c>
      <c r="AM45" s="68">
        <v>0.1</v>
      </c>
      <c r="AN45" s="68">
        <v>0.1</v>
      </c>
      <c r="AO45" s="68">
        <v>0.1</v>
      </c>
      <c r="AP45" s="68">
        <v>0.1</v>
      </c>
      <c r="AQ45" s="68">
        <v>0.1</v>
      </c>
      <c r="AR45" s="68">
        <v>0.1</v>
      </c>
      <c r="AS45" s="68">
        <v>0.1</v>
      </c>
      <c r="AT45" s="68">
        <v>0.1</v>
      </c>
      <c r="AU45" s="68">
        <v>0.1</v>
      </c>
      <c r="AV45" s="68">
        <v>0.1</v>
      </c>
      <c r="AW45" s="68">
        <v>0.1</v>
      </c>
      <c r="AX45" s="68">
        <v>0.1</v>
      </c>
      <c r="AY45" s="68">
        <v>0.1</v>
      </c>
      <c r="AZ45" s="68">
        <v>0.1</v>
      </c>
      <c r="BA45" s="68">
        <v>0.1</v>
      </c>
      <c r="BB45" s="68">
        <v>0.1</v>
      </c>
      <c r="BC45" s="68">
        <v>0.1</v>
      </c>
      <c r="BD45" s="68">
        <v>0.1</v>
      </c>
      <c r="BE45" s="68">
        <v>0.1</v>
      </c>
      <c r="BF45" s="68">
        <v>0.1</v>
      </c>
      <c r="BG45" s="68">
        <v>0.1</v>
      </c>
      <c r="BH45" s="68">
        <v>0.1</v>
      </c>
      <c r="BI45" s="68">
        <v>0.1</v>
      </c>
      <c r="BJ45" s="68">
        <v>0.1</v>
      </c>
      <c r="BK45" s="68">
        <v>0.1</v>
      </c>
      <c r="BL45" s="68">
        <v>0.1</v>
      </c>
      <c r="BM45" s="68">
        <v>0.1</v>
      </c>
      <c r="BN45" s="68">
        <v>0.1</v>
      </c>
      <c r="BO45" s="68">
        <v>0.1</v>
      </c>
      <c r="BP45" s="68">
        <v>0.1</v>
      </c>
      <c r="BQ45" s="68">
        <v>0.1</v>
      </c>
      <c r="BR45" s="68">
        <v>0.1</v>
      </c>
      <c r="BS45" s="68">
        <v>0.1</v>
      </c>
      <c r="BT45" s="68">
        <v>0.1</v>
      </c>
      <c r="BU45" s="68">
        <v>0.1</v>
      </c>
      <c r="BV45" s="68">
        <v>0.1</v>
      </c>
    </row>
    <row r="46" spans="2:74" s="127" customFormat="1" ht="15.75" customHeight="1" outlineLevel="1" x14ac:dyDescent="0.2">
      <c r="B46" s="126" t="s">
        <v>55</v>
      </c>
      <c r="C46" s="66"/>
      <c r="D46" s="67"/>
      <c r="E46" s="68"/>
      <c r="F46" s="68"/>
      <c r="G46" s="68"/>
      <c r="H46" s="68"/>
      <c r="I46" s="68"/>
      <c r="J46" s="68"/>
      <c r="K46" s="68"/>
      <c r="L46" s="68"/>
      <c r="M46" s="68"/>
      <c r="N46" s="68"/>
      <c r="O46" s="68"/>
      <c r="P46" s="68"/>
      <c r="Q46" s="68"/>
      <c r="R46" s="68"/>
      <c r="S46" s="68"/>
      <c r="T46" s="68"/>
      <c r="U46" s="68"/>
      <c r="V46" s="68"/>
      <c r="W46" s="68"/>
      <c r="X46" s="68"/>
      <c r="Y46" s="68"/>
      <c r="Z46" s="68"/>
      <c r="AA46" s="68"/>
      <c r="AB46" s="68"/>
      <c r="AC46" s="68"/>
      <c r="AD46" s="68"/>
      <c r="AE46" s="68"/>
      <c r="AF46" s="68"/>
      <c r="AG46" s="68"/>
      <c r="AH46" s="68"/>
      <c r="AI46" s="68"/>
      <c r="AJ46" s="68"/>
      <c r="AK46" s="68"/>
      <c r="AL46" s="68"/>
      <c r="AM46" s="68"/>
      <c r="AN46" s="68"/>
      <c r="AO46" s="68"/>
      <c r="AP46" s="68"/>
      <c r="AQ46" s="68"/>
      <c r="AR46" s="68"/>
      <c r="AS46" s="68"/>
      <c r="AT46" s="68"/>
      <c r="AU46" s="68"/>
      <c r="AV46" s="68"/>
      <c r="AW46" s="68"/>
      <c r="AX46" s="68"/>
      <c r="AY46" s="68"/>
      <c r="AZ46" s="68"/>
      <c r="BA46" s="68"/>
      <c r="BB46" s="68"/>
      <c r="BC46" s="68"/>
      <c r="BD46" s="68"/>
      <c r="BE46" s="68"/>
      <c r="BF46" s="68"/>
      <c r="BG46" s="68"/>
      <c r="BH46" s="68"/>
      <c r="BI46" s="68"/>
      <c r="BJ46" s="68"/>
      <c r="BK46" s="68"/>
      <c r="BL46" s="68"/>
      <c r="BM46" s="68"/>
      <c r="BN46" s="68"/>
      <c r="BO46" s="68"/>
      <c r="BP46" s="68"/>
      <c r="BQ46" s="68"/>
      <c r="BR46" s="68"/>
      <c r="BS46" s="68"/>
      <c r="BT46" s="68"/>
      <c r="BU46" s="68"/>
      <c r="BV46" s="68"/>
    </row>
    <row r="47" spans="2:74" s="127" customFormat="1" ht="15.75" customHeight="1" outlineLevel="1" x14ac:dyDescent="0.2">
      <c r="B47" s="126" t="s">
        <v>56</v>
      </c>
      <c r="C47" s="66"/>
      <c r="D47" s="67"/>
      <c r="E47" s="68"/>
      <c r="F47" s="68"/>
      <c r="G47" s="68"/>
      <c r="H47" s="68"/>
      <c r="I47" s="68"/>
      <c r="J47" s="68"/>
      <c r="K47" s="68"/>
      <c r="L47" s="68"/>
      <c r="M47" s="68"/>
      <c r="N47" s="68"/>
      <c r="O47" s="68"/>
      <c r="P47" s="68"/>
      <c r="Q47" s="68"/>
      <c r="R47" s="68"/>
      <c r="S47" s="68"/>
      <c r="T47" s="68"/>
      <c r="U47" s="68"/>
      <c r="V47" s="68"/>
      <c r="W47" s="68"/>
      <c r="X47" s="68"/>
      <c r="Y47" s="68"/>
      <c r="Z47" s="68"/>
      <c r="AA47" s="68"/>
      <c r="AB47" s="68"/>
      <c r="AC47" s="68"/>
      <c r="AD47" s="68"/>
      <c r="AE47" s="68"/>
      <c r="AF47" s="68"/>
      <c r="AG47" s="68"/>
      <c r="AH47" s="68"/>
      <c r="AI47" s="68"/>
      <c r="AJ47" s="68"/>
      <c r="AK47" s="68"/>
      <c r="AL47" s="68"/>
      <c r="AM47" s="68"/>
      <c r="AN47" s="68"/>
      <c r="AO47" s="68"/>
      <c r="AP47" s="68"/>
      <c r="AQ47" s="68"/>
      <c r="AR47" s="68"/>
      <c r="AS47" s="68"/>
      <c r="AT47" s="68"/>
      <c r="AU47" s="68"/>
      <c r="AV47" s="68"/>
      <c r="AW47" s="68"/>
      <c r="AX47" s="68"/>
      <c r="AY47" s="68"/>
      <c r="AZ47" s="68"/>
      <c r="BA47" s="68"/>
      <c r="BB47" s="68"/>
      <c r="BC47" s="68"/>
      <c r="BD47" s="68"/>
      <c r="BE47" s="68"/>
      <c r="BF47" s="68"/>
      <c r="BG47" s="68"/>
      <c r="BH47" s="68"/>
      <c r="BI47" s="68"/>
      <c r="BJ47" s="68"/>
      <c r="BK47" s="68"/>
      <c r="BL47" s="68"/>
      <c r="BM47" s="68"/>
      <c r="BN47" s="68"/>
      <c r="BO47" s="68"/>
      <c r="BP47" s="68"/>
      <c r="BQ47" s="68"/>
      <c r="BR47" s="68"/>
      <c r="BS47" s="68"/>
      <c r="BT47" s="68"/>
      <c r="BU47" s="68"/>
      <c r="BV47" s="68"/>
    </row>
    <row r="48" spans="2:74" s="127" customFormat="1" ht="15.75" customHeight="1" outlineLevel="1" x14ac:dyDescent="0.2">
      <c r="B48" s="126" t="s">
        <v>57</v>
      </c>
      <c r="C48" s="66"/>
      <c r="D48" s="67"/>
      <c r="E48" s="68"/>
      <c r="F48" s="68"/>
      <c r="G48" s="68"/>
      <c r="H48" s="68"/>
      <c r="I48" s="68"/>
      <c r="J48" s="68"/>
      <c r="K48" s="68"/>
      <c r="L48" s="68"/>
      <c r="M48" s="68"/>
      <c r="N48" s="68"/>
      <c r="O48" s="68"/>
      <c r="P48" s="68"/>
      <c r="Q48" s="68"/>
      <c r="R48" s="68"/>
      <c r="S48" s="68"/>
      <c r="T48" s="68"/>
      <c r="U48" s="68"/>
      <c r="V48" s="68"/>
      <c r="W48" s="68"/>
      <c r="X48" s="68"/>
      <c r="Y48" s="68"/>
      <c r="Z48" s="68"/>
      <c r="AA48" s="68"/>
      <c r="AB48" s="68"/>
      <c r="AC48" s="68"/>
      <c r="AD48" s="68"/>
      <c r="AE48" s="68"/>
      <c r="AF48" s="68"/>
      <c r="AG48" s="68"/>
      <c r="AH48" s="68"/>
      <c r="AI48" s="68"/>
      <c r="AJ48" s="68"/>
      <c r="AK48" s="68"/>
      <c r="AL48" s="68"/>
      <c r="AM48" s="68"/>
      <c r="AN48" s="68"/>
      <c r="AO48" s="68"/>
      <c r="AP48" s="68"/>
      <c r="AQ48" s="68"/>
      <c r="AR48" s="68"/>
      <c r="AS48" s="68"/>
      <c r="AT48" s="68"/>
      <c r="AU48" s="68"/>
      <c r="AV48" s="68"/>
      <c r="AW48" s="68"/>
      <c r="AX48" s="68"/>
      <c r="AY48" s="68"/>
      <c r="AZ48" s="68"/>
      <c r="BA48" s="68"/>
      <c r="BB48" s="68"/>
      <c r="BC48" s="68"/>
      <c r="BD48" s="68"/>
      <c r="BE48" s="68"/>
      <c r="BF48" s="68"/>
      <c r="BG48" s="68"/>
      <c r="BH48" s="68"/>
      <c r="BI48" s="68"/>
      <c r="BJ48" s="68"/>
      <c r="BK48" s="68"/>
      <c r="BL48" s="68"/>
      <c r="BM48" s="68"/>
      <c r="BN48" s="68"/>
      <c r="BO48" s="68"/>
      <c r="BP48" s="68"/>
      <c r="BQ48" s="68"/>
      <c r="BR48" s="68"/>
      <c r="BS48" s="68"/>
      <c r="BT48" s="68"/>
      <c r="BU48" s="68"/>
      <c r="BV48" s="68"/>
    </row>
    <row r="49" spans="2:74" s="127" customFormat="1" ht="15.75" customHeight="1" outlineLevel="1" thickBot="1" x14ac:dyDescent="0.25">
      <c r="B49" s="126" t="s">
        <v>58</v>
      </c>
      <c r="C49" s="69"/>
      <c r="D49" s="70"/>
      <c r="E49" s="71"/>
      <c r="F49" s="71"/>
      <c r="G49" s="71"/>
      <c r="H49" s="71"/>
      <c r="I49" s="71"/>
      <c r="J49" s="71"/>
      <c r="K49" s="71"/>
      <c r="L49" s="71"/>
      <c r="M49" s="71"/>
      <c r="N49" s="71"/>
      <c r="O49" s="71"/>
      <c r="P49" s="71"/>
      <c r="Q49" s="71"/>
      <c r="R49" s="71"/>
      <c r="S49" s="71"/>
      <c r="T49" s="71"/>
      <c r="U49" s="71"/>
      <c r="V49" s="71"/>
      <c r="W49" s="71"/>
      <c r="X49" s="71"/>
      <c r="Y49" s="71"/>
      <c r="Z49" s="71"/>
      <c r="AA49" s="71"/>
      <c r="AB49" s="71"/>
      <c r="AC49" s="71"/>
      <c r="AD49" s="71"/>
      <c r="AE49" s="71"/>
      <c r="AF49" s="71"/>
      <c r="AG49" s="71"/>
      <c r="AH49" s="71"/>
      <c r="AI49" s="71"/>
      <c r="AJ49" s="71"/>
      <c r="AK49" s="71"/>
      <c r="AL49" s="71"/>
      <c r="AM49" s="71"/>
      <c r="AN49" s="71"/>
      <c r="AO49" s="71"/>
      <c r="AP49" s="71"/>
      <c r="AQ49" s="71"/>
      <c r="AR49" s="71"/>
      <c r="AS49" s="71"/>
      <c r="AT49" s="71"/>
      <c r="AU49" s="71"/>
      <c r="AV49" s="71"/>
      <c r="AW49" s="71"/>
      <c r="AX49" s="71"/>
      <c r="AY49" s="71"/>
      <c r="AZ49" s="71"/>
      <c r="BA49" s="71"/>
      <c r="BB49" s="71"/>
      <c r="BC49" s="71"/>
      <c r="BD49" s="71"/>
      <c r="BE49" s="71"/>
      <c r="BF49" s="71"/>
      <c r="BG49" s="71"/>
      <c r="BH49" s="71"/>
      <c r="BI49" s="71"/>
      <c r="BJ49" s="71"/>
      <c r="BK49" s="71"/>
      <c r="BL49" s="71"/>
      <c r="BM49" s="71"/>
      <c r="BN49" s="71"/>
      <c r="BO49" s="71"/>
      <c r="BP49" s="71"/>
      <c r="BQ49" s="71"/>
      <c r="BR49" s="71"/>
      <c r="BS49" s="71"/>
      <c r="BT49" s="71"/>
      <c r="BU49" s="71"/>
      <c r="BV49" s="71"/>
    </row>
    <row r="50" spans="2:74" s="125" customFormat="1" ht="15.75" customHeight="1" x14ac:dyDescent="0.2">
      <c r="B50" s="128" t="s">
        <v>80</v>
      </c>
      <c r="C50" s="99">
        <f t="shared" ref="C50:AH50" si="46">+SUM(C51:C59)</f>
        <v>-5500</v>
      </c>
      <c r="D50" s="99">
        <f t="shared" si="46"/>
        <v>-5775</v>
      </c>
      <c r="E50" s="99">
        <f t="shared" si="46"/>
        <v>-6063.75</v>
      </c>
      <c r="F50" s="99">
        <f t="shared" si="46"/>
        <v>-6366.9375</v>
      </c>
      <c r="G50" s="99">
        <f t="shared" si="46"/>
        <v>-6685.2843750000002</v>
      </c>
      <c r="H50" s="99">
        <f t="shared" si="46"/>
        <v>-7019.5485937500016</v>
      </c>
      <c r="I50" s="99">
        <f t="shared" si="46"/>
        <v>-7370.526023437501</v>
      </c>
      <c r="J50" s="99">
        <f t="shared" si="46"/>
        <v>-7739.0523246093762</v>
      </c>
      <c r="K50" s="99">
        <f t="shared" si="46"/>
        <v>-8126.0049408398454</v>
      </c>
      <c r="L50" s="99">
        <f t="shared" si="46"/>
        <v>-8532.3051878818387</v>
      </c>
      <c r="M50" s="99">
        <f t="shared" si="46"/>
        <v>-12071.411399395931</v>
      </c>
      <c r="N50" s="99">
        <f t="shared" si="46"/>
        <v>-9406.8664696397263</v>
      </c>
      <c r="O50" s="99">
        <f t="shared" si="46"/>
        <v>-9877.209793121714</v>
      </c>
      <c r="P50" s="99">
        <f t="shared" si="46"/>
        <v>-10371.0702827778</v>
      </c>
      <c r="Q50" s="99">
        <f t="shared" si="46"/>
        <v>-10889.62379691669</v>
      </c>
      <c r="R50" s="99">
        <f t="shared" si="46"/>
        <v>-11434.104986762526</v>
      </c>
      <c r="S50" s="99">
        <f t="shared" si="46"/>
        <v>-12005.810236100653</v>
      </c>
      <c r="T50" s="99">
        <f t="shared" si="46"/>
        <v>-12606.100747905686</v>
      </c>
      <c r="U50" s="99">
        <f t="shared" si="46"/>
        <v>-13236.405785300971</v>
      </c>
      <c r="V50" s="99">
        <f t="shared" si="46"/>
        <v>-13898.226074566017</v>
      </c>
      <c r="W50" s="99">
        <f t="shared" si="46"/>
        <v>-14593.137378294321</v>
      </c>
      <c r="X50" s="99">
        <f t="shared" si="46"/>
        <v>-15322.794247209036</v>
      </c>
      <c r="Y50" s="99">
        <f t="shared" si="46"/>
        <v>-25857.263885990273</v>
      </c>
      <c r="Z50" s="99">
        <f t="shared" si="46"/>
        <v>-16893.380657547965</v>
      </c>
      <c r="AA50" s="99">
        <f t="shared" si="46"/>
        <v>-17738.049690425363</v>
      </c>
      <c r="AB50" s="99">
        <f t="shared" si="46"/>
        <v>-18624.952174946633</v>
      </c>
      <c r="AC50" s="99">
        <f t="shared" si="46"/>
        <v>-19556.199783693963</v>
      </c>
      <c r="AD50" s="99">
        <f t="shared" si="46"/>
        <v>-20534.009772878664</v>
      </c>
      <c r="AE50" s="99">
        <f t="shared" si="46"/>
        <v>-21560.710261522596</v>
      </c>
      <c r="AF50" s="99">
        <f t="shared" si="46"/>
        <v>-22638.745774598723</v>
      </c>
      <c r="AG50" s="99">
        <f t="shared" si="46"/>
        <v>-23770.683063328663</v>
      </c>
      <c r="AH50" s="99">
        <f t="shared" si="46"/>
        <v>-24959.217216495097</v>
      </c>
      <c r="AI50" s="99">
        <f t="shared" ref="AI50:BN50" si="47">+SUM(AI51:AI59)</f>
        <v>-26207.178077319855</v>
      </c>
      <c r="AJ50" s="99">
        <f t="shared" si="47"/>
        <v>-27517.536981185847</v>
      </c>
      <c r="AK50" s="99">
        <f t="shared" si="47"/>
        <v>-28893.413830245143</v>
      </c>
      <c r="AL50" s="99">
        <f t="shared" si="47"/>
        <v>-30338.084521757399</v>
      </c>
      <c r="AM50" s="99">
        <f t="shared" si="47"/>
        <v>-31854.988747845273</v>
      </c>
      <c r="AN50" s="99">
        <f t="shared" si="47"/>
        <v>-33447.738185237533</v>
      </c>
      <c r="AO50" s="99">
        <f t="shared" si="47"/>
        <v>-35120.125094499417</v>
      </c>
      <c r="AP50" s="99">
        <f t="shared" si="47"/>
        <v>-36876.131349224393</v>
      </c>
      <c r="AQ50" s="99">
        <f t="shared" si="47"/>
        <v>-38719.937916685616</v>
      </c>
      <c r="AR50" s="99">
        <f t="shared" si="47"/>
        <v>-40655.934812519903</v>
      </c>
      <c r="AS50" s="99">
        <f t="shared" si="47"/>
        <v>-42688.731553145903</v>
      </c>
      <c r="AT50" s="99">
        <f t="shared" si="47"/>
        <v>-44823.168130803198</v>
      </c>
      <c r="AU50" s="99">
        <f t="shared" si="47"/>
        <v>-47064.326537343361</v>
      </c>
      <c r="AV50" s="99">
        <f t="shared" si="47"/>
        <v>-49417.542864210533</v>
      </c>
      <c r="AW50" s="99">
        <f t="shared" si="47"/>
        <v>-51888.420007421068</v>
      </c>
      <c r="AX50" s="99">
        <f t="shared" si="47"/>
        <v>-54482.841007792114</v>
      </c>
      <c r="AY50" s="99">
        <f t="shared" si="47"/>
        <v>-57206.983058181722</v>
      </c>
      <c r="AZ50" s="99">
        <f t="shared" si="47"/>
        <v>-60067.332211090812</v>
      </c>
      <c r="BA50" s="99">
        <f t="shared" si="47"/>
        <v>-63070.698821645346</v>
      </c>
      <c r="BB50" s="99">
        <f t="shared" si="47"/>
        <v>-66224.233762727628</v>
      </c>
      <c r="BC50" s="99">
        <f t="shared" si="47"/>
        <v>-69535.445450864019</v>
      </c>
      <c r="BD50" s="99">
        <f t="shared" si="47"/>
        <v>-73012.217723407215</v>
      </c>
      <c r="BE50" s="99">
        <f t="shared" si="47"/>
        <v>-76662.828609577584</v>
      </c>
      <c r="BF50" s="99">
        <f t="shared" si="47"/>
        <v>-80495.970040056447</v>
      </c>
      <c r="BG50" s="99">
        <f t="shared" si="47"/>
        <v>-84520.76854205929</v>
      </c>
      <c r="BH50" s="99">
        <f t="shared" si="47"/>
        <v>-88746.806969162251</v>
      </c>
      <c r="BI50" s="99">
        <f t="shared" si="47"/>
        <v>-93184.147317620358</v>
      </c>
      <c r="BJ50" s="99">
        <f t="shared" si="47"/>
        <v>-97843.354683501369</v>
      </c>
      <c r="BK50" s="99">
        <f t="shared" si="47"/>
        <v>-102735.52241767646</v>
      </c>
      <c r="BL50" s="99">
        <f t="shared" si="47"/>
        <v>-107872.29853856028</v>
      </c>
      <c r="BM50" s="99">
        <f t="shared" si="47"/>
        <v>-113265.91346548829</v>
      </c>
      <c r="BN50" s="99">
        <f t="shared" si="47"/>
        <v>-118929.20913876273</v>
      </c>
      <c r="BO50" s="99">
        <f t="shared" ref="BO50:BV50" si="48">+SUM(BO51:BO59)</f>
        <v>-124875.66959570086</v>
      </c>
      <c r="BP50" s="99">
        <f t="shared" si="48"/>
        <v>-131119.45307548592</v>
      </c>
      <c r="BQ50" s="99">
        <f t="shared" si="48"/>
        <v>-137675.4257292602</v>
      </c>
      <c r="BR50" s="99">
        <f t="shared" si="48"/>
        <v>-144559.19701572318</v>
      </c>
      <c r="BS50" s="99">
        <f t="shared" si="48"/>
        <v>-151787.15686650935</v>
      </c>
      <c r="BT50" s="99">
        <f t="shared" si="48"/>
        <v>-159376.51470983482</v>
      </c>
      <c r="BU50" s="99">
        <f t="shared" si="48"/>
        <v>-167345.34044532658</v>
      </c>
      <c r="BV50" s="99">
        <f t="shared" si="48"/>
        <v>-175712.6074675929</v>
      </c>
    </row>
    <row r="51" spans="2:74" s="127" customFormat="1" ht="15.75" hidden="1" customHeight="1" outlineLevel="1" x14ac:dyDescent="0.2">
      <c r="B51" s="126" t="s">
        <v>50</v>
      </c>
      <c r="C51" s="136">
        <f t="shared" ref="C51:AH51" si="49">-C31*C41</f>
        <v>0</v>
      </c>
      <c r="D51" s="137">
        <f t="shared" si="49"/>
        <v>0</v>
      </c>
      <c r="E51" s="138">
        <f t="shared" si="49"/>
        <v>0</v>
      </c>
      <c r="F51" s="138">
        <f t="shared" si="49"/>
        <v>0</v>
      </c>
      <c r="G51" s="138">
        <f t="shared" si="49"/>
        <v>0</v>
      </c>
      <c r="H51" s="138">
        <f t="shared" si="49"/>
        <v>0</v>
      </c>
      <c r="I51" s="138">
        <f t="shared" si="49"/>
        <v>0</v>
      </c>
      <c r="J51" s="138">
        <f t="shared" si="49"/>
        <v>0</v>
      </c>
      <c r="K51" s="138">
        <f t="shared" si="49"/>
        <v>0</v>
      </c>
      <c r="L51" s="138">
        <f t="shared" si="49"/>
        <v>0</v>
      </c>
      <c r="M51" s="138">
        <f t="shared" si="49"/>
        <v>-3112.4909521200011</v>
      </c>
      <c r="N51" s="138">
        <f t="shared" si="49"/>
        <v>0</v>
      </c>
      <c r="O51" s="138">
        <f t="shared" si="49"/>
        <v>0</v>
      </c>
      <c r="P51" s="138">
        <f t="shared" si="49"/>
        <v>0</v>
      </c>
      <c r="Q51" s="138">
        <f t="shared" si="49"/>
        <v>0</v>
      </c>
      <c r="R51" s="138">
        <f t="shared" si="49"/>
        <v>0</v>
      </c>
      <c r="S51" s="138">
        <f t="shared" si="49"/>
        <v>0</v>
      </c>
      <c r="T51" s="138">
        <f t="shared" si="49"/>
        <v>0</v>
      </c>
      <c r="U51" s="138">
        <f t="shared" si="49"/>
        <v>0</v>
      </c>
      <c r="V51" s="138">
        <f t="shared" si="49"/>
        <v>0</v>
      </c>
      <c r="W51" s="138">
        <f t="shared" si="49"/>
        <v>0</v>
      </c>
      <c r="X51" s="138">
        <f t="shared" si="49"/>
        <v>0</v>
      </c>
      <c r="Y51" s="138">
        <f t="shared" si="49"/>
        <v>-9768.3299264207835</v>
      </c>
      <c r="Z51" s="138">
        <f t="shared" si="49"/>
        <v>0</v>
      </c>
      <c r="AA51" s="138">
        <f t="shared" si="49"/>
        <v>0</v>
      </c>
      <c r="AB51" s="138">
        <f t="shared" si="49"/>
        <v>0</v>
      </c>
      <c r="AC51" s="138">
        <f t="shared" si="49"/>
        <v>0</v>
      </c>
      <c r="AD51" s="138">
        <f t="shared" si="49"/>
        <v>0</v>
      </c>
      <c r="AE51" s="138">
        <f t="shared" si="49"/>
        <v>0</v>
      </c>
      <c r="AF51" s="138">
        <f t="shared" si="49"/>
        <v>0</v>
      </c>
      <c r="AG51" s="138">
        <f t="shared" si="49"/>
        <v>0</v>
      </c>
      <c r="AH51" s="138">
        <f t="shared" si="49"/>
        <v>0</v>
      </c>
      <c r="AI51" s="138">
        <f t="shared" ref="AI51:BN51" si="50">-AI31*AI41</f>
        <v>0</v>
      </c>
      <c r="AJ51" s="138">
        <f t="shared" si="50"/>
        <v>0</v>
      </c>
      <c r="AK51" s="138">
        <f t="shared" si="50"/>
        <v>0</v>
      </c>
      <c r="AL51" s="138">
        <f t="shared" si="50"/>
        <v>0</v>
      </c>
      <c r="AM51" s="138">
        <f t="shared" si="50"/>
        <v>0</v>
      </c>
      <c r="AN51" s="138">
        <f t="shared" si="50"/>
        <v>0</v>
      </c>
      <c r="AO51" s="138">
        <f t="shared" si="50"/>
        <v>0</v>
      </c>
      <c r="AP51" s="138">
        <f t="shared" si="50"/>
        <v>0</v>
      </c>
      <c r="AQ51" s="138">
        <f t="shared" si="50"/>
        <v>0</v>
      </c>
      <c r="AR51" s="138">
        <f t="shared" si="50"/>
        <v>0</v>
      </c>
      <c r="AS51" s="138">
        <f t="shared" si="50"/>
        <v>0</v>
      </c>
      <c r="AT51" s="138">
        <f t="shared" si="50"/>
        <v>0</v>
      </c>
      <c r="AU51" s="138">
        <f t="shared" si="50"/>
        <v>0</v>
      </c>
      <c r="AV51" s="138">
        <f t="shared" si="50"/>
        <v>0</v>
      </c>
      <c r="AW51" s="138">
        <f t="shared" si="50"/>
        <v>0</v>
      </c>
      <c r="AX51" s="138">
        <f t="shared" si="50"/>
        <v>0</v>
      </c>
      <c r="AY51" s="138">
        <f t="shared" si="50"/>
        <v>0</v>
      </c>
      <c r="AZ51" s="138">
        <f t="shared" si="50"/>
        <v>0</v>
      </c>
      <c r="BA51" s="138">
        <f t="shared" si="50"/>
        <v>0</v>
      </c>
      <c r="BB51" s="138">
        <f t="shared" si="50"/>
        <v>0</v>
      </c>
      <c r="BC51" s="138">
        <f t="shared" si="50"/>
        <v>0</v>
      </c>
      <c r="BD51" s="138">
        <f t="shared" si="50"/>
        <v>0</v>
      </c>
      <c r="BE51" s="138">
        <f t="shared" si="50"/>
        <v>0</v>
      </c>
      <c r="BF51" s="138">
        <f t="shared" si="50"/>
        <v>0</v>
      </c>
      <c r="BG51" s="138">
        <f t="shared" si="50"/>
        <v>0</v>
      </c>
      <c r="BH51" s="138">
        <f t="shared" si="50"/>
        <v>0</v>
      </c>
      <c r="BI51" s="138">
        <f t="shared" si="50"/>
        <v>0</v>
      </c>
      <c r="BJ51" s="138">
        <f t="shared" si="50"/>
        <v>0</v>
      </c>
      <c r="BK51" s="138">
        <f t="shared" si="50"/>
        <v>0</v>
      </c>
      <c r="BL51" s="138">
        <f t="shared" si="50"/>
        <v>0</v>
      </c>
      <c r="BM51" s="138">
        <f t="shared" si="50"/>
        <v>0</v>
      </c>
      <c r="BN51" s="138">
        <f t="shared" si="50"/>
        <v>0</v>
      </c>
      <c r="BO51" s="138">
        <f t="shared" ref="BO51:BV51" si="51">-BO31*BO41</f>
        <v>0</v>
      </c>
      <c r="BP51" s="138">
        <f t="shared" si="51"/>
        <v>0</v>
      </c>
      <c r="BQ51" s="138">
        <f t="shared" si="51"/>
        <v>0</v>
      </c>
      <c r="BR51" s="138">
        <f t="shared" si="51"/>
        <v>0</v>
      </c>
      <c r="BS51" s="138">
        <f t="shared" si="51"/>
        <v>0</v>
      </c>
      <c r="BT51" s="138">
        <f t="shared" si="51"/>
        <v>0</v>
      </c>
      <c r="BU51" s="138">
        <f t="shared" si="51"/>
        <v>0</v>
      </c>
      <c r="BV51" s="138">
        <f t="shared" si="51"/>
        <v>0</v>
      </c>
    </row>
    <row r="52" spans="2:74" s="127" customFormat="1" ht="15.75" hidden="1" customHeight="1" outlineLevel="1" x14ac:dyDescent="0.2">
      <c r="B52" s="126" t="s">
        <v>51</v>
      </c>
      <c r="C52" s="139">
        <f t="shared" ref="C52:AH52" si="52">-C32*C42</f>
        <v>0</v>
      </c>
      <c r="D52" s="140">
        <f t="shared" si="52"/>
        <v>0</v>
      </c>
      <c r="E52" s="141">
        <f t="shared" si="52"/>
        <v>0</v>
      </c>
      <c r="F52" s="141">
        <f t="shared" si="52"/>
        <v>0</v>
      </c>
      <c r="G52" s="141">
        <f t="shared" si="52"/>
        <v>0</v>
      </c>
      <c r="H52" s="141">
        <f t="shared" si="52"/>
        <v>0</v>
      </c>
      <c r="I52" s="141">
        <f t="shared" si="52"/>
        <v>0</v>
      </c>
      <c r="J52" s="141">
        <f t="shared" si="52"/>
        <v>0</v>
      </c>
      <c r="K52" s="141">
        <f t="shared" si="52"/>
        <v>0</v>
      </c>
      <c r="L52" s="141">
        <f t="shared" si="52"/>
        <v>0</v>
      </c>
      <c r="M52" s="141">
        <f t="shared" si="52"/>
        <v>0</v>
      </c>
      <c r="N52" s="141">
        <f t="shared" si="52"/>
        <v>0</v>
      </c>
      <c r="O52" s="141">
        <f t="shared" si="52"/>
        <v>0</v>
      </c>
      <c r="P52" s="141">
        <f t="shared" si="52"/>
        <v>0</v>
      </c>
      <c r="Q52" s="141">
        <f t="shared" si="52"/>
        <v>0</v>
      </c>
      <c r="R52" s="141">
        <f t="shared" si="52"/>
        <v>0</v>
      </c>
      <c r="S52" s="141">
        <f t="shared" si="52"/>
        <v>0</v>
      </c>
      <c r="T52" s="141">
        <f t="shared" si="52"/>
        <v>0</v>
      </c>
      <c r="U52" s="141">
        <f t="shared" si="52"/>
        <v>0</v>
      </c>
      <c r="V52" s="141">
        <f t="shared" si="52"/>
        <v>0</v>
      </c>
      <c r="W52" s="141">
        <f t="shared" si="52"/>
        <v>0</v>
      </c>
      <c r="X52" s="141">
        <f t="shared" si="52"/>
        <v>0</v>
      </c>
      <c r="Y52" s="141">
        <f t="shared" si="52"/>
        <v>0</v>
      </c>
      <c r="Z52" s="141">
        <f t="shared" si="52"/>
        <v>0</v>
      </c>
      <c r="AA52" s="141">
        <f t="shared" si="52"/>
        <v>0</v>
      </c>
      <c r="AB52" s="141">
        <f t="shared" si="52"/>
        <v>0</v>
      </c>
      <c r="AC52" s="141">
        <f t="shared" si="52"/>
        <v>0</v>
      </c>
      <c r="AD52" s="141">
        <f t="shared" si="52"/>
        <v>0</v>
      </c>
      <c r="AE52" s="141">
        <f t="shared" si="52"/>
        <v>0</v>
      </c>
      <c r="AF52" s="141">
        <f t="shared" si="52"/>
        <v>0</v>
      </c>
      <c r="AG52" s="141">
        <f t="shared" si="52"/>
        <v>0</v>
      </c>
      <c r="AH52" s="141">
        <f t="shared" si="52"/>
        <v>0</v>
      </c>
      <c r="AI52" s="141">
        <f t="shared" ref="AI52:BN52" si="53">-AI32*AI42</f>
        <v>0</v>
      </c>
      <c r="AJ52" s="141">
        <f t="shared" si="53"/>
        <v>0</v>
      </c>
      <c r="AK52" s="141">
        <f t="shared" si="53"/>
        <v>0</v>
      </c>
      <c r="AL52" s="141">
        <f t="shared" si="53"/>
        <v>0</v>
      </c>
      <c r="AM52" s="141">
        <f t="shared" si="53"/>
        <v>0</v>
      </c>
      <c r="AN52" s="141">
        <f t="shared" si="53"/>
        <v>0</v>
      </c>
      <c r="AO52" s="141">
        <f t="shared" si="53"/>
        <v>0</v>
      </c>
      <c r="AP52" s="141">
        <f t="shared" si="53"/>
        <v>0</v>
      </c>
      <c r="AQ52" s="141">
        <f t="shared" si="53"/>
        <v>0</v>
      </c>
      <c r="AR52" s="141">
        <f t="shared" si="53"/>
        <v>0</v>
      </c>
      <c r="AS52" s="141">
        <f t="shared" si="53"/>
        <v>0</v>
      </c>
      <c r="AT52" s="141">
        <f t="shared" si="53"/>
        <v>0</v>
      </c>
      <c r="AU52" s="141">
        <f t="shared" si="53"/>
        <v>0</v>
      </c>
      <c r="AV52" s="141">
        <f t="shared" si="53"/>
        <v>0</v>
      </c>
      <c r="AW52" s="141">
        <f t="shared" si="53"/>
        <v>0</v>
      </c>
      <c r="AX52" s="141">
        <f t="shared" si="53"/>
        <v>0</v>
      </c>
      <c r="AY52" s="141">
        <f t="shared" si="53"/>
        <v>0</v>
      </c>
      <c r="AZ52" s="141">
        <f t="shared" si="53"/>
        <v>0</v>
      </c>
      <c r="BA52" s="141">
        <f t="shared" si="53"/>
        <v>0</v>
      </c>
      <c r="BB52" s="141">
        <f t="shared" si="53"/>
        <v>0</v>
      </c>
      <c r="BC52" s="141">
        <f t="shared" si="53"/>
        <v>0</v>
      </c>
      <c r="BD52" s="141">
        <f t="shared" si="53"/>
        <v>0</v>
      </c>
      <c r="BE52" s="141">
        <f t="shared" si="53"/>
        <v>0</v>
      </c>
      <c r="BF52" s="141">
        <f t="shared" si="53"/>
        <v>0</v>
      </c>
      <c r="BG52" s="141">
        <f t="shared" si="53"/>
        <v>0</v>
      </c>
      <c r="BH52" s="141">
        <f t="shared" si="53"/>
        <v>0</v>
      </c>
      <c r="BI52" s="141">
        <f t="shared" si="53"/>
        <v>0</v>
      </c>
      <c r="BJ52" s="141">
        <f t="shared" si="53"/>
        <v>0</v>
      </c>
      <c r="BK52" s="141">
        <f t="shared" si="53"/>
        <v>0</v>
      </c>
      <c r="BL52" s="141">
        <f t="shared" si="53"/>
        <v>0</v>
      </c>
      <c r="BM52" s="141">
        <f t="shared" si="53"/>
        <v>0</v>
      </c>
      <c r="BN52" s="141">
        <f t="shared" si="53"/>
        <v>0</v>
      </c>
      <c r="BO52" s="141">
        <f t="shared" ref="BO52:BV52" si="54">-BO32*BO42</f>
        <v>0</v>
      </c>
      <c r="BP52" s="141">
        <f t="shared" si="54"/>
        <v>0</v>
      </c>
      <c r="BQ52" s="141">
        <f t="shared" si="54"/>
        <v>0</v>
      </c>
      <c r="BR52" s="141">
        <f t="shared" si="54"/>
        <v>0</v>
      </c>
      <c r="BS52" s="141">
        <f t="shared" si="54"/>
        <v>0</v>
      </c>
      <c r="BT52" s="141">
        <f t="shared" si="54"/>
        <v>0</v>
      </c>
      <c r="BU52" s="141">
        <f t="shared" si="54"/>
        <v>0</v>
      </c>
      <c r="BV52" s="141">
        <f t="shared" si="54"/>
        <v>0</v>
      </c>
    </row>
    <row r="53" spans="2:74" s="127" customFormat="1" ht="15.75" hidden="1" customHeight="1" outlineLevel="1" x14ac:dyDescent="0.2">
      <c r="B53" s="126" t="s">
        <v>52</v>
      </c>
      <c r="C53" s="139">
        <f t="shared" ref="C53:AH53" si="55">-C33*C43</f>
        <v>0</v>
      </c>
      <c r="D53" s="140">
        <f t="shared" si="55"/>
        <v>0</v>
      </c>
      <c r="E53" s="141">
        <f t="shared" si="55"/>
        <v>0</v>
      </c>
      <c r="F53" s="141">
        <f t="shared" si="55"/>
        <v>0</v>
      </c>
      <c r="G53" s="141">
        <f t="shared" si="55"/>
        <v>0</v>
      </c>
      <c r="H53" s="141">
        <f t="shared" si="55"/>
        <v>0</v>
      </c>
      <c r="I53" s="141">
        <f t="shared" si="55"/>
        <v>0</v>
      </c>
      <c r="J53" s="141">
        <f t="shared" si="55"/>
        <v>0</v>
      </c>
      <c r="K53" s="141">
        <f t="shared" si="55"/>
        <v>0</v>
      </c>
      <c r="L53" s="141">
        <f t="shared" si="55"/>
        <v>0</v>
      </c>
      <c r="M53" s="141">
        <f t="shared" si="55"/>
        <v>0</v>
      </c>
      <c r="N53" s="141">
        <f t="shared" si="55"/>
        <v>0</v>
      </c>
      <c r="O53" s="141">
        <f t="shared" si="55"/>
        <v>0</v>
      </c>
      <c r="P53" s="141">
        <f t="shared" si="55"/>
        <v>0</v>
      </c>
      <c r="Q53" s="141">
        <f t="shared" si="55"/>
        <v>0</v>
      </c>
      <c r="R53" s="141">
        <f t="shared" si="55"/>
        <v>0</v>
      </c>
      <c r="S53" s="141">
        <f t="shared" si="55"/>
        <v>0</v>
      </c>
      <c r="T53" s="141">
        <f t="shared" si="55"/>
        <v>0</v>
      </c>
      <c r="U53" s="141">
        <f t="shared" si="55"/>
        <v>0</v>
      </c>
      <c r="V53" s="141">
        <f t="shared" si="55"/>
        <v>0</v>
      </c>
      <c r="W53" s="141">
        <f t="shared" si="55"/>
        <v>0</v>
      </c>
      <c r="X53" s="141">
        <f t="shared" si="55"/>
        <v>0</v>
      </c>
      <c r="Y53" s="141">
        <f t="shared" si="55"/>
        <v>0</v>
      </c>
      <c r="Z53" s="141">
        <f t="shared" si="55"/>
        <v>0</v>
      </c>
      <c r="AA53" s="141">
        <f t="shared" si="55"/>
        <v>0</v>
      </c>
      <c r="AB53" s="141">
        <f t="shared" si="55"/>
        <v>0</v>
      </c>
      <c r="AC53" s="141">
        <f t="shared" si="55"/>
        <v>0</v>
      </c>
      <c r="AD53" s="141">
        <f t="shared" si="55"/>
        <v>0</v>
      </c>
      <c r="AE53" s="141">
        <f t="shared" si="55"/>
        <v>0</v>
      </c>
      <c r="AF53" s="141">
        <f t="shared" si="55"/>
        <v>0</v>
      </c>
      <c r="AG53" s="141">
        <f t="shared" si="55"/>
        <v>0</v>
      </c>
      <c r="AH53" s="141">
        <f t="shared" si="55"/>
        <v>0</v>
      </c>
      <c r="AI53" s="141">
        <f t="shared" ref="AI53:BN53" si="56">-AI33*AI43</f>
        <v>0</v>
      </c>
      <c r="AJ53" s="141">
        <f t="shared" si="56"/>
        <v>0</v>
      </c>
      <c r="AK53" s="141">
        <f t="shared" si="56"/>
        <v>0</v>
      </c>
      <c r="AL53" s="141">
        <f t="shared" si="56"/>
        <v>0</v>
      </c>
      <c r="AM53" s="141">
        <f t="shared" si="56"/>
        <v>0</v>
      </c>
      <c r="AN53" s="141">
        <f t="shared" si="56"/>
        <v>0</v>
      </c>
      <c r="AO53" s="141">
        <f t="shared" si="56"/>
        <v>0</v>
      </c>
      <c r="AP53" s="141">
        <f t="shared" si="56"/>
        <v>0</v>
      </c>
      <c r="AQ53" s="141">
        <f t="shared" si="56"/>
        <v>0</v>
      </c>
      <c r="AR53" s="141">
        <f t="shared" si="56"/>
        <v>0</v>
      </c>
      <c r="AS53" s="141">
        <f t="shared" si="56"/>
        <v>0</v>
      </c>
      <c r="AT53" s="141">
        <f t="shared" si="56"/>
        <v>0</v>
      </c>
      <c r="AU53" s="141">
        <f t="shared" si="56"/>
        <v>0</v>
      </c>
      <c r="AV53" s="141">
        <f t="shared" si="56"/>
        <v>0</v>
      </c>
      <c r="AW53" s="141">
        <f t="shared" si="56"/>
        <v>0</v>
      </c>
      <c r="AX53" s="141">
        <f t="shared" si="56"/>
        <v>0</v>
      </c>
      <c r="AY53" s="141">
        <f t="shared" si="56"/>
        <v>0</v>
      </c>
      <c r="AZ53" s="141">
        <f t="shared" si="56"/>
        <v>0</v>
      </c>
      <c r="BA53" s="141">
        <f t="shared" si="56"/>
        <v>0</v>
      </c>
      <c r="BB53" s="141">
        <f t="shared" si="56"/>
        <v>0</v>
      </c>
      <c r="BC53" s="141">
        <f t="shared" si="56"/>
        <v>0</v>
      </c>
      <c r="BD53" s="141">
        <f t="shared" si="56"/>
        <v>0</v>
      </c>
      <c r="BE53" s="141">
        <f t="shared" si="56"/>
        <v>0</v>
      </c>
      <c r="BF53" s="141">
        <f t="shared" si="56"/>
        <v>0</v>
      </c>
      <c r="BG53" s="141">
        <f t="shared" si="56"/>
        <v>0</v>
      </c>
      <c r="BH53" s="141">
        <f t="shared" si="56"/>
        <v>0</v>
      </c>
      <c r="BI53" s="141">
        <f t="shared" si="56"/>
        <v>0</v>
      </c>
      <c r="BJ53" s="141">
        <f t="shared" si="56"/>
        <v>0</v>
      </c>
      <c r="BK53" s="141">
        <f t="shared" si="56"/>
        <v>0</v>
      </c>
      <c r="BL53" s="141">
        <f t="shared" si="56"/>
        <v>0</v>
      </c>
      <c r="BM53" s="141">
        <f t="shared" si="56"/>
        <v>0</v>
      </c>
      <c r="BN53" s="141">
        <f t="shared" si="56"/>
        <v>0</v>
      </c>
      <c r="BO53" s="141">
        <f t="shared" ref="BO53:BV53" si="57">-BO33*BO43</f>
        <v>0</v>
      </c>
      <c r="BP53" s="141">
        <f t="shared" si="57"/>
        <v>0</v>
      </c>
      <c r="BQ53" s="141">
        <f t="shared" si="57"/>
        <v>0</v>
      </c>
      <c r="BR53" s="141">
        <f t="shared" si="57"/>
        <v>0</v>
      </c>
      <c r="BS53" s="141">
        <f t="shared" si="57"/>
        <v>0</v>
      </c>
      <c r="BT53" s="141">
        <f t="shared" si="57"/>
        <v>0</v>
      </c>
      <c r="BU53" s="141">
        <f t="shared" si="57"/>
        <v>0</v>
      </c>
      <c r="BV53" s="141">
        <f t="shared" si="57"/>
        <v>0</v>
      </c>
    </row>
    <row r="54" spans="2:74" s="127" customFormat="1" ht="15.75" hidden="1" customHeight="1" outlineLevel="1" x14ac:dyDescent="0.2">
      <c r="B54" s="126" t="s">
        <v>53</v>
      </c>
      <c r="C54" s="139">
        <f t="shared" ref="C54:AH54" si="58">-C34*C44</f>
        <v>0</v>
      </c>
      <c r="D54" s="140">
        <f t="shared" si="58"/>
        <v>0</v>
      </c>
      <c r="E54" s="141">
        <f t="shared" si="58"/>
        <v>0</v>
      </c>
      <c r="F54" s="141">
        <f t="shared" si="58"/>
        <v>0</v>
      </c>
      <c r="G54" s="141">
        <f t="shared" si="58"/>
        <v>0</v>
      </c>
      <c r="H54" s="141">
        <f t="shared" si="58"/>
        <v>0</v>
      </c>
      <c r="I54" s="141">
        <f t="shared" si="58"/>
        <v>0</v>
      </c>
      <c r="J54" s="141">
        <f t="shared" si="58"/>
        <v>0</v>
      </c>
      <c r="K54" s="141">
        <f t="shared" si="58"/>
        <v>0</v>
      </c>
      <c r="L54" s="141">
        <f t="shared" si="58"/>
        <v>0</v>
      </c>
      <c r="M54" s="141">
        <f t="shared" si="58"/>
        <v>0</v>
      </c>
      <c r="N54" s="141">
        <f t="shared" si="58"/>
        <v>0</v>
      </c>
      <c r="O54" s="141">
        <f t="shared" si="58"/>
        <v>0</v>
      </c>
      <c r="P54" s="141">
        <f t="shared" si="58"/>
        <v>0</v>
      </c>
      <c r="Q54" s="141">
        <f t="shared" si="58"/>
        <v>0</v>
      </c>
      <c r="R54" s="141">
        <f t="shared" si="58"/>
        <v>0</v>
      </c>
      <c r="S54" s="141">
        <f t="shared" si="58"/>
        <v>0</v>
      </c>
      <c r="T54" s="141">
        <f t="shared" si="58"/>
        <v>0</v>
      </c>
      <c r="U54" s="141">
        <f t="shared" si="58"/>
        <v>0</v>
      </c>
      <c r="V54" s="141">
        <f t="shared" si="58"/>
        <v>0</v>
      </c>
      <c r="W54" s="141">
        <f t="shared" si="58"/>
        <v>0</v>
      </c>
      <c r="X54" s="141">
        <f t="shared" si="58"/>
        <v>0</v>
      </c>
      <c r="Y54" s="141">
        <f t="shared" si="58"/>
        <v>0</v>
      </c>
      <c r="Z54" s="141">
        <f t="shared" si="58"/>
        <v>0</v>
      </c>
      <c r="AA54" s="141">
        <f t="shared" si="58"/>
        <v>0</v>
      </c>
      <c r="AB54" s="141">
        <f t="shared" si="58"/>
        <v>0</v>
      </c>
      <c r="AC54" s="141">
        <f t="shared" si="58"/>
        <v>0</v>
      </c>
      <c r="AD54" s="141">
        <f t="shared" si="58"/>
        <v>0</v>
      </c>
      <c r="AE54" s="141">
        <f t="shared" si="58"/>
        <v>0</v>
      </c>
      <c r="AF54" s="141">
        <f t="shared" si="58"/>
        <v>0</v>
      </c>
      <c r="AG54" s="141">
        <f t="shared" si="58"/>
        <v>0</v>
      </c>
      <c r="AH54" s="141">
        <f t="shared" si="58"/>
        <v>0</v>
      </c>
      <c r="AI54" s="141">
        <f t="shared" ref="AI54:BN54" si="59">-AI34*AI44</f>
        <v>0</v>
      </c>
      <c r="AJ54" s="141">
        <f t="shared" si="59"/>
        <v>0</v>
      </c>
      <c r="AK54" s="141">
        <f t="shared" si="59"/>
        <v>0</v>
      </c>
      <c r="AL54" s="141">
        <f t="shared" si="59"/>
        <v>0</v>
      </c>
      <c r="AM54" s="141">
        <f t="shared" si="59"/>
        <v>0</v>
      </c>
      <c r="AN54" s="141">
        <f t="shared" si="59"/>
        <v>0</v>
      </c>
      <c r="AO54" s="141">
        <f t="shared" si="59"/>
        <v>0</v>
      </c>
      <c r="AP54" s="141">
        <f t="shared" si="59"/>
        <v>0</v>
      </c>
      <c r="AQ54" s="141">
        <f t="shared" si="59"/>
        <v>0</v>
      </c>
      <c r="AR54" s="141">
        <f t="shared" si="59"/>
        <v>0</v>
      </c>
      <c r="AS54" s="141">
        <f t="shared" si="59"/>
        <v>0</v>
      </c>
      <c r="AT54" s="141">
        <f t="shared" si="59"/>
        <v>0</v>
      </c>
      <c r="AU54" s="141">
        <f t="shared" si="59"/>
        <v>0</v>
      </c>
      <c r="AV54" s="141">
        <f t="shared" si="59"/>
        <v>0</v>
      </c>
      <c r="AW54" s="141">
        <f t="shared" si="59"/>
        <v>0</v>
      </c>
      <c r="AX54" s="141">
        <f t="shared" si="59"/>
        <v>0</v>
      </c>
      <c r="AY54" s="141">
        <f t="shared" si="59"/>
        <v>0</v>
      </c>
      <c r="AZ54" s="141">
        <f t="shared" si="59"/>
        <v>0</v>
      </c>
      <c r="BA54" s="141">
        <f t="shared" si="59"/>
        <v>0</v>
      </c>
      <c r="BB54" s="141">
        <f t="shared" si="59"/>
        <v>0</v>
      </c>
      <c r="BC54" s="141">
        <f t="shared" si="59"/>
        <v>0</v>
      </c>
      <c r="BD54" s="141">
        <f t="shared" si="59"/>
        <v>0</v>
      </c>
      <c r="BE54" s="141">
        <f t="shared" si="59"/>
        <v>0</v>
      </c>
      <c r="BF54" s="141">
        <f t="shared" si="59"/>
        <v>0</v>
      </c>
      <c r="BG54" s="141">
        <f t="shared" si="59"/>
        <v>0</v>
      </c>
      <c r="BH54" s="141">
        <f t="shared" si="59"/>
        <v>0</v>
      </c>
      <c r="BI54" s="141">
        <f t="shared" si="59"/>
        <v>0</v>
      </c>
      <c r="BJ54" s="141">
        <f t="shared" si="59"/>
        <v>0</v>
      </c>
      <c r="BK54" s="141">
        <f t="shared" si="59"/>
        <v>0</v>
      </c>
      <c r="BL54" s="141">
        <f t="shared" si="59"/>
        <v>0</v>
      </c>
      <c r="BM54" s="141">
        <f t="shared" si="59"/>
        <v>0</v>
      </c>
      <c r="BN54" s="141">
        <f t="shared" si="59"/>
        <v>0</v>
      </c>
      <c r="BO54" s="141">
        <f t="shared" ref="BO54:BV54" si="60">-BO34*BO44</f>
        <v>0</v>
      </c>
      <c r="BP54" s="141">
        <f t="shared" si="60"/>
        <v>0</v>
      </c>
      <c r="BQ54" s="141">
        <f t="shared" si="60"/>
        <v>0</v>
      </c>
      <c r="BR54" s="141">
        <f t="shared" si="60"/>
        <v>0</v>
      </c>
      <c r="BS54" s="141">
        <f t="shared" si="60"/>
        <v>0</v>
      </c>
      <c r="BT54" s="141">
        <f t="shared" si="60"/>
        <v>0</v>
      </c>
      <c r="BU54" s="141">
        <f t="shared" si="60"/>
        <v>0</v>
      </c>
      <c r="BV54" s="141">
        <f t="shared" si="60"/>
        <v>0</v>
      </c>
    </row>
    <row r="55" spans="2:74" s="127" customFormat="1" ht="15.75" hidden="1" customHeight="1" outlineLevel="1" x14ac:dyDescent="0.2">
      <c r="B55" s="126" t="s">
        <v>54</v>
      </c>
      <c r="C55" s="139">
        <f t="shared" ref="C55:AH55" si="61">-C35*C45</f>
        <v>-5500</v>
      </c>
      <c r="D55" s="140">
        <f t="shared" si="61"/>
        <v>-5775</v>
      </c>
      <c r="E55" s="141">
        <f t="shared" si="61"/>
        <v>-6063.75</v>
      </c>
      <c r="F55" s="141">
        <f t="shared" si="61"/>
        <v>-6366.9375</v>
      </c>
      <c r="G55" s="141">
        <f t="shared" si="61"/>
        <v>-6685.2843750000002</v>
      </c>
      <c r="H55" s="141">
        <f t="shared" si="61"/>
        <v>-7019.5485937500016</v>
      </c>
      <c r="I55" s="141">
        <f t="shared" si="61"/>
        <v>-7370.526023437501</v>
      </c>
      <c r="J55" s="141">
        <f t="shared" si="61"/>
        <v>-7739.0523246093762</v>
      </c>
      <c r="K55" s="141">
        <f t="shared" si="61"/>
        <v>-8126.0049408398454</v>
      </c>
      <c r="L55" s="141">
        <f t="shared" si="61"/>
        <v>-8532.3051878818387</v>
      </c>
      <c r="M55" s="141">
        <f t="shared" si="61"/>
        <v>-8958.9204472759302</v>
      </c>
      <c r="N55" s="141">
        <f t="shared" si="61"/>
        <v>-9406.8664696397263</v>
      </c>
      <c r="O55" s="141">
        <f t="shared" si="61"/>
        <v>-9877.209793121714</v>
      </c>
      <c r="P55" s="141">
        <f t="shared" si="61"/>
        <v>-10371.0702827778</v>
      </c>
      <c r="Q55" s="141">
        <f t="shared" si="61"/>
        <v>-10889.62379691669</v>
      </c>
      <c r="R55" s="141">
        <f t="shared" si="61"/>
        <v>-11434.104986762526</v>
      </c>
      <c r="S55" s="141">
        <f t="shared" si="61"/>
        <v>-12005.810236100653</v>
      </c>
      <c r="T55" s="141">
        <f t="shared" si="61"/>
        <v>-12606.100747905686</v>
      </c>
      <c r="U55" s="141">
        <f t="shared" si="61"/>
        <v>-13236.405785300971</v>
      </c>
      <c r="V55" s="141">
        <f t="shared" si="61"/>
        <v>-13898.226074566017</v>
      </c>
      <c r="W55" s="141">
        <f t="shared" si="61"/>
        <v>-14593.137378294321</v>
      </c>
      <c r="X55" s="141">
        <f t="shared" si="61"/>
        <v>-15322.794247209036</v>
      </c>
      <c r="Y55" s="141">
        <f t="shared" si="61"/>
        <v>-16088.933959569489</v>
      </c>
      <c r="Z55" s="141">
        <f t="shared" si="61"/>
        <v>-16893.380657547965</v>
      </c>
      <c r="AA55" s="141">
        <f t="shared" si="61"/>
        <v>-17738.049690425363</v>
      </c>
      <c r="AB55" s="141">
        <f t="shared" si="61"/>
        <v>-18624.952174946633</v>
      </c>
      <c r="AC55" s="141">
        <f t="shared" si="61"/>
        <v>-19556.199783693963</v>
      </c>
      <c r="AD55" s="141">
        <f t="shared" si="61"/>
        <v>-20534.009772878664</v>
      </c>
      <c r="AE55" s="141">
        <f t="shared" si="61"/>
        <v>-21560.710261522596</v>
      </c>
      <c r="AF55" s="141">
        <f t="shared" si="61"/>
        <v>-22638.745774598723</v>
      </c>
      <c r="AG55" s="141">
        <f t="shared" si="61"/>
        <v>-23770.683063328663</v>
      </c>
      <c r="AH55" s="141">
        <f t="shared" si="61"/>
        <v>-24959.217216495097</v>
      </c>
      <c r="AI55" s="141">
        <f t="shared" ref="AI55:BN55" si="62">-AI35*AI45</f>
        <v>-26207.178077319855</v>
      </c>
      <c r="AJ55" s="141">
        <f t="shared" si="62"/>
        <v>-27517.536981185847</v>
      </c>
      <c r="AK55" s="141">
        <f t="shared" si="62"/>
        <v>-28893.413830245143</v>
      </c>
      <c r="AL55" s="141">
        <f t="shared" si="62"/>
        <v>-30338.084521757399</v>
      </c>
      <c r="AM55" s="141">
        <f t="shared" si="62"/>
        <v>-31854.988747845273</v>
      </c>
      <c r="AN55" s="141">
        <f t="shared" si="62"/>
        <v>-33447.738185237533</v>
      </c>
      <c r="AO55" s="141">
        <f t="shared" si="62"/>
        <v>-35120.125094499417</v>
      </c>
      <c r="AP55" s="141">
        <f t="shared" si="62"/>
        <v>-36876.131349224393</v>
      </c>
      <c r="AQ55" s="141">
        <f t="shared" si="62"/>
        <v>-38719.937916685616</v>
      </c>
      <c r="AR55" s="141">
        <f t="shared" si="62"/>
        <v>-40655.934812519903</v>
      </c>
      <c r="AS55" s="141">
        <f t="shared" si="62"/>
        <v>-42688.731553145903</v>
      </c>
      <c r="AT55" s="141">
        <f t="shared" si="62"/>
        <v>-44823.168130803198</v>
      </c>
      <c r="AU55" s="141">
        <f t="shared" si="62"/>
        <v>-47064.326537343361</v>
      </c>
      <c r="AV55" s="141">
        <f t="shared" si="62"/>
        <v>-49417.542864210533</v>
      </c>
      <c r="AW55" s="141">
        <f t="shared" si="62"/>
        <v>-51888.420007421068</v>
      </c>
      <c r="AX55" s="141">
        <f t="shared" si="62"/>
        <v>-54482.841007792114</v>
      </c>
      <c r="AY55" s="141">
        <f t="shared" si="62"/>
        <v>-57206.983058181722</v>
      </c>
      <c r="AZ55" s="141">
        <f t="shared" si="62"/>
        <v>-60067.332211090812</v>
      </c>
      <c r="BA55" s="141">
        <f t="shared" si="62"/>
        <v>-63070.698821645346</v>
      </c>
      <c r="BB55" s="141">
        <f t="shared" si="62"/>
        <v>-66224.233762727628</v>
      </c>
      <c r="BC55" s="141">
        <f t="shared" si="62"/>
        <v>-69535.445450864019</v>
      </c>
      <c r="BD55" s="141">
        <f t="shared" si="62"/>
        <v>-73012.217723407215</v>
      </c>
      <c r="BE55" s="141">
        <f t="shared" si="62"/>
        <v>-76662.828609577584</v>
      </c>
      <c r="BF55" s="141">
        <f t="shared" si="62"/>
        <v>-80495.970040056447</v>
      </c>
      <c r="BG55" s="141">
        <f t="shared" si="62"/>
        <v>-84520.76854205929</v>
      </c>
      <c r="BH55" s="141">
        <f t="shared" si="62"/>
        <v>-88746.806969162251</v>
      </c>
      <c r="BI55" s="141">
        <f t="shared" si="62"/>
        <v>-93184.147317620358</v>
      </c>
      <c r="BJ55" s="141">
        <f t="shared" si="62"/>
        <v>-97843.354683501369</v>
      </c>
      <c r="BK55" s="141">
        <f t="shared" si="62"/>
        <v>-102735.52241767646</v>
      </c>
      <c r="BL55" s="141">
        <f t="shared" si="62"/>
        <v>-107872.29853856028</v>
      </c>
      <c r="BM55" s="141">
        <f t="shared" si="62"/>
        <v>-113265.91346548829</v>
      </c>
      <c r="BN55" s="141">
        <f t="shared" si="62"/>
        <v>-118929.20913876273</v>
      </c>
      <c r="BO55" s="141">
        <f t="shared" ref="BO55:BV55" si="63">-BO35*BO45</f>
        <v>-124875.66959570086</v>
      </c>
      <c r="BP55" s="141">
        <f t="shared" si="63"/>
        <v>-131119.45307548592</v>
      </c>
      <c r="BQ55" s="141">
        <f t="shared" si="63"/>
        <v>-137675.4257292602</v>
      </c>
      <c r="BR55" s="141">
        <f t="shared" si="63"/>
        <v>-144559.19701572318</v>
      </c>
      <c r="BS55" s="141">
        <f t="shared" si="63"/>
        <v>-151787.15686650935</v>
      </c>
      <c r="BT55" s="141">
        <f t="shared" si="63"/>
        <v>-159376.51470983482</v>
      </c>
      <c r="BU55" s="141">
        <f t="shared" si="63"/>
        <v>-167345.34044532658</v>
      </c>
      <c r="BV55" s="141">
        <f t="shared" si="63"/>
        <v>-175712.6074675929</v>
      </c>
    </row>
    <row r="56" spans="2:74" s="127" customFormat="1" ht="15.75" hidden="1" customHeight="1" outlineLevel="1" x14ac:dyDescent="0.2">
      <c r="B56" s="126" t="s">
        <v>55</v>
      </c>
      <c r="C56" s="139">
        <f t="shared" ref="C56:AH56" si="64">-C36*C46</f>
        <v>0</v>
      </c>
      <c r="D56" s="140">
        <f t="shared" si="64"/>
        <v>0</v>
      </c>
      <c r="E56" s="141">
        <f t="shared" si="64"/>
        <v>0</v>
      </c>
      <c r="F56" s="141">
        <f t="shared" si="64"/>
        <v>0</v>
      </c>
      <c r="G56" s="141">
        <f t="shared" si="64"/>
        <v>0</v>
      </c>
      <c r="H56" s="141">
        <f t="shared" si="64"/>
        <v>0</v>
      </c>
      <c r="I56" s="141">
        <f t="shared" si="64"/>
        <v>0</v>
      </c>
      <c r="J56" s="141">
        <f t="shared" si="64"/>
        <v>0</v>
      </c>
      <c r="K56" s="141">
        <f t="shared" si="64"/>
        <v>0</v>
      </c>
      <c r="L56" s="141">
        <f t="shared" si="64"/>
        <v>0</v>
      </c>
      <c r="M56" s="141">
        <f t="shared" si="64"/>
        <v>0</v>
      </c>
      <c r="N56" s="141">
        <f t="shared" si="64"/>
        <v>0</v>
      </c>
      <c r="O56" s="141">
        <f t="shared" si="64"/>
        <v>0</v>
      </c>
      <c r="P56" s="141">
        <f t="shared" si="64"/>
        <v>0</v>
      </c>
      <c r="Q56" s="141">
        <f t="shared" si="64"/>
        <v>0</v>
      </c>
      <c r="R56" s="141">
        <f t="shared" si="64"/>
        <v>0</v>
      </c>
      <c r="S56" s="141">
        <f t="shared" si="64"/>
        <v>0</v>
      </c>
      <c r="T56" s="141">
        <f t="shared" si="64"/>
        <v>0</v>
      </c>
      <c r="U56" s="141">
        <f t="shared" si="64"/>
        <v>0</v>
      </c>
      <c r="V56" s="141">
        <f t="shared" si="64"/>
        <v>0</v>
      </c>
      <c r="W56" s="141">
        <f t="shared" si="64"/>
        <v>0</v>
      </c>
      <c r="X56" s="141">
        <f t="shared" si="64"/>
        <v>0</v>
      </c>
      <c r="Y56" s="141">
        <f t="shared" si="64"/>
        <v>0</v>
      </c>
      <c r="Z56" s="141">
        <f t="shared" si="64"/>
        <v>0</v>
      </c>
      <c r="AA56" s="141">
        <f t="shared" si="64"/>
        <v>0</v>
      </c>
      <c r="AB56" s="141">
        <f t="shared" si="64"/>
        <v>0</v>
      </c>
      <c r="AC56" s="141">
        <f t="shared" si="64"/>
        <v>0</v>
      </c>
      <c r="AD56" s="141">
        <f t="shared" si="64"/>
        <v>0</v>
      </c>
      <c r="AE56" s="141">
        <f t="shared" si="64"/>
        <v>0</v>
      </c>
      <c r="AF56" s="141">
        <f t="shared" si="64"/>
        <v>0</v>
      </c>
      <c r="AG56" s="141">
        <f t="shared" si="64"/>
        <v>0</v>
      </c>
      <c r="AH56" s="141">
        <f t="shared" si="64"/>
        <v>0</v>
      </c>
      <c r="AI56" s="141">
        <f t="shared" ref="AI56:BN56" si="65">-AI36*AI46</f>
        <v>0</v>
      </c>
      <c r="AJ56" s="141">
        <f t="shared" si="65"/>
        <v>0</v>
      </c>
      <c r="AK56" s="141">
        <f t="shared" si="65"/>
        <v>0</v>
      </c>
      <c r="AL56" s="141">
        <f t="shared" si="65"/>
        <v>0</v>
      </c>
      <c r="AM56" s="141">
        <f t="shared" si="65"/>
        <v>0</v>
      </c>
      <c r="AN56" s="141">
        <f t="shared" si="65"/>
        <v>0</v>
      </c>
      <c r="AO56" s="141">
        <f t="shared" si="65"/>
        <v>0</v>
      </c>
      <c r="AP56" s="141">
        <f t="shared" si="65"/>
        <v>0</v>
      </c>
      <c r="AQ56" s="141">
        <f t="shared" si="65"/>
        <v>0</v>
      </c>
      <c r="AR56" s="141">
        <f t="shared" si="65"/>
        <v>0</v>
      </c>
      <c r="AS56" s="141">
        <f t="shared" si="65"/>
        <v>0</v>
      </c>
      <c r="AT56" s="141">
        <f t="shared" si="65"/>
        <v>0</v>
      </c>
      <c r="AU56" s="141">
        <f t="shared" si="65"/>
        <v>0</v>
      </c>
      <c r="AV56" s="141">
        <f t="shared" si="65"/>
        <v>0</v>
      </c>
      <c r="AW56" s="141">
        <f t="shared" si="65"/>
        <v>0</v>
      </c>
      <c r="AX56" s="141">
        <f t="shared" si="65"/>
        <v>0</v>
      </c>
      <c r="AY56" s="141">
        <f t="shared" si="65"/>
        <v>0</v>
      </c>
      <c r="AZ56" s="141">
        <f t="shared" si="65"/>
        <v>0</v>
      </c>
      <c r="BA56" s="141">
        <f t="shared" si="65"/>
        <v>0</v>
      </c>
      <c r="BB56" s="141">
        <f t="shared" si="65"/>
        <v>0</v>
      </c>
      <c r="BC56" s="141">
        <f t="shared" si="65"/>
        <v>0</v>
      </c>
      <c r="BD56" s="141">
        <f t="shared" si="65"/>
        <v>0</v>
      </c>
      <c r="BE56" s="141">
        <f t="shared" si="65"/>
        <v>0</v>
      </c>
      <c r="BF56" s="141">
        <f t="shared" si="65"/>
        <v>0</v>
      </c>
      <c r="BG56" s="141">
        <f t="shared" si="65"/>
        <v>0</v>
      </c>
      <c r="BH56" s="141">
        <f t="shared" si="65"/>
        <v>0</v>
      </c>
      <c r="BI56" s="141">
        <f t="shared" si="65"/>
        <v>0</v>
      </c>
      <c r="BJ56" s="141">
        <f t="shared" si="65"/>
        <v>0</v>
      </c>
      <c r="BK56" s="141">
        <f t="shared" si="65"/>
        <v>0</v>
      </c>
      <c r="BL56" s="141">
        <f t="shared" si="65"/>
        <v>0</v>
      </c>
      <c r="BM56" s="141">
        <f t="shared" si="65"/>
        <v>0</v>
      </c>
      <c r="BN56" s="141">
        <f t="shared" si="65"/>
        <v>0</v>
      </c>
      <c r="BO56" s="141">
        <f t="shared" ref="BO56:BV56" si="66">-BO36*BO46</f>
        <v>0</v>
      </c>
      <c r="BP56" s="141">
        <f t="shared" si="66"/>
        <v>0</v>
      </c>
      <c r="BQ56" s="141">
        <f t="shared" si="66"/>
        <v>0</v>
      </c>
      <c r="BR56" s="141">
        <f t="shared" si="66"/>
        <v>0</v>
      </c>
      <c r="BS56" s="141">
        <f t="shared" si="66"/>
        <v>0</v>
      </c>
      <c r="BT56" s="141">
        <f t="shared" si="66"/>
        <v>0</v>
      </c>
      <c r="BU56" s="141">
        <f t="shared" si="66"/>
        <v>0</v>
      </c>
      <c r="BV56" s="141">
        <f t="shared" si="66"/>
        <v>0</v>
      </c>
    </row>
    <row r="57" spans="2:74" s="127" customFormat="1" ht="15.75" hidden="1" customHeight="1" outlineLevel="1" x14ac:dyDescent="0.2">
      <c r="B57" s="126" t="s">
        <v>56</v>
      </c>
      <c r="C57" s="139">
        <f t="shared" ref="C57:AH57" si="67">-C37*C47</f>
        <v>0</v>
      </c>
      <c r="D57" s="140">
        <f t="shared" si="67"/>
        <v>0</v>
      </c>
      <c r="E57" s="141">
        <f t="shared" si="67"/>
        <v>0</v>
      </c>
      <c r="F57" s="141">
        <f t="shared" si="67"/>
        <v>0</v>
      </c>
      <c r="G57" s="141">
        <f t="shared" si="67"/>
        <v>0</v>
      </c>
      <c r="H57" s="141">
        <f t="shared" si="67"/>
        <v>0</v>
      </c>
      <c r="I57" s="141">
        <f t="shared" si="67"/>
        <v>0</v>
      </c>
      <c r="J57" s="141">
        <f t="shared" si="67"/>
        <v>0</v>
      </c>
      <c r="K57" s="141">
        <f t="shared" si="67"/>
        <v>0</v>
      </c>
      <c r="L57" s="141">
        <f t="shared" si="67"/>
        <v>0</v>
      </c>
      <c r="M57" s="141">
        <f t="shared" si="67"/>
        <v>0</v>
      </c>
      <c r="N57" s="141">
        <f t="shared" si="67"/>
        <v>0</v>
      </c>
      <c r="O57" s="141">
        <f t="shared" si="67"/>
        <v>0</v>
      </c>
      <c r="P57" s="141">
        <f t="shared" si="67"/>
        <v>0</v>
      </c>
      <c r="Q57" s="141">
        <f t="shared" si="67"/>
        <v>0</v>
      </c>
      <c r="R57" s="141">
        <f t="shared" si="67"/>
        <v>0</v>
      </c>
      <c r="S57" s="141">
        <f t="shared" si="67"/>
        <v>0</v>
      </c>
      <c r="T57" s="141">
        <f t="shared" si="67"/>
        <v>0</v>
      </c>
      <c r="U57" s="141">
        <f t="shared" si="67"/>
        <v>0</v>
      </c>
      <c r="V57" s="141">
        <f t="shared" si="67"/>
        <v>0</v>
      </c>
      <c r="W57" s="141">
        <f t="shared" si="67"/>
        <v>0</v>
      </c>
      <c r="X57" s="141">
        <f t="shared" si="67"/>
        <v>0</v>
      </c>
      <c r="Y57" s="141">
        <f t="shared" si="67"/>
        <v>0</v>
      </c>
      <c r="Z57" s="141">
        <f t="shared" si="67"/>
        <v>0</v>
      </c>
      <c r="AA57" s="141">
        <f t="shared" si="67"/>
        <v>0</v>
      </c>
      <c r="AB57" s="141">
        <f t="shared" si="67"/>
        <v>0</v>
      </c>
      <c r="AC57" s="141">
        <f t="shared" si="67"/>
        <v>0</v>
      </c>
      <c r="AD57" s="141">
        <f t="shared" si="67"/>
        <v>0</v>
      </c>
      <c r="AE57" s="141">
        <f t="shared" si="67"/>
        <v>0</v>
      </c>
      <c r="AF57" s="141">
        <f t="shared" si="67"/>
        <v>0</v>
      </c>
      <c r="AG57" s="141">
        <f t="shared" si="67"/>
        <v>0</v>
      </c>
      <c r="AH57" s="141">
        <f t="shared" si="67"/>
        <v>0</v>
      </c>
      <c r="AI57" s="141">
        <f t="shared" ref="AI57:BN57" si="68">-AI37*AI47</f>
        <v>0</v>
      </c>
      <c r="AJ57" s="141">
        <f t="shared" si="68"/>
        <v>0</v>
      </c>
      <c r="AK57" s="141">
        <f t="shared" si="68"/>
        <v>0</v>
      </c>
      <c r="AL57" s="141">
        <f t="shared" si="68"/>
        <v>0</v>
      </c>
      <c r="AM57" s="141">
        <f t="shared" si="68"/>
        <v>0</v>
      </c>
      <c r="AN57" s="141">
        <f t="shared" si="68"/>
        <v>0</v>
      </c>
      <c r="AO57" s="141">
        <f t="shared" si="68"/>
        <v>0</v>
      </c>
      <c r="AP57" s="141">
        <f t="shared" si="68"/>
        <v>0</v>
      </c>
      <c r="AQ57" s="141">
        <f t="shared" si="68"/>
        <v>0</v>
      </c>
      <c r="AR57" s="141">
        <f t="shared" si="68"/>
        <v>0</v>
      </c>
      <c r="AS57" s="141">
        <f t="shared" si="68"/>
        <v>0</v>
      </c>
      <c r="AT57" s="141">
        <f t="shared" si="68"/>
        <v>0</v>
      </c>
      <c r="AU57" s="141">
        <f t="shared" si="68"/>
        <v>0</v>
      </c>
      <c r="AV57" s="141">
        <f t="shared" si="68"/>
        <v>0</v>
      </c>
      <c r="AW57" s="141">
        <f t="shared" si="68"/>
        <v>0</v>
      </c>
      <c r="AX57" s="141">
        <f t="shared" si="68"/>
        <v>0</v>
      </c>
      <c r="AY57" s="141">
        <f t="shared" si="68"/>
        <v>0</v>
      </c>
      <c r="AZ57" s="141">
        <f t="shared" si="68"/>
        <v>0</v>
      </c>
      <c r="BA57" s="141">
        <f t="shared" si="68"/>
        <v>0</v>
      </c>
      <c r="BB57" s="141">
        <f t="shared" si="68"/>
        <v>0</v>
      </c>
      <c r="BC57" s="141">
        <f t="shared" si="68"/>
        <v>0</v>
      </c>
      <c r="BD57" s="141">
        <f t="shared" si="68"/>
        <v>0</v>
      </c>
      <c r="BE57" s="141">
        <f t="shared" si="68"/>
        <v>0</v>
      </c>
      <c r="BF57" s="141">
        <f t="shared" si="68"/>
        <v>0</v>
      </c>
      <c r="BG57" s="141">
        <f t="shared" si="68"/>
        <v>0</v>
      </c>
      <c r="BH57" s="141">
        <f t="shared" si="68"/>
        <v>0</v>
      </c>
      <c r="BI57" s="141">
        <f t="shared" si="68"/>
        <v>0</v>
      </c>
      <c r="BJ57" s="141">
        <f t="shared" si="68"/>
        <v>0</v>
      </c>
      <c r="BK57" s="141">
        <f t="shared" si="68"/>
        <v>0</v>
      </c>
      <c r="BL57" s="141">
        <f t="shared" si="68"/>
        <v>0</v>
      </c>
      <c r="BM57" s="141">
        <f t="shared" si="68"/>
        <v>0</v>
      </c>
      <c r="BN57" s="141">
        <f t="shared" si="68"/>
        <v>0</v>
      </c>
      <c r="BO57" s="141">
        <f t="shared" ref="BO57:BV57" si="69">-BO37*BO47</f>
        <v>0</v>
      </c>
      <c r="BP57" s="141">
        <f t="shared" si="69"/>
        <v>0</v>
      </c>
      <c r="BQ57" s="141">
        <f t="shared" si="69"/>
        <v>0</v>
      </c>
      <c r="BR57" s="141">
        <f t="shared" si="69"/>
        <v>0</v>
      </c>
      <c r="BS57" s="141">
        <f t="shared" si="69"/>
        <v>0</v>
      </c>
      <c r="BT57" s="141">
        <f t="shared" si="69"/>
        <v>0</v>
      </c>
      <c r="BU57" s="141">
        <f t="shared" si="69"/>
        <v>0</v>
      </c>
      <c r="BV57" s="141">
        <f t="shared" si="69"/>
        <v>0</v>
      </c>
    </row>
    <row r="58" spans="2:74" s="127" customFormat="1" ht="15.75" hidden="1" customHeight="1" outlineLevel="1" x14ac:dyDescent="0.2">
      <c r="B58" s="126" t="s">
        <v>57</v>
      </c>
      <c r="C58" s="139">
        <f t="shared" ref="C58:AH58" si="70">-C38*C48</f>
        <v>0</v>
      </c>
      <c r="D58" s="140">
        <f t="shared" si="70"/>
        <v>0</v>
      </c>
      <c r="E58" s="141">
        <f t="shared" si="70"/>
        <v>0</v>
      </c>
      <c r="F58" s="141">
        <f t="shared" si="70"/>
        <v>0</v>
      </c>
      <c r="G58" s="141">
        <f t="shared" si="70"/>
        <v>0</v>
      </c>
      <c r="H58" s="141">
        <f t="shared" si="70"/>
        <v>0</v>
      </c>
      <c r="I58" s="141">
        <f t="shared" si="70"/>
        <v>0</v>
      </c>
      <c r="J58" s="141">
        <f t="shared" si="70"/>
        <v>0</v>
      </c>
      <c r="K58" s="141">
        <f t="shared" si="70"/>
        <v>0</v>
      </c>
      <c r="L58" s="141">
        <f t="shared" si="70"/>
        <v>0</v>
      </c>
      <c r="M58" s="141">
        <f t="shared" si="70"/>
        <v>0</v>
      </c>
      <c r="N58" s="141">
        <f t="shared" si="70"/>
        <v>0</v>
      </c>
      <c r="O58" s="141">
        <f t="shared" si="70"/>
        <v>0</v>
      </c>
      <c r="P58" s="141">
        <f t="shared" si="70"/>
        <v>0</v>
      </c>
      <c r="Q58" s="141">
        <f t="shared" si="70"/>
        <v>0</v>
      </c>
      <c r="R58" s="141">
        <f t="shared" si="70"/>
        <v>0</v>
      </c>
      <c r="S58" s="141">
        <f t="shared" si="70"/>
        <v>0</v>
      </c>
      <c r="T58" s="141">
        <f t="shared" si="70"/>
        <v>0</v>
      </c>
      <c r="U58" s="141">
        <f t="shared" si="70"/>
        <v>0</v>
      </c>
      <c r="V58" s="141">
        <f t="shared" si="70"/>
        <v>0</v>
      </c>
      <c r="W58" s="141">
        <f t="shared" si="70"/>
        <v>0</v>
      </c>
      <c r="X58" s="141">
        <f t="shared" si="70"/>
        <v>0</v>
      </c>
      <c r="Y58" s="141">
        <f t="shared" si="70"/>
        <v>0</v>
      </c>
      <c r="Z58" s="141">
        <f t="shared" si="70"/>
        <v>0</v>
      </c>
      <c r="AA58" s="141">
        <f t="shared" si="70"/>
        <v>0</v>
      </c>
      <c r="AB58" s="141">
        <f t="shared" si="70"/>
        <v>0</v>
      </c>
      <c r="AC58" s="141">
        <f t="shared" si="70"/>
        <v>0</v>
      </c>
      <c r="AD58" s="141">
        <f t="shared" si="70"/>
        <v>0</v>
      </c>
      <c r="AE58" s="141">
        <f t="shared" si="70"/>
        <v>0</v>
      </c>
      <c r="AF58" s="141">
        <f t="shared" si="70"/>
        <v>0</v>
      </c>
      <c r="AG58" s="141">
        <f t="shared" si="70"/>
        <v>0</v>
      </c>
      <c r="AH58" s="141">
        <f t="shared" si="70"/>
        <v>0</v>
      </c>
      <c r="AI58" s="141">
        <f t="shared" ref="AI58:BN58" si="71">-AI38*AI48</f>
        <v>0</v>
      </c>
      <c r="AJ58" s="141">
        <f t="shared" si="71"/>
        <v>0</v>
      </c>
      <c r="AK58" s="141">
        <f t="shared" si="71"/>
        <v>0</v>
      </c>
      <c r="AL58" s="141">
        <f t="shared" si="71"/>
        <v>0</v>
      </c>
      <c r="AM58" s="141">
        <f t="shared" si="71"/>
        <v>0</v>
      </c>
      <c r="AN58" s="141">
        <f t="shared" si="71"/>
        <v>0</v>
      </c>
      <c r="AO58" s="141">
        <f t="shared" si="71"/>
        <v>0</v>
      </c>
      <c r="AP58" s="141">
        <f t="shared" si="71"/>
        <v>0</v>
      </c>
      <c r="AQ58" s="141">
        <f t="shared" si="71"/>
        <v>0</v>
      </c>
      <c r="AR58" s="141">
        <f t="shared" si="71"/>
        <v>0</v>
      </c>
      <c r="AS58" s="141">
        <f t="shared" si="71"/>
        <v>0</v>
      </c>
      <c r="AT58" s="141">
        <f t="shared" si="71"/>
        <v>0</v>
      </c>
      <c r="AU58" s="141">
        <f t="shared" si="71"/>
        <v>0</v>
      </c>
      <c r="AV58" s="141">
        <f t="shared" si="71"/>
        <v>0</v>
      </c>
      <c r="AW58" s="141">
        <f t="shared" si="71"/>
        <v>0</v>
      </c>
      <c r="AX58" s="141">
        <f t="shared" si="71"/>
        <v>0</v>
      </c>
      <c r="AY58" s="141">
        <f t="shared" si="71"/>
        <v>0</v>
      </c>
      <c r="AZ58" s="141">
        <f t="shared" si="71"/>
        <v>0</v>
      </c>
      <c r="BA58" s="141">
        <f t="shared" si="71"/>
        <v>0</v>
      </c>
      <c r="BB58" s="141">
        <f t="shared" si="71"/>
        <v>0</v>
      </c>
      <c r="BC58" s="141">
        <f t="shared" si="71"/>
        <v>0</v>
      </c>
      <c r="BD58" s="141">
        <f t="shared" si="71"/>
        <v>0</v>
      </c>
      <c r="BE58" s="141">
        <f t="shared" si="71"/>
        <v>0</v>
      </c>
      <c r="BF58" s="141">
        <f t="shared" si="71"/>
        <v>0</v>
      </c>
      <c r="BG58" s="141">
        <f t="shared" si="71"/>
        <v>0</v>
      </c>
      <c r="BH58" s="141">
        <f t="shared" si="71"/>
        <v>0</v>
      </c>
      <c r="BI58" s="141">
        <f t="shared" si="71"/>
        <v>0</v>
      </c>
      <c r="BJ58" s="141">
        <f t="shared" si="71"/>
        <v>0</v>
      </c>
      <c r="BK58" s="141">
        <f t="shared" si="71"/>
        <v>0</v>
      </c>
      <c r="BL58" s="141">
        <f t="shared" si="71"/>
        <v>0</v>
      </c>
      <c r="BM58" s="141">
        <f t="shared" si="71"/>
        <v>0</v>
      </c>
      <c r="BN58" s="141">
        <f t="shared" si="71"/>
        <v>0</v>
      </c>
      <c r="BO58" s="141">
        <f t="shared" ref="BO58:BV58" si="72">-BO38*BO48</f>
        <v>0</v>
      </c>
      <c r="BP58" s="141">
        <f t="shared" si="72"/>
        <v>0</v>
      </c>
      <c r="BQ58" s="141">
        <f t="shared" si="72"/>
        <v>0</v>
      </c>
      <c r="BR58" s="141">
        <f t="shared" si="72"/>
        <v>0</v>
      </c>
      <c r="BS58" s="141">
        <f t="shared" si="72"/>
        <v>0</v>
      </c>
      <c r="BT58" s="141">
        <f t="shared" si="72"/>
        <v>0</v>
      </c>
      <c r="BU58" s="141">
        <f t="shared" si="72"/>
        <v>0</v>
      </c>
      <c r="BV58" s="141">
        <f t="shared" si="72"/>
        <v>0</v>
      </c>
    </row>
    <row r="59" spans="2:74" s="127" customFormat="1" ht="15.75" hidden="1" customHeight="1" outlineLevel="1" thickBot="1" x14ac:dyDescent="0.25">
      <c r="B59" s="126" t="s">
        <v>58</v>
      </c>
      <c r="C59" s="142">
        <f t="shared" ref="C59:AH59" si="73">-C39*C49</f>
        <v>0</v>
      </c>
      <c r="D59" s="143">
        <f t="shared" si="73"/>
        <v>0</v>
      </c>
      <c r="E59" s="144">
        <f t="shared" si="73"/>
        <v>0</v>
      </c>
      <c r="F59" s="144">
        <f t="shared" si="73"/>
        <v>0</v>
      </c>
      <c r="G59" s="144">
        <f t="shared" si="73"/>
        <v>0</v>
      </c>
      <c r="H59" s="144">
        <f t="shared" si="73"/>
        <v>0</v>
      </c>
      <c r="I59" s="144">
        <f t="shared" si="73"/>
        <v>0</v>
      </c>
      <c r="J59" s="144">
        <f t="shared" si="73"/>
        <v>0</v>
      </c>
      <c r="K59" s="144">
        <f t="shared" si="73"/>
        <v>0</v>
      </c>
      <c r="L59" s="144">
        <f t="shared" si="73"/>
        <v>0</v>
      </c>
      <c r="M59" s="144">
        <f t="shared" si="73"/>
        <v>0</v>
      </c>
      <c r="N59" s="144">
        <f t="shared" si="73"/>
        <v>0</v>
      </c>
      <c r="O59" s="144">
        <f t="shared" si="73"/>
        <v>0</v>
      </c>
      <c r="P59" s="144">
        <f t="shared" si="73"/>
        <v>0</v>
      </c>
      <c r="Q59" s="144">
        <f t="shared" si="73"/>
        <v>0</v>
      </c>
      <c r="R59" s="144">
        <f t="shared" si="73"/>
        <v>0</v>
      </c>
      <c r="S59" s="144">
        <f t="shared" si="73"/>
        <v>0</v>
      </c>
      <c r="T59" s="144">
        <f t="shared" si="73"/>
        <v>0</v>
      </c>
      <c r="U59" s="144">
        <f t="shared" si="73"/>
        <v>0</v>
      </c>
      <c r="V59" s="144">
        <f t="shared" si="73"/>
        <v>0</v>
      </c>
      <c r="W59" s="144">
        <f t="shared" si="73"/>
        <v>0</v>
      </c>
      <c r="X59" s="144">
        <f t="shared" si="73"/>
        <v>0</v>
      </c>
      <c r="Y59" s="144">
        <f t="shared" si="73"/>
        <v>0</v>
      </c>
      <c r="Z59" s="144">
        <f t="shared" si="73"/>
        <v>0</v>
      </c>
      <c r="AA59" s="144">
        <f t="shared" si="73"/>
        <v>0</v>
      </c>
      <c r="AB59" s="144">
        <f t="shared" si="73"/>
        <v>0</v>
      </c>
      <c r="AC59" s="144">
        <f t="shared" si="73"/>
        <v>0</v>
      </c>
      <c r="AD59" s="144">
        <f t="shared" si="73"/>
        <v>0</v>
      </c>
      <c r="AE59" s="144">
        <f t="shared" si="73"/>
        <v>0</v>
      </c>
      <c r="AF59" s="144">
        <f t="shared" si="73"/>
        <v>0</v>
      </c>
      <c r="AG59" s="144">
        <f t="shared" si="73"/>
        <v>0</v>
      </c>
      <c r="AH59" s="144">
        <f t="shared" si="73"/>
        <v>0</v>
      </c>
      <c r="AI59" s="144">
        <f t="shared" ref="AI59:BN59" si="74">-AI39*AI49</f>
        <v>0</v>
      </c>
      <c r="AJ59" s="144">
        <f t="shared" si="74"/>
        <v>0</v>
      </c>
      <c r="AK59" s="144">
        <f t="shared" si="74"/>
        <v>0</v>
      </c>
      <c r="AL59" s="144">
        <f t="shared" si="74"/>
        <v>0</v>
      </c>
      <c r="AM59" s="144">
        <f t="shared" si="74"/>
        <v>0</v>
      </c>
      <c r="AN59" s="144">
        <f t="shared" si="74"/>
        <v>0</v>
      </c>
      <c r="AO59" s="144">
        <f t="shared" si="74"/>
        <v>0</v>
      </c>
      <c r="AP59" s="144">
        <f t="shared" si="74"/>
        <v>0</v>
      </c>
      <c r="AQ59" s="144">
        <f t="shared" si="74"/>
        <v>0</v>
      </c>
      <c r="AR59" s="144">
        <f t="shared" si="74"/>
        <v>0</v>
      </c>
      <c r="AS59" s="144">
        <f t="shared" si="74"/>
        <v>0</v>
      </c>
      <c r="AT59" s="144">
        <f t="shared" si="74"/>
        <v>0</v>
      </c>
      <c r="AU59" s="144">
        <f t="shared" si="74"/>
        <v>0</v>
      </c>
      <c r="AV59" s="144">
        <f t="shared" si="74"/>
        <v>0</v>
      </c>
      <c r="AW59" s="144">
        <f t="shared" si="74"/>
        <v>0</v>
      </c>
      <c r="AX59" s="144">
        <f t="shared" si="74"/>
        <v>0</v>
      </c>
      <c r="AY59" s="144">
        <f t="shared" si="74"/>
        <v>0</v>
      </c>
      <c r="AZ59" s="144">
        <f t="shared" si="74"/>
        <v>0</v>
      </c>
      <c r="BA59" s="144">
        <f t="shared" si="74"/>
        <v>0</v>
      </c>
      <c r="BB59" s="144">
        <f t="shared" si="74"/>
        <v>0</v>
      </c>
      <c r="BC59" s="144">
        <f t="shared" si="74"/>
        <v>0</v>
      </c>
      <c r="BD59" s="144">
        <f t="shared" si="74"/>
        <v>0</v>
      </c>
      <c r="BE59" s="144">
        <f t="shared" si="74"/>
        <v>0</v>
      </c>
      <c r="BF59" s="144">
        <f t="shared" si="74"/>
        <v>0</v>
      </c>
      <c r="BG59" s="144">
        <f t="shared" si="74"/>
        <v>0</v>
      </c>
      <c r="BH59" s="144">
        <f t="shared" si="74"/>
        <v>0</v>
      </c>
      <c r="BI59" s="144">
        <f t="shared" si="74"/>
        <v>0</v>
      </c>
      <c r="BJ59" s="144">
        <f t="shared" si="74"/>
        <v>0</v>
      </c>
      <c r="BK59" s="144">
        <f t="shared" si="74"/>
        <v>0</v>
      </c>
      <c r="BL59" s="144">
        <f t="shared" si="74"/>
        <v>0</v>
      </c>
      <c r="BM59" s="144">
        <f t="shared" si="74"/>
        <v>0</v>
      </c>
      <c r="BN59" s="144">
        <f t="shared" si="74"/>
        <v>0</v>
      </c>
      <c r="BO59" s="144">
        <f t="shared" ref="BO59:BV59" si="75">-BO39*BO49</f>
        <v>0</v>
      </c>
      <c r="BP59" s="144">
        <f t="shared" si="75"/>
        <v>0</v>
      </c>
      <c r="BQ59" s="144">
        <f t="shared" si="75"/>
        <v>0</v>
      </c>
      <c r="BR59" s="144">
        <f t="shared" si="75"/>
        <v>0</v>
      </c>
      <c r="BS59" s="144">
        <f t="shared" si="75"/>
        <v>0</v>
      </c>
      <c r="BT59" s="144">
        <f t="shared" si="75"/>
        <v>0</v>
      </c>
      <c r="BU59" s="144">
        <f t="shared" si="75"/>
        <v>0</v>
      </c>
      <c r="BV59" s="144">
        <f t="shared" si="75"/>
        <v>0</v>
      </c>
    </row>
    <row r="60" spans="2:74" s="125" customFormat="1" ht="15.75" customHeight="1" collapsed="1" x14ac:dyDescent="0.2">
      <c r="B60" s="129" t="s">
        <v>79</v>
      </c>
      <c r="C60" s="98">
        <f t="shared" ref="C60:AH60" si="76">+IFERROR(SUMPRODUCT(C61:C69,C9:C17)/SUM(C9:C17),0)</f>
        <v>1.4285714285714285E-2</v>
      </c>
      <c r="D60" s="100">
        <f t="shared" si="76"/>
        <v>1.4253393665158371E-2</v>
      </c>
      <c r="E60" s="98">
        <f t="shared" si="76"/>
        <v>1.421969045571797E-2</v>
      </c>
      <c r="F60" s="98">
        <f t="shared" si="76"/>
        <v>1.4184552862131638E-2</v>
      </c>
      <c r="G60" s="98">
        <f t="shared" si="76"/>
        <v>1.4147927823242017E-2</v>
      </c>
      <c r="H60" s="98">
        <f t="shared" si="76"/>
        <v>1.4109761046073564E-2</v>
      </c>
      <c r="I60" s="98">
        <f t="shared" si="76"/>
        <v>1.4069997047808203E-2</v>
      </c>
      <c r="J60" s="98">
        <f t="shared" si="76"/>
        <v>1.4028579206294202E-2</v>
      </c>
      <c r="K60" s="98">
        <f t="shared" si="76"/>
        <v>1.3985449819741105E-2</v>
      </c>
      <c r="L60" s="98">
        <f t="shared" si="76"/>
        <v>1.3940550176267328E-2</v>
      </c>
      <c r="M60" s="98">
        <f t="shared" si="76"/>
        <v>1.3893820633976409E-2</v>
      </c>
      <c r="N60" s="98">
        <f t="shared" si="76"/>
        <v>1.3845200712242003E-2</v>
      </c>
      <c r="O60" s="98">
        <f t="shared" si="76"/>
        <v>1.3794629194879678E-2</v>
      </c>
      <c r="P60" s="98">
        <f t="shared" si="76"/>
        <v>1.3742044245874444E-2</v>
      </c>
      <c r="Q60" s="98">
        <f t="shared" si="76"/>
        <v>1.3687383538315881E-2</v>
      </c>
      <c r="R60" s="98">
        <f t="shared" si="76"/>
        <v>1.363058439716637E-2</v>
      </c>
      <c r="S60" s="98">
        <f t="shared" si="76"/>
        <v>1.3571583956451666E-2</v>
      </c>
      <c r="T60" s="98">
        <f t="shared" si="76"/>
        <v>1.35103193314153E-2</v>
      </c>
      <c r="U60" s="98">
        <f t="shared" si="76"/>
        <v>1.3446727806118492E-2</v>
      </c>
      <c r="V60" s="98">
        <f t="shared" si="76"/>
        <v>1.3380747036893827E-2</v>
      </c>
      <c r="W60" s="98">
        <f t="shared" si="76"/>
        <v>1.331231527197336E-2</v>
      </c>
      <c r="X60" s="98">
        <f t="shared" si="76"/>
        <v>1.3241371587508714E-2</v>
      </c>
      <c r="Y60" s="98">
        <f t="shared" si="76"/>
        <v>1.3167856140081586E-2</v>
      </c>
      <c r="Z60" s="98">
        <f t="shared" si="76"/>
        <v>1.3091710435667181E-2</v>
      </c>
      <c r="AA60" s="98">
        <f t="shared" si="76"/>
        <v>1.3012877614859635E-2</v>
      </c>
      <c r="AB60" s="98">
        <f t="shared" si="76"/>
        <v>1.2931302753997743E-2</v>
      </c>
      <c r="AC60" s="98">
        <f t="shared" si="76"/>
        <v>1.2846933181640806E-2</v>
      </c>
      <c r="AD60" s="98">
        <f t="shared" si="76"/>
        <v>1.2759718809638816E-2</v>
      </c>
      <c r="AE60" s="98">
        <f t="shared" si="76"/>
        <v>1.2669612477819057E-2</v>
      </c>
      <c r="AF60" s="98">
        <f t="shared" si="76"/>
        <v>1.2576570311073796E-2</v>
      </c>
      <c r="AG60" s="98">
        <f t="shared" si="76"/>
        <v>1.2480552087382517E-2</v>
      </c>
      <c r="AH60" s="98">
        <f t="shared" si="76"/>
        <v>1.2381521615039534E-2</v>
      </c>
      <c r="AI60" s="98">
        <f t="shared" ref="AI60:BN60" si="77">+IFERROR(SUMPRODUCT(AI61:AI69,AI9:AI17)/SUM(AI9:AI17),0)</f>
        <v>1.2279447117086027E-2</v>
      </c>
      <c r="AJ60" s="98">
        <f t="shared" si="77"/>
        <v>1.2174301620668333E-2</v>
      </c>
      <c r="AK60" s="98">
        <f t="shared" si="77"/>
        <v>1.2066063348765099E-2</v>
      </c>
      <c r="AL60" s="98">
        <f t="shared" si="77"/>
        <v>1.1954716111449258E-2</v>
      </c>
      <c r="AM60" s="98">
        <f t="shared" si="77"/>
        <v>1.1840249693581696E-2</v>
      </c>
      <c r="AN60" s="98">
        <f t="shared" si="77"/>
        <v>1.1722660235577243E-2</v>
      </c>
      <c r="AO60" s="98">
        <f t="shared" si="77"/>
        <v>1.160195060364645E-2</v>
      </c>
      <c r="AP60" s="98">
        <f t="shared" si="77"/>
        <v>1.147813074570452E-2</v>
      </c>
      <c r="AQ60" s="98">
        <f t="shared" si="77"/>
        <v>1.1351218028958511E-2</v>
      </c>
      <c r="AR60" s="98">
        <f t="shared" si="77"/>
        <v>1.1221237555042281E-2</v>
      </c>
      <c r="AS60" s="98">
        <f t="shared" si="77"/>
        <v>1.1088222448472049E-2</v>
      </c>
      <c r="AT60" s="98">
        <f t="shared" si="77"/>
        <v>1.0952214114150581E-2</v>
      </c>
      <c r="AU60" s="98">
        <f t="shared" si="77"/>
        <v>1.0813262459661055E-2</v>
      </c>
      <c r="AV60" s="98">
        <f t="shared" si="77"/>
        <v>1.0671426078167666E-2</v>
      </c>
      <c r="AW60" s="98">
        <f t="shared" si="77"/>
        <v>1.0526772387884301E-2</v>
      </c>
      <c r="AX60" s="98">
        <f t="shared" si="77"/>
        <v>1.037937772428791E-2</v>
      </c>
      <c r="AY60" s="98">
        <f t="shared" si="77"/>
        <v>1.0229327381542802E-2</v>
      </c>
      <c r="AZ60" s="98">
        <f t="shared" si="77"/>
        <v>1.0076715599965858E-2</v>
      </c>
      <c r="BA60" s="98">
        <f t="shared" si="77"/>
        <v>9.9216454968005657E-3</v>
      </c>
      <c r="BB60" s="98">
        <f t="shared" si="77"/>
        <v>9.7642289380769041E-3</v>
      </c>
      <c r="BC60" s="98">
        <f t="shared" si="77"/>
        <v>9.6045863499099188E-3</v>
      </c>
      <c r="BD60" s="98">
        <f t="shared" si="77"/>
        <v>9.4428464682261969E-3</v>
      </c>
      <c r="BE60" s="98">
        <f t="shared" si="77"/>
        <v>9.2791460265959028E-3</v>
      </c>
      <c r="BF60" s="98">
        <f t="shared" si="77"/>
        <v>9.1136293825785798E-3</v>
      </c>
      <c r="BG60" s="98">
        <f t="shared" si="77"/>
        <v>8.9464480837516541E-3</v>
      </c>
      <c r="BH60" s="98">
        <f t="shared" si="77"/>
        <v>8.7777603753685391E-3</v>
      </c>
      <c r="BI60" s="98">
        <f t="shared" si="77"/>
        <v>8.6077306523737601E-3</v>
      </c>
      <c r="BJ60" s="98">
        <f t="shared" si="77"/>
        <v>8.4365288592706499E-3</v>
      </c>
      <c r="BK60" s="98">
        <f t="shared" si="77"/>
        <v>8.2643298420771848E-3</v>
      </c>
      <c r="BL60" s="98">
        <f t="shared" si="77"/>
        <v>8.0913126573019089E-3</v>
      </c>
      <c r="BM60" s="98">
        <f t="shared" si="77"/>
        <v>7.917659843509393E-3</v>
      </c>
      <c r="BN60" s="98">
        <f t="shared" si="77"/>
        <v>7.7435566616091541E-3</v>
      </c>
      <c r="BO60" s="98">
        <f t="shared" ref="BO60:BV60" si="78">+IFERROR(SUMPRODUCT(BO61:BO69,BO9:BO17)/SUM(BO9:BO17),0)</f>
        <v>7.5691903104805848E-3</v>
      </c>
      <c r="BP60" s="98">
        <f t="shared" si="78"/>
        <v>7.3947491249279516E-3</v>
      </c>
      <c r="BQ60" s="98">
        <f t="shared" si="78"/>
        <v>7.2204217632351473E-3</v>
      </c>
      <c r="BR60" s="98">
        <f t="shared" si="78"/>
        <v>7.046396391752926E-3</v>
      </c>
      <c r="BS60" s="98">
        <f t="shared" si="78"/>
        <v>6.8728598739979836E-3</v>
      </c>
      <c r="BT60" s="98">
        <f t="shared" si="78"/>
        <v>6.699996971672363E-3</v>
      </c>
      <c r="BU60" s="98">
        <f t="shared" si="78"/>
        <v>6.52798956482494E-3</v>
      </c>
      <c r="BV60" s="98">
        <f t="shared" si="78"/>
        <v>6.3570158980786025E-3</v>
      </c>
    </row>
    <row r="61" spans="2:74" s="127" customFormat="1" ht="15.75" hidden="1" customHeight="1" outlineLevel="1" x14ac:dyDescent="0.2">
      <c r="B61" s="126" t="s">
        <v>50</v>
      </c>
      <c r="C61" s="72">
        <v>0</v>
      </c>
      <c r="D61" s="65">
        <v>0</v>
      </c>
      <c r="E61" s="65">
        <v>0</v>
      </c>
      <c r="F61" s="65">
        <v>0</v>
      </c>
      <c r="G61" s="65">
        <v>0</v>
      </c>
      <c r="H61" s="65">
        <v>0</v>
      </c>
      <c r="I61" s="65">
        <v>0</v>
      </c>
      <c r="J61" s="65">
        <v>0</v>
      </c>
      <c r="K61" s="65">
        <v>0</v>
      </c>
      <c r="L61" s="65">
        <v>0</v>
      </c>
      <c r="M61" s="65">
        <v>0</v>
      </c>
      <c r="N61" s="65">
        <v>0</v>
      </c>
      <c r="O61" s="65">
        <v>0</v>
      </c>
      <c r="P61" s="65">
        <v>0</v>
      </c>
      <c r="Q61" s="65">
        <v>0</v>
      </c>
      <c r="R61" s="65">
        <v>0</v>
      </c>
      <c r="S61" s="65">
        <v>0</v>
      </c>
      <c r="T61" s="65">
        <v>0</v>
      </c>
      <c r="U61" s="65">
        <v>0</v>
      </c>
      <c r="V61" s="65">
        <v>0</v>
      </c>
      <c r="W61" s="65">
        <v>0</v>
      </c>
      <c r="X61" s="65">
        <v>0</v>
      </c>
      <c r="Y61" s="65">
        <v>0</v>
      </c>
      <c r="Z61" s="65">
        <v>0</v>
      </c>
      <c r="AA61" s="65">
        <v>0</v>
      </c>
      <c r="AB61" s="65">
        <v>0</v>
      </c>
      <c r="AC61" s="65">
        <v>0</v>
      </c>
      <c r="AD61" s="65">
        <v>0</v>
      </c>
      <c r="AE61" s="65">
        <v>0</v>
      </c>
      <c r="AF61" s="65">
        <v>0</v>
      </c>
      <c r="AG61" s="65">
        <v>0</v>
      </c>
      <c r="AH61" s="65">
        <v>0</v>
      </c>
      <c r="AI61" s="65">
        <v>0</v>
      </c>
      <c r="AJ61" s="65">
        <v>0</v>
      </c>
      <c r="AK61" s="65">
        <v>0</v>
      </c>
      <c r="AL61" s="65">
        <v>0</v>
      </c>
      <c r="AM61" s="65">
        <v>0</v>
      </c>
      <c r="AN61" s="65">
        <v>0</v>
      </c>
      <c r="AO61" s="65">
        <v>0</v>
      </c>
      <c r="AP61" s="65">
        <v>0</v>
      </c>
      <c r="AQ61" s="65">
        <v>0</v>
      </c>
      <c r="AR61" s="65">
        <v>0</v>
      </c>
      <c r="AS61" s="65">
        <v>0</v>
      </c>
      <c r="AT61" s="65">
        <v>0</v>
      </c>
      <c r="AU61" s="65">
        <v>0</v>
      </c>
      <c r="AV61" s="65">
        <v>0</v>
      </c>
      <c r="AW61" s="65">
        <v>0</v>
      </c>
      <c r="AX61" s="65">
        <v>0</v>
      </c>
      <c r="AY61" s="65">
        <v>0</v>
      </c>
      <c r="AZ61" s="65">
        <v>0</v>
      </c>
      <c r="BA61" s="65">
        <v>0</v>
      </c>
      <c r="BB61" s="65">
        <v>0</v>
      </c>
      <c r="BC61" s="65">
        <v>0</v>
      </c>
      <c r="BD61" s="65">
        <v>0</v>
      </c>
      <c r="BE61" s="65">
        <v>0</v>
      </c>
      <c r="BF61" s="65">
        <v>0</v>
      </c>
      <c r="BG61" s="65">
        <v>0</v>
      </c>
      <c r="BH61" s="65">
        <v>0</v>
      </c>
      <c r="BI61" s="65">
        <v>0</v>
      </c>
      <c r="BJ61" s="65">
        <v>0</v>
      </c>
      <c r="BK61" s="65">
        <v>0</v>
      </c>
      <c r="BL61" s="65">
        <v>0</v>
      </c>
      <c r="BM61" s="65">
        <v>0</v>
      </c>
      <c r="BN61" s="65">
        <v>0</v>
      </c>
      <c r="BO61" s="65">
        <v>0</v>
      </c>
      <c r="BP61" s="65">
        <v>0</v>
      </c>
      <c r="BQ61" s="65">
        <v>0</v>
      </c>
      <c r="BR61" s="65">
        <v>0</v>
      </c>
      <c r="BS61" s="65">
        <v>0</v>
      </c>
      <c r="BT61" s="65">
        <v>0</v>
      </c>
      <c r="BU61" s="65">
        <v>0</v>
      </c>
      <c r="BV61" s="65">
        <v>0</v>
      </c>
    </row>
    <row r="62" spans="2:74" s="127" customFormat="1" ht="15.75" hidden="1" customHeight="1" outlineLevel="1" x14ac:dyDescent="0.2">
      <c r="B62" s="126" t="s">
        <v>51</v>
      </c>
      <c r="C62" s="73">
        <v>0</v>
      </c>
      <c r="D62" s="68">
        <v>0</v>
      </c>
      <c r="E62" s="68">
        <v>0</v>
      </c>
      <c r="F62" s="68">
        <v>0</v>
      </c>
      <c r="G62" s="68">
        <v>0</v>
      </c>
      <c r="H62" s="68">
        <v>0</v>
      </c>
      <c r="I62" s="68">
        <v>0</v>
      </c>
      <c r="J62" s="68">
        <v>0</v>
      </c>
      <c r="K62" s="68">
        <v>0</v>
      </c>
      <c r="L62" s="68">
        <v>0</v>
      </c>
      <c r="M62" s="68">
        <v>0</v>
      </c>
      <c r="N62" s="68">
        <v>0</v>
      </c>
      <c r="O62" s="68">
        <v>0</v>
      </c>
      <c r="P62" s="68">
        <v>0</v>
      </c>
      <c r="Q62" s="68">
        <v>0</v>
      </c>
      <c r="R62" s="68">
        <v>0</v>
      </c>
      <c r="S62" s="68">
        <v>0</v>
      </c>
      <c r="T62" s="68">
        <v>0</v>
      </c>
      <c r="U62" s="68">
        <v>0</v>
      </c>
      <c r="V62" s="68">
        <v>0</v>
      </c>
      <c r="W62" s="68">
        <v>0</v>
      </c>
      <c r="X62" s="68">
        <v>0</v>
      </c>
      <c r="Y62" s="68">
        <v>0</v>
      </c>
      <c r="Z62" s="68">
        <v>0</v>
      </c>
      <c r="AA62" s="68">
        <v>0</v>
      </c>
      <c r="AB62" s="68">
        <v>0</v>
      </c>
      <c r="AC62" s="68">
        <v>0</v>
      </c>
      <c r="AD62" s="68">
        <v>0</v>
      </c>
      <c r="AE62" s="68">
        <v>0</v>
      </c>
      <c r="AF62" s="68">
        <v>0</v>
      </c>
      <c r="AG62" s="68">
        <v>0</v>
      </c>
      <c r="AH62" s="68">
        <v>0</v>
      </c>
      <c r="AI62" s="68">
        <v>0</v>
      </c>
      <c r="AJ62" s="68">
        <v>0</v>
      </c>
      <c r="AK62" s="68">
        <v>0</v>
      </c>
      <c r="AL62" s="68">
        <v>0</v>
      </c>
      <c r="AM62" s="68">
        <v>0</v>
      </c>
      <c r="AN62" s="68">
        <v>0</v>
      </c>
      <c r="AO62" s="68">
        <v>0</v>
      </c>
      <c r="AP62" s="68">
        <v>0</v>
      </c>
      <c r="AQ62" s="68">
        <v>0</v>
      </c>
      <c r="AR62" s="68">
        <v>0</v>
      </c>
      <c r="AS62" s="68">
        <v>0</v>
      </c>
      <c r="AT62" s="68">
        <v>0</v>
      </c>
      <c r="AU62" s="68">
        <v>0</v>
      </c>
      <c r="AV62" s="68">
        <v>0</v>
      </c>
      <c r="AW62" s="68">
        <v>0</v>
      </c>
      <c r="AX62" s="68">
        <v>0</v>
      </c>
      <c r="AY62" s="68">
        <v>0</v>
      </c>
      <c r="AZ62" s="68">
        <v>0</v>
      </c>
      <c r="BA62" s="68">
        <v>0</v>
      </c>
      <c r="BB62" s="68">
        <v>0</v>
      </c>
      <c r="BC62" s="68">
        <v>0</v>
      </c>
      <c r="BD62" s="68">
        <v>0</v>
      </c>
      <c r="BE62" s="68">
        <v>0</v>
      </c>
      <c r="BF62" s="68">
        <v>0</v>
      </c>
      <c r="BG62" s="68">
        <v>0</v>
      </c>
      <c r="BH62" s="68">
        <v>0</v>
      </c>
      <c r="BI62" s="68">
        <v>0</v>
      </c>
      <c r="BJ62" s="68">
        <v>0</v>
      </c>
      <c r="BK62" s="68">
        <v>0</v>
      </c>
      <c r="BL62" s="68">
        <v>0</v>
      </c>
      <c r="BM62" s="68">
        <v>0</v>
      </c>
      <c r="BN62" s="68">
        <v>0</v>
      </c>
      <c r="BO62" s="68">
        <v>0</v>
      </c>
      <c r="BP62" s="68">
        <v>0</v>
      </c>
      <c r="BQ62" s="68">
        <v>0</v>
      </c>
      <c r="BR62" s="68">
        <v>0</v>
      </c>
      <c r="BS62" s="68">
        <v>0</v>
      </c>
      <c r="BT62" s="68">
        <v>0</v>
      </c>
      <c r="BU62" s="68">
        <v>0</v>
      </c>
      <c r="BV62" s="68">
        <v>0</v>
      </c>
    </row>
    <row r="63" spans="2:74" s="127" customFormat="1" ht="15.75" hidden="1" customHeight="1" outlineLevel="1" x14ac:dyDescent="0.2">
      <c r="B63" s="126" t="s">
        <v>52</v>
      </c>
      <c r="C63" s="73">
        <v>0</v>
      </c>
      <c r="D63" s="68">
        <v>0</v>
      </c>
      <c r="E63" s="68">
        <v>0</v>
      </c>
      <c r="F63" s="68">
        <v>0</v>
      </c>
      <c r="G63" s="68">
        <v>0</v>
      </c>
      <c r="H63" s="68">
        <v>0</v>
      </c>
      <c r="I63" s="68">
        <v>0</v>
      </c>
      <c r="J63" s="68">
        <v>0</v>
      </c>
      <c r="K63" s="68">
        <v>0</v>
      </c>
      <c r="L63" s="68">
        <v>0</v>
      </c>
      <c r="M63" s="68">
        <v>0</v>
      </c>
      <c r="N63" s="68">
        <v>0</v>
      </c>
      <c r="O63" s="68">
        <v>0</v>
      </c>
      <c r="P63" s="68">
        <v>0</v>
      </c>
      <c r="Q63" s="68">
        <v>0</v>
      </c>
      <c r="R63" s="68">
        <v>0</v>
      </c>
      <c r="S63" s="68">
        <v>0</v>
      </c>
      <c r="T63" s="68">
        <v>0</v>
      </c>
      <c r="U63" s="68">
        <v>0</v>
      </c>
      <c r="V63" s="68">
        <v>0</v>
      </c>
      <c r="W63" s="68">
        <v>0</v>
      </c>
      <c r="X63" s="68">
        <v>0</v>
      </c>
      <c r="Y63" s="68">
        <v>0</v>
      </c>
      <c r="Z63" s="68">
        <v>0</v>
      </c>
      <c r="AA63" s="68">
        <v>0</v>
      </c>
      <c r="AB63" s="68">
        <v>0</v>
      </c>
      <c r="AC63" s="68">
        <v>0</v>
      </c>
      <c r="AD63" s="68">
        <v>0</v>
      </c>
      <c r="AE63" s="68">
        <v>0</v>
      </c>
      <c r="AF63" s="68">
        <v>0</v>
      </c>
      <c r="AG63" s="68">
        <v>0</v>
      </c>
      <c r="AH63" s="68">
        <v>0</v>
      </c>
      <c r="AI63" s="68">
        <v>0</v>
      </c>
      <c r="AJ63" s="68">
        <v>0</v>
      </c>
      <c r="AK63" s="68">
        <v>0</v>
      </c>
      <c r="AL63" s="68">
        <v>0</v>
      </c>
      <c r="AM63" s="68">
        <v>0</v>
      </c>
      <c r="AN63" s="68">
        <v>0</v>
      </c>
      <c r="AO63" s="68">
        <v>0</v>
      </c>
      <c r="AP63" s="68">
        <v>0</v>
      </c>
      <c r="AQ63" s="68">
        <v>0</v>
      </c>
      <c r="AR63" s="68">
        <v>0</v>
      </c>
      <c r="AS63" s="68">
        <v>0</v>
      </c>
      <c r="AT63" s="68">
        <v>0</v>
      </c>
      <c r="AU63" s="68">
        <v>0</v>
      </c>
      <c r="AV63" s="68">
        <v>0</v>
      </c>
      <c r="AW63" s="68">
        <v>0</v>
      </c>
      <c r="AX63" s="68">
        <v>0</v>
      </c>
      <c r="AY63" s="68">
        <v>0</v>
      </c>
      <c r="AZ63" s="68">
        <v>0</v>
      </c>
      <c r="BA63" s="68">
        <v>0</v>
      </c>
      <c r="BB63" s="68">
        <v>0</v>
      </c>
      <c r="BC63" s="68">
        <v>0</v>
      </c>
      <c r="BD63" s="68">
        <v>0</v>
      </c>
      <c r="BE63" s="68">
        <v>0</v>
      </c>
      <c r="BF63" s="68">
        <v>0</v>
      </c>
      <c r="BG63" s="68">
        <v>0</v>
      </c>
      <c r="BH63" s="68">
        <v>0</v>
      </c>
      <c r="BI63" s="68">
        <v>0</v>
      </c>
      <c r="BJ63" s="68">
        <v>0</v>
      </c>
      <c r="BK63" s="68">
        <v>0</v>
      </c>
      <c r="BL63" s="68">
        <v>0</v>
      </c>
      <c r="BM63" s="68">
        <v>0</v>
      </c>
      <c r="BN63" s="68">
        <v>0</v>
      </c>
      <c r="BO63" s="68">
        <v>0</v>
      </c>
      <c r="BP63" s="68">
        <v>0</v>
      </c>
      <c r="BQ63" s="68">
        <v>0</v>
      </c>
      <c r="BR63" s="68">
        <v>0</v>
      </c>
      <c r="BS63" s="68">
        <v>0</v>
      </c>
      <c r="BT63" s="68">
        <v>0</v>
      </c>
      <c r="BU63" s="68">
        <v>0</v>
      </c>
      <c r="BV63" s="68">
        <v>0</v>
      </c>
    </row>
    <row r="64" spans="2:74" s="127" customFormat="1" ht="15.75" hidden="1" customHeight="1" outlineLevel="1" x14ac:dyDescent="0.2">
      <c r="B64" s="126" t="s">
        <v>53</v>
      </c>
      <c r="C64" s="73">
        <v>0</v>
      </c>
      <c r="D64" s="68">
        <v>0</v>
      </c>
      <c r="E64" s="68">
        <v>0</v>
      </c>
      <c r="F64" s="68">
        <v>0</v>
      </c>
      <c r="G64" s="68">
        <v>0</v>
      </c>
      <c r="H64" s="68">
        <v>0</v>
      </c>
      <c r="I64" s="68">
        <v>0</v>
      </c>
      <c r="J64" s="68">
        <v>0</v>
      </c>
      <c r="K64" s="68">
        <v>0</v>
      </c>
      <c r="L64" s="68">
        <v>0</v>
      </c>
      <c r="M64" s="68">
        <v>0</v>
      </c>
      <c r="N64" s="68">
        <v>0</v>
      </c>
      <c r="O64" s="68">
        <v>0</v>
      </c>
      <c r="P64" s="68">
        <v>0</v>
      </c>
      <c r="Q64" s="68">
        <v>0</v>
      </c>
      <c r="R64" s="68">
        <v>0</v>
      </c>
      <c r="S64" s="68">
        <v>0</v>
      </c>
      <c r="T64" s="68">
        <v>0</v>
      </c>
      <c r="U64" s="68">
        <v>0</v>
      </c>
      <c r="V64" s="68">
        <v>0</v>
      </c>
      <c r="W64" s="68">
        <v>0</v>
      </c>
      <c r="X64" s="68">
        <v>0</v>
      </c>
      <c r="Y64" s="68">
        <v>0</v>
      </c>
      <c r="Z64" s="68">
        <v>0</v>
      </c>
      <c r="AA64" s="68">
        <v>0</v>
      </c>
      <c r="AB64" s="68">
        <v>0</v>
      </c>
      <c r="AC64" s="68">
        <v>0</v>
      </c>
      <c r="AD64" s="68">
        <v>0</v>
      </c>
      <c r="AE64" s="68">
        <v>0</v>
      </c>
      <c r="AF64" s="68">
        <v>0</v>
      </c>
      <c r="AG64" s="68">
        <v>0</v>
      </c>
      <c r="AH64" s="68">
        <v>0</v>
      </c>
      <c r="AI64" s="68">
        <v>0</v>
      </c>
      <c r="AJ64" s="68">
        <v>0</v>
      </c>
      <c r="AK64" s="68">
        <v>0</v>
      </c>
      <c r="AL64" s="68">
        <v>0</v>
      </c>
      <c r="AM64" s="68">
        <v>0</v>
      </c>
      <c r="AN64" s="68">
        <v>0</v>
      </c>
      <c r="AO64" s="68">
        <v>0</v>
      </c>
      <c r="AP64" s="68">
        <v>0</v>
      </c>
      <c r="AQ64" s="68">
        <v>0</v>
      </c>
      <c r="AR64" s="68">
        <v>0</v>
      </c>
      <c r="AS64" s="68">
        <v>0</v>
      </c>
      <c r="AT64" s="68">
        <v>0</v>
      </c>
      <c r="AU64" s="68">
        <v>0</v>
      </c>
      <c r="AV64" s="68">
        <v>0</v>
      </c>
      <c r="AW64" s="68">
        <v>0</v>
      </c>
      <c r="AX64" s="68">
        <v>0</v>
      </c>
      <c r="AY64" s="68">
        <v>0</v>
      </c>
      <c r="AZ64" s="68">
        <v>0</v>
      </c>
      <c r="BA64" s="68">
        <v>0</v>
      </c>
      <c r="BB64" s="68">
        <v>0</v>
      </c>
      <c r="BC64" s="68">
        <v>0</v>
      </c>
      <c r="BD64" s="68">
        <v>0</v>
      </c>
      <c r="BE64" s="68">
        <v>0</v>
      </c>
      <c r="BF64" s="68">
        <v>0</v>
      </c>
      <c r="BG64" s="68">
        <v>0</v>
      </c>
      <c r="BH64" s="68">
        <v>0</v>
      </c>
      <c r="BI64" s="68">
        <v>0</v>
      </c>
      <c r="BJ64" s="68">
        <v>0</v>
      </c>
      <c r="BK64" s="68">
        <v>0</v>
      </c>
      <c r="BL64" s="68">
        <v>0</v>
      </c>
      <c r="BM64" s="68">
        <v>0</v>
      </c>
      <c r="BN64" s="68">
        <v>0</v>
      </c>
      <c r="BO64" s="68">
        <v>0</v>
      </c>
      <c r="BP64" s="68">
        <v>0</v>
      </c>
      <c r="BQ64" s="68">
        <v>0</v>
      </c>
      <c r="BR64" s="68">
        <v>0</v>
      </c>
      <c r="BS64" s="68">
        <v>0</v>
      </c>
      <c r="BT64" s="68">
        <v>0</v>
      </c>
      <c r="BU64" s="68">
        <v>0</v>
      </c>
      <c r="BV64" s="68">
        <v>0</v>
      </c>
    </row>
    <row r="65" spans="2:74" s="127" customFormat="1" ht="15.75" hidden="1" customHeight="1" outlineLevel="1" x14ac:dyDescent="0.2">
      <c r="B65" s="126" t="s">
        <v>54</v>
      </c>
      <c r="C65" s="73">
        <v>1.4999999999999999E-2</v>
      </c>
      <c r="D65" s="68">
        <v>1.4999999999999999E-2</v>
      </c>
      <c r="E65" s="68">
        <v>1.4999999999999999E-2</v>
      </c>
      <c r="F65" s="68">
        <v>1.4999999999999999E-2</v>
      </c>
      <c r="G65" s="68">
        <v>1.4999999999999999E-2</v>
      </c>
      <c r="H65" s="68">
        <v>1.4999999999999999E-2</v>
      </c>
      <c r="I65" s="68">
        <v>1.4999999999999999E-2</v>
      </c>
      <c r="J65" s="68">
        <v>1.4999999999999999E-2</v>
      </c>
      <c r="K65" s="68">
        <v>1.4999999999999999E-2</v>
      </c>
      <c r="L65" s="68">
        <v>1.4999999999999999E-2</v>
      </c>
      <c r="M65" s="68">
        <v>1.4999999999999999E-2</v>
      </c>
      <c r="N65" s="68">
        <v>1.4999999999999999E-2</v>
      </c>
      <c r="O65" s="68">
        <v>1.4999999999999999E-2</v>
      </c>
      <c r="P65" s="68">
        <v>1.4999999999999999E-2</v>
      </c>
      <c r="Q65" s="68">
        <v>1.4999999999999999E-2</v>
      </c>
      <c r="R65" s="68">
        <v>1.4999999999999999E-2</v>
      </c>
      <c r="S65" s="68">
        <v>1.4999999999999999E-2</v>
      </c>
      <c r="T65" s="68">
        <v>1.4999999999999999E-2</v>
      </c>
      <c r="U65" s="68">
        <v>1.4999999999999999E-2</v>
      </c>
      <c r="V65" s="68">
        <v>1.4999999999999999E-2</v>
      </c>
      <c r="W65" s="68">
        <v>1.4999999999999999E-2</v>
      </c>
      <c r="X65" s="68">
        <v>1.4999999999999999E-2</v>
      </c>
      <c r="Y65" s="68">
        <v>1.4999999999999999E-2</v>
      </c>
      <c r="Z65" s="68">
        <v>1.4999999999999999E-2</v>
      </c>
      <c r="AA65" s="68">
        <v>1.4999999999999999E-2</v>
      </c>
      <c r="AB65" s="68">
        <v>1.4999999999999999E-2</v>
      </c>
      <c r="AC65" s="68">
        <v>1.4999999999999999E-2</v>
      </c>
      <c r="AD65" s="68">
        <v>1.4999999999999999E-2</v>
      </c>
      <c r="AE65" s="68">
        <v>1.4999999999999999E-2</v>
      </c>
      <c r="AF65" s="68">
        <v>1.4999999999999999E-2</v>
      </c>
      <c r="AG65" s="68">
        <v>1.4999999999999999E-2</v>
      </c>
      <c r="AH65" s="68">
        <v>1.4999999999999999E-2</v>
      </c>
      <c r="AI65" s="68">
        <v>1.4999999999999999E-2</v>
      </c>
      <c r="AJ65" s="68">
        <v>1.4999999999999999E-2</v>
      </c>
      <c r="AK65" s="68">
        <v>1.4999999999999999E-2</v>
      </c>
      <c r="AL65" s="68">
        <v>1.4999999999999999E-2</v>
      </c>
      <c r="AM65" s="68">
        <v>1.4999999999999999E-2</v>
      </c>
      <c r="AN65" s="68">
        <v>1.4999999999999999E-2</v>
      </c>
      <c r="AO65" s="68">
        <v>1.4999999999999999E-2</v>
      </c>
      <c r="AP65" s="68">
        <v>1.4999999999999999E-2</v>
      </c>
      <c r="AQ65" s="68">
        <v>1.4999999999999999E-2</v>
      </c>
      <c r="AR65" s="68">
        <v>1.4999999999999999E-2</v>
      </c>
      <c r="AS65" s="68">
        <v>1.4999999999999999E-2</v>
      </c>
      <c r="AT65" s="68">
        <v>1.4999999999999999E-2</v>
      </c>
      <c r="AU65" s="68">
        <v>1.4999999999999999E-2</v>
      </c>
      <c r="AV65" s="68">
        <v>1.4999999999999999E-2</v>
      </c>
      <c r="AW65" s="68">
        <v>1.4999999999999999E-2</v>
      </c>
      <c r="AX65" s="68">
        <v>1.4999999999999999E-2</v>
      </c>
      <c r="AY65" s="68">
        <v>1.4999999999999999E-2</v>
      </c>
      <c r="AZ65" s="68">
        <v>1.4999999999999999E-2</v>
      </c>
      <c r="BA65" s="68">
        <v>1.4999999999999999E-2</v>
      </c>
      <c r="BB65" s="68">
        <v>1.4999999999999999E-2</v>
      </c>
      <c r="BC65" s="68">
        <v>1.4999999999999999E-2</v>
      </c>
      <c r="BD65" s="68">
        <v>1.4999999999999999E-2</v>
      </c>
      <c r="BE65" s="68">
        <v>1.4999999999999999E-2</v>
      </c>
      <c r="BF65" s="68">
        <v>1.4999999999999999E-2</v>
      </c>
      <c r="BG65" s="68">
        <v>1.4999999999999999E-2</v>
      </c>
      <c r="BH65" s="68">
        <v>1.4999999999999999E-2</v>
      </c>
      <c r="BI65" s="68">
        <v>1.4999999999999999E-2</v>
      </c>
      <c r="BJ65" s="68">
        <v>1.4999999999999999E-2</v>
      </c>
      <c r="BK65" s="68">
        <v>1.4999999999999999E-2</v>
      </c>
      <c r="BL65" s="68">
        <v>1.4999999999999999E-2</v>
      </c>
      <c r="BM65" s="68">
        <v>1.4999999999999999E-2</v>
      </c>
      <c r="BN65" s="68">
        <v>1.4999999999999999E-2</v>
      </c>
      <c r="BO65" s="68">
        <v>1.4999999999999999E-2</v>
      </c>
      <c r="BP65" s="68">
        <v>1.4999999999999999E-2</v>
      </c>
      <c r="BQ65" s="68">
        <v>1.4999999999999999E-2</v>
      </c>
      <c r="BR65" s="68">
        <v>1.4999999999999999E-2</v>
      </c>
      <c r="BS65" s="68">
        <v>1.4999999999999999E-2</v>
      </c>
      <c r="BT65" s="68">
        <v>1.4999999999999999E-2</v>
      </c>
      <c r="BU65" s="68">
        <v>1.4999999999999999E-2</v>
      </c>
      <c r="BV65" s="68">
        <v>1.4999999999999999E-2</v>
      </c>
    </row>
    <row r="66" spans="2:74" s="127" customFormat="1" ht="15.75" hidden="1" customHeight="1" outlineLevel="1" x14ac:dyDescent="0.2">
      <c r="B66" s="126" t="s">
        <v>55</v>
      </c>
      <c r="C66" s="73">
        <v>0</v>
      </c>
      <c r="D66" s="68">
        <v>0</v>
      </c>
      <c r="E66" s="68">
        <v>0</v>
      </c>
      <c r="F66" s="68">
        <v>0</v>
      </c>
      <c r="G66" s="68">
        <v>0</v>
      </c>
      <c r="H66" s="68">
        <v>0</v>
      </c>
      <c r="I66" s="68">
        <v>0</v>
      </c>
      <c r="J66" s="68">
        <v>0</v>
      </c>
      <c r="K66" s="68">
        <v>0</v>
      </c>
      <c r="L66" s="68">
        <v>0</v>
      </c>
      <c r="M66" s="68">
        <v>0</v>
      </c>
      <c r="N66" s="68">
        <v>0</v>
      </c>
      <c r="O66" s="68">
        <v>0</v>
      </c>
      <c r="P66" s="68">
        <v>0</v>
      </c>
      <c r="Q66" s="68">
        <v>0</v>
      </c>
      <c r="R66" s="68">
        <v>0</v>
      </c>
      <c r="S66" s="68">
        <v>0</v>
      </c>
      <c r="T66" s="68">
        <v>0</v>
      </c>
      <c r="U66" s="68">
        <v>0</v>
      </c>
      <c r="V66" s="68">
        <v>0</v>
      </c>
      <c r="W66" s="68">
        <v>0</v>
      </c>
      <c r="X66" s="68">
        <v>0</v>
      </c>
      <c r="Y66" s="68">
        <v>0</v>
      </c>
      <c r="Z66" s="68">
        <v>0</v>
      </c>
      <c r="AA66" s="68">
        <v>0</v>
      </c>
      <c r="AB66" s="68">
        <v>0</v>
      </c>
      <c r="AC66" s="68">
        <v>0</v>
      </c>
      <c r="AD66" s="68">
        <v>0</v>
      </c>
      <c r="AE66" s="68">
        <v>0</v>
      </c>
      <c r="AF66" s="68">
        <v>0</v>
      </c>
      <c r="AG66" s="68">
        <v>0</v>
      </c>
      <c r="AH66" s="68">
        <v>0</v>
      </c>
      <c r="AI66" s="68">
        <v>0</v>
      </c>
      <c r="AJ66" s="68">
        <v>0</v>
      </c>
      <c r="AK66" s="68">
        <v>0</v>
      </c>
      <c r="AL66" s="68">
        <v>0</v>
      </c>
      <c r="AM66" s="68">
        <v>0</v>
      </c>
      <c r="AN66" s="68">
        <v>0</v>
      </c>
      <c r="AO66" s="68">
        <v>0</v>
      </c>
      <c r="AP66" s="68">
        <v>0</v>
      </c>
      <c r="AQ66" s="68">
        <v>0</v>
      </c>
      <c r="AR66" s="68">
        <v>0</v>
      </c>
      <c r="AS66" s="68">
        <v>0</v>
      </c>
      <c r="AT66" s="68">
        <v>0</v>
      </c>
      <c r="AU66" s="68">
        <v>0</v>
      </c>
      <c r="AV66" s="68">
        <v>0</v>
      </c>
      <c r="AW66" s="68">
        <v>0</v>
      </c>
      <c r="AX66" s="68">
        <v>0</v>
      </c>
      <c r="AY66" s="68">
        <v>0</v>
      </c>
      <c r="AZ66" s="68">
        <v>0</v>
      </c>
      <c r="BA66" s="68">
        <v>0</v>
      </c>
      <c r="BB66" s="68">
        <v>0</v>
      </c>
      <c r="BC66" s="68">
        <v>0</v>
      </c>
      <c r="BD66" s="68">
        <v>0</v>
      </c>
      <c r="BE66" s="68">
        <v>0</v>
      </c>
      <c r="BF66" s="68">
        <v>0</v>
      </c>
      <c r="BG66" s="68">
        <v>0</v>
      </c>
      <c r="BH66" s="68">
        <v>0</v>
      </c>
      <c r="BI66" s="68">
        <v>0</v>
      </c>
      <c r="BJ66" s="68">
        <v>0</v>
      </c>
      <c r="BK66" s="68">
        <v>0</v>
      </c>
      <c r="BL66" s="68">
        <v>0</v>
      </c>
      <c r="BM66" s="68">
        <v>0</v>
      </c>
      <c r="BN66" s="68">
        <v>0</v>
      </c>
      <c r="BO66" s="68">
        <v>0</v>
      </c>
      <c r="BP66" s="68">
        <v>0</v>
      </c>
      <c r="BQ66" s="68">
        <v>0</v>
      </c>
      <c r="BR66" s="68">
        <v>0</v>
      </c>
      <c r="BS66" s="68">
        <v>0</v>
      </c>
      <c r="BT66" s="68">
        <v>0</v>
      </c>
      <c r="BU66" s="68">
        <v>0</v>
      </c>
      <c r="BV66" s="68">
        <v>0</v>
      </c>
    </row>
    <row r="67" spans="2:74" s="127" customFormat="1" ht="15.75" hidden="1" customHeight="1" outlineLevel="1" x14ac:dyDescent="0.2">
      <c r="B67" s="126" t="s">
        <v>56</v>
      </c>
      <c r="C67" s="73">
        <v>0</v>
      </c>
      <c r="D67" s="68">
        <v>0</v>
      </c>
      <c r="E67" s="68">
        <v>0</v>
      </c>
      <c r="F67" s="68">
        <v>0</v>
      </c>
      <c r="G67" s="68">
        <v>0</v>
      </c>
      <c r="H67" s="68">
        <v>0</v>
      </c>
      <c r="I67" s="68">
        <v>0</v>
      </c>
      <c r="J67" s="68">
        <v>0</v>
      </c>
      <c r="K67" s="68">
        <v>0</v>
      </c>
      <c r="L67" s="68">
        <v>0</v>
      </c>
      <c r="M67" s="68">
        <v>0</v>
      </c>
      <c r="N67" s="68">
        <v>0</v>
      </c>
      <c r="O67" s="68">
        <v>0</v>
      </c>
      <c r="P67" s="68">
        <v>0</v>
      </c>
      <c r="Q67" s="68">
        <v>0</v>
      </c>
      <c r="R67" s="68">
        <v>0</v>
      </c>
      <c r="S67" s="68">
        <v>0</v>
      </c>
      <c r="T67" s="68">
        <v>0</v>
      </c>
      <c r="U67" s="68">
        <v>0</v>
      </c>
      <c r="V67" s="68">
        <v>0</v>
      </c>
      <c r="W67" s="68">
        <v>0</v>
      </c>
      <c r="X67" s="68">
        <v>0</v>
      </c>
      <c r="Y67" s="68">
        <v>0</v>
      </c>
      <c r="Z67" s="68">
        <v>0</v>
      </c>
      <c r="AA67" s="68">
        <v>0</v>
      </c>
      <c r="AB67" s="68">
        <v>0</v>
      </c>
      <c r="AC67" s="68">
        <v>0</v>
      </c>
      <c r="AD67" s="68">
        <v>0</v>
      </c>
      <c r="AE67" s="68">
        <v>0</v>
      </c>
      <c r="AF67" s="68">
        <v>0</v>
      </c>
      <c r="AG67" s="68">
        <v>0</v>
      </c>
      <c r="AH67" s="68">
        <v>0</v>
      </c>
      <c r="AI67" s="68">
        <v>0</v>
      </c>
      <c r="AJ67" s="68">
        <v>0</v>
      </c>
      <c r="AK67" s="68">
        <v>0</v>
      </c>
      <c r="AL67" s="68">
        <v>0</v>
      </c>
      <c r="AM67" s="68">
        <v>0</v>
      </c>
      <c r="AN67" s="68">
        <v>0</v>
      </c>
      <c r="AO67" s="68">
        <v>0</v>
      </c>
      <c r="AP67" s="68">
        <v>0</v>
      </c>
      <c r="AQ67" s="68">
        <v>0</v>
      </c>
      <c r="AR67" s="68">
        <v>0</v>
      </c>
      <c r="AS67" s="68">
        <v>0</v>
      </c>
      <c r="AT67" s="68">
        <v>0</v>
      </c>
      <c r="AU67" s="68">
        <v>0</v>
      </c>
      <c r="AV67" s="68">
        <v>0</v>
      </c>
      <c r="AW67" s="68">
        <v>0</v>
      </c>
      <c r="AX67" s="68">
        <v>0</v>
      </c>
      <c r="AY67" s="68">
        <v>0</v>
      </c>
      <c r="AZ67" s="68">
        <v>0</v>
      </c>
      <c r="BA67" s="68">
        <v>0</v>
      </c>
      <c r="BB67" s="68">
        <v>0</v>
      </c>
      <c r="BC67" s="68">
        <v>0</v>
      </c>
      <c r="BD67" s="68">
        <v>0</v>
      </c>
      <c r="BE67" s="68">
        <v>0</v>
      </c>
      <c r="BF67" s="68">
        <v>0</v>
      </c>
      <c r="BG67" s="68">
        <v>0</v>
      </c>
      <c r="BH67" s="68">
        <v>0</v>
      </c>
      <c r="BI67" s="68">
        <v>0</v>
      </c>
      <c r="BJ67" s="68">
        <v>0</v>
      </c>
      <c r="BK67" s="68">
        <v>0</v>
      </c>
      <c r="BL67" s="68">
        <v>0</v>
      </c>
      <c r="BM67" s="68">
        <v>0</v>
      </c>
      <c r="BN67" s="68">
        <v>0</v>
      </c>
      <c r="BO67" s="68">
        <v>0</v>
      </c>
      <c r="BP67" s="68">
        <v>0</v>
      </c>
      <c r="BQ67" s="68">
        <v>0</v>
      </c>
      <c r="BR67" s="68">
        <v>0</v>
      </c>
      <c r="BS67" s="68">
        <v>0</v>
      </c>
      <c r="BT67" s="68">
        <v>0</v>
      </c>
      <c r="BU67" s="68">
        <v>0</v>
      </c>
      <c r="BV67" s="68">
        <v>0</v>
      </c>
    </row>
    <row r="68" spans="2:74" s="127" customFormat="1" ht="15.75" hidden="1" customHeight="1" outlineLevel="1" x14ac:dyDescent="0.2">
      <c r="B68" s="126" t="s">
        <v>57</v>
      </c>
      <c r="C68" s="73">
        <v>0</v>
      </c>
      <c r="D68" s="68">
        <v>0</v>
      </c>
      <c r="E68" s="68">
        <v>0</v>
      </c>
      <c r="F68" s="68">
        <v>0</v>
      </c>
      <c r="G68" s="68">
        <v>0</v>
      </c>
      <c r="H68" s="68">
        <v>0</v>
      </c>
      <c r="I68" s="68">
        <v>0</v>
      </c>
      <c r="J68" s="68">
        <v>0</v>
      </c>
      <c r="K68" s="68">
        <v>0</v>
      </c>
      <c r="L68" s="68">
        <v>0</v>
      </c>
      <c r="M68" s="68">
        <v>0</v>
      </c>
      <c r="N68" s="68">
        <v>0</v>
      </c>
      <c r="O68" s="68">
        <v>0</v>
      </c>
      <c r="P68" s="68">
        <v>0</v>
      </c>
      <c r="Q68" s="68">
        <v>0</v>
      </c>
      <c r="R68" s="68">
        <v>0</v>
      </c>
      <c r="S68" s="68">
        <v>0</v>
      </c>
      <c r="T68" s="68">
        <v>0</v>
      </c>
      <c r="U68" s="68">
        <v>0</v>
      </c>
      <c r="V68" s="68">
        <v>0</v>
      </c>
      <c r="W68" s="68">
        <v>0</v>
      </c>
      <c r="X68" s="68">
        <v>0</v>
      </c>
      <c r="Y68" s="68">
        <v>0</v>
      </c>
      <c r="Z68" s="68">
        <v>0</v>
      </c>
      <c r="AA68" s="68">
        <v>0</v>
      </c>
      <c r="AB68" s="68">
        <v>0</v>
      </c>
      <c r="AC68" s="68">
        <v>0</v>
      </c>
      <c r="AD68" s="68">
        <v>0</v>
      </c>
      <c r="AE68" s="68">
        <v>0</v>
      </c>
      <c r="AF68" s="68">
        <v>0</v>
      </c>
      <c r="AG68" s="68">
        <v>0</v>
      </c>
      <c r="AH68" s="68">
        <v>0</v>
      </c>
      <c r="AI68" s="68">
        <v>0</v>
      </c>
      <c r="AJ68" s="68">
        <v>0</v>
      </c>
      <c r="AK68" s="68">
        <v>0</v>
      </c>
      <c r="AL68" s="68">
        <v>0</v>
      </c>
      <c r="AM68" s="68">
        <v>0</v>
      </c>
      <c r="AN68" s="68">
        <v>0</v>
      </c>
      <c r="AO68" s="68">
        <v>0</v>
      </c>
      <c r="AP68" s="68">
        <v>0</v>
      </c>
      <c r="AQ68" s="68">
        <v>0</v>
      </c>
      <c r="AR68" s="68">
        <v>0</v>
      </c>
      <c r="AS68" s="68">
        <v>0</v>
      </c>
      <c r="AT68" s="68">
        <v>0</v>
      </c>
      <c r="AU68" s="68">
        <v>0</v>
      </c>
      <c r="AV68" s="68">
        <v>0</v>
      </c>
      <c r="AW68" s="68">
        <v>0</v>
      </c>
      <c r="AX68" s="68">
        <v>0</v>
      </c>
      <c r="AY68" s="68">
        <v>0</v>
      </c>
      <c r="AZ68" s="68">
        <v>0</v>
      </c>
      <c r="BA68" s="68">
        <v>0</v>
      </c>
      <c r="BB68" s="68">
        <v>0</v>
      </c>
      <c r="BC68" s="68">
        <v>0</v>
      </c>
      <c r="BD68" s="68">
        <v>0</v>
      </c>
      <c r="BE68" s="68">
        <v>0</v>
      </c>
      <c r="BF68" s="68">
        <v>0</v>
      </c>
      <c r="BG68" s="68">
        <v>0</v>
      </c>
      <c r="BH68" s="68">
        <v>0</v>
      </c>
      <c r="BI68" s="68">
        <v>0</v>
      </c>
      <c r="BJ68" s="68">
        <v>0</v>
      </c>
      <c r="BK68" s="68">
        <v>0</v>
      </c>
      <c r="BL68" s="68">
        <v>0</v>
      </c>
      <c r="BM68" s="68">
        <v>0</v>
      </c>
      <c r="BN68" s="68">
        <v>0</v>
      </c>
      <c r="BO68" s="68">
        <v>0</v>
      </c>
      <c r="BP68" s="68">
        <v>0</v>
      </c>
      <c r="BQ68" s="68">
        <v>0</v>
      </c>
      <c r="BR68" s="68">
        <v>0</v>
      </c>
      <c r="BS68" s="68">
        <v>0</v>
      </c>
      <c r="BT68" s="68">
        <v>0</v>
      </c>
      <c r="BU68" s="68">
        <v>0</v>
      </c>
      <c r="BV68" s="68">
        <v>0</v>
      </c>
    </row>
    <row r="69" spans="2:74" s="127" customFormat="1" ht="15.75" hidden="1" customHeight="1" outlineLevel="1" thickBot="1" x14ac:dyDescent="0.25">
      <c r="B69" s="126" t="s">
        <v>58</v>
      </c>
      <c r="C69" s="74">
        <v>0</v>
      </c>
      <c r="D69" s="71">
        <v>0</v>
      </c>
      <c r="E69" s="71">
        <v>0</v>
      </c>
      <c r="F69" s="71">
        <v>0</v>
      </c>
      <c r="G69" s="71">
        <v>0</v>
      </c>
      <c r="H69" s="71">
        <v>0</v>
      </c>
      <c r="I69" s="71">
        <v>0</v>
      </c>
      <c r="J69" s="71">
        <v>0</v>
      </c>
      <c r="K69" s="71">
        <v>0</v>
      </c>
      <c r="L69" s="71">
        <v>0</v>
      </c>
      <c r="M69" s="71">
        <v>0</v>
      </c>
      <c r="N69" s="71">
        <v>0</v>
      </c>
      <c r="O69" s="71">
        <v>0</v>
      </c>
      <c r="P69" s="71">
        <v>0</v>
      </c>
      <c r="Q69" s="71">
        <v>0</v>
      </c>
      <c r="R69" s="71">
        <v>0</v>
      </c>
      <c r="S69" s="71">
        <v>0</v>
      </c>
      <c r="T69" s="71">
        <v>0</v>
      </c>
      <c r="U69" s="71">
        <v>0</v>
      </c>
      <c r="V69" s="71">
        <v>0</v>
      </c>
      <c r="W69" s="71">
        <v>0</v>
      </c>
      <c r="X69" s="71">
        <v>0</v>
      </c>
      <c r="Y69" s="71">
        <v>0</v>
      </c>
      <c r="Z69" s="71">
        <v>0</v>
      </c>
      <c r="AA69" s="71">
        <v>0</v>
      </c>
      <c r="AB69" s="71">
        <v>0</v>
      </c>
      <c r="AC69" s="71">
        <v>0</v>
      </c>
      <c r="AD69" s="71">
        <v>0</v>
      </c>
      <c r="AE69" s="71">
        <v>0</v>
      </c>
      <c r="AF69" s="71">
        <v>0</v>
      </c>
      <c r="AG69" s="71">
        <v>0</v>
      </c>
      <c r="AH69" s="71">
        <v>0</v>
      </c>
      <c r="AI69" s="71">
        <v>0</v>
      </c>
      <c r="AJ69" s="71">
        <v>0</v>
      </c>
      <c r="AK69" s="71">
        <v>0</v>
      </c>
      <c r="AL69" s="71">
        <v>0</v>
      </c>
      <c r="AM69" s="71">
        <v>0</v>
      </c>
      <c r="AN69" s="71">
        <v>0</v>
      </c>
      <c r="AO69" s="71">
        <v>0</v>
      </c>
      <c r="AP69" s="71">
        <v>0</v>
      </c>
      <c r="AQ69" s="71">
        <v>0</v>
      </c>
      <c r="AR69" s="71">
        <v>0</v>
      </c>
      <c r="AS69" s="71">
        <v>0</v>
      </c>
      <c r="AT69" s="71">
        <v>0</v>
      </c>
      <c r="AU69" s="71">
        <v>0</v>
      </c>
      <c r="AV69" s="71">
        <v>0</v>
      </c>
      <c r="AW69" s="71">
        <v>0</v>
      </c>
      <c r="AX69" s="71">
        <v>0</v>
      </c>
      <c r="AY69" s="71">
        <v>0</v>
      </c>
      <c r="AZ69" s="71">
        <v>0</v>
      </c>
      <c r="BA69" s="71">
        <v>0</v>
      </c>
      <c r="BB69" s="71">
        <v>0</v>
      </c>
      <c r="BC69" s="71">
        <v>0</v>
      </c>
      <c r="BD69" s="71">
        <v>0</v>
      </c>
      <c r="BE69" s="71">
        <v>0</v>
      </c>
      <c r="BF69" s="71">
        <v>0</v>
      </c>
      <c r="BG69" s="71">
        <v>0</v>
      </c>
      <c r="BH69" s="71">
        <v>0</v>
      </c>
      <c r="BI69" s="71">
        <v>0</v>
      </c>
      <c r="BJ69" s="71">
        <v>0</v>
      </c>
      <c r="BK69" s="71">
        <v>0</v>
      </c>
      <c r="BL69" s="71">
        <v>0</v>
      </c>
      <c r="BM69" s="71">
        <v>0</v>
      </c>
      <c r="BN69" s="71">
        <v>0</v>
      </c>
      <c r="BO69" s="71">
        <v>0</v>
      </c>
      <c r="BP69" s="71">
        <v>0</v>
      </c>
      <c r="BQ69" s="71">
        <v>0</v>
      </c>
      <c r="BR69" s="71">
        <v>0</v>
      </c>
      <c r="BS69" s="71">
        <v>0</v>
      </c>
      <c r="BT69" s="71">
        <v>0</v>
      </c>
      <c r="BU69" s="71">
        <v>0</v>
      </c>
      <c r="BV69" s="71">
        <v>0</v>
      </c>
    </row>
    <row r="70" spans="2:74" s="125" customFormat="1" ht="15.75" customHeight="1" collapsed="1" x14ac:dyDescent="0.2">
      <c r="B70" s="128" t="s">
        <v>81</v>
      </c>
      <c r="C70" s="106">
        <f t="shared" ref="C70:AH70" si="79">+SUM(C71:C79)</f>
        <v>-825</v>
      </c>
      <c r="D70" s="106">
        <f t="shared" si="79"/>
        <v>-866.25</v>
      </c>
      <c r="E70" s="106">
        <f t="shared" si="79"/>
        <v>-909.5625</v>
      </c>
      <c r="F70" s="106">
        <f t="shared" si="79"/>
        <v>-955.04062499999998</v>
      </c>
      <c r="G70" s="106">
        <f t="shared" si="79"/>
        <v>-1002.7926562499999</v>
      </c>
      <c r="H70" s="106">
        <f t="shared" si="79"/>
        <v>-1052.9322890625001</v>
      </c>
      <c r="I70" s="106">
        <f t="shared" si="79"/>
        <v>-1105.5789035156249</v>
      </c>
      <c r="J70" s="106">
        <f t="shared" si="79"/>
        <v>-1160.8578486914064</v>
      </c>
      <c r="K70" s="106">
        <f t="shared" si="79"/>
        <v>-1218.9007411259768</v>
      </c>
      <c r="L70" s="106">
        <f t="shared" si="79"/>
        <v>-1279.8457781822758</v>
      </c>
      <c r="M70" s="106">
        <f t="shared" si="79"/>
        <v>-1343.8380670913896</v>
      </c>
      <c r="N70" s="106">
        <f t="shared" si="79"/>
        <v>-1411.029970445959</v>
      </c>
      <c r="O70" s="106">
        <f t="shared" si="79"/>
        <v>-1481.581468968257</v>
      </c>
      <c r="P70" s="106">
        <f t="shared" si="79"/>
        <v>-1555.6605424166701</v>
      </c>
      <c r="Q70" s="106">
        <f t="shared" si="79"/>
        <v>-1633.4435695375034</v>
      </c>
      <c r="R70" s="106">
        <f t="shared" si="79"/>
        <v>-1715.1157480143786</v>
      </c>
      <c r="S70" s="106">
        <f t="shared" si="79"/>
        <v>-1800.8715354150977</v>
      </c>
      <c r="T70" s="106">
        <f t="shared" si="79"/>
        <v>-1890.9151121858526</v>
      </c>
      <c r="U70" s="106">
        <f t="shared" si="79"/>
        <v>-1985.4608677951453</v>
      </c>
      <c r="V70" s="106">
        <f t="shared" si="79"/>
        <v>-2084.7339111849024</v>
      </c>
      <c r="W70" s="106">
        <f t="shared" si="79"/>
        <v>-2188.970606744148</v>
      </c>
      <c r="X70" s="106">
        <f t="shared" si="79"/>
        <v>-2298.4191370813555</v>
      </c>
      <c r="Y70" s="106">
        <f t="shared" si="79"/>
        <v>-2413.3400939354233</v>
      </c>
      <c r="Z70" s="106">
        <f t="shared" si="79"/>
        <v>-2534.0070986321944</v>
      </c>
      <c r="AA70" s="106">
        <f t="shared" si="79"/>
        <v>-2660.7074535638044</v>
      </c>
      <c r="AB70" s="106">
        <f t="shared" si="79"/>
        <v>-2793.7428262419944</v>
      </c>
      <c r="AC70" s="106">
        <f t="shared" si="79"/>
        <v>-2933.4299675540942</v>
      </c>
      <c r="AD70" s="106">
        <f t="shared" si="79"/>
        <v>-3080.1014659317989</v>
      </c>
      <c r="AE70" s="106">
        <f t="shared" si="79"/>
        <v>-3234.106539228389</v>
      </c>
      <c r="AF70" s="106">
        <f t="shared" si="79"/>
        <v>-3395.8118661898084</v>
      </c>
      <c r="AG70" s="106">
        <f t="shared" si="79"/>
        <v>-3565.6024594992991</v>
      </c>
      <c r="AH70" s="106">
        <f t="shared" si="79"/>
        <v>-3743.8825824742644</v>
      </c>
      <c r="AI70" s="106">
        <f t="shared" ref="AI70:BN70" si="80">+SUM(AI71:AI79)</f>
        <v>-3931.0767115979779</v>
      </c>
      <c r="AJ70" s="106">
        <f t="shared" si="80"/>
        <v>-4127.6305471778769</v>
      </c>
      <c r="AK70" s="106">
        <f t="shared" si="80"/>
        <v>-4334.0120745367713</v>
      </c>
      <c r="AL70" s="106">
        <f t="shared" si="80"/>
        <v>-4550.7126782636096</v>
      </c>
      <c r="AM70" s="106">
        <f t="shared" si="80"/>
        <v>-4778.24831217679</v>
      </c>
      <c r="AN70" s="106">
        <f t="shared" si="80"/>
        <v>-5017.1607277856301</v>
      </c>
      <c r="AO70" s="106">
        <f t="shared" si="80"/>
        <v>-5268.0187641749126</v>
      </c>
      <c r="AP70" s="106">
        <f t="shared" si="80"/>
        <v>-5531.4197023836587</v>
      </c>
      <c r="AQ70" s="106">
        <f t="shared" si="80"/>
        <v>-5807.9906875028428</v>
      </c>
      <c r="AR70" s="106">
        <f t="shared" si="80"/>
        <v>-6098.3902218779849</v>
      </c>
      <c r="AS70" s="106">
        <f t="shared" si="80"/>
        <v>-6403.3097329718848</v>
      </c>
      <c r="AT70" s="106">
        <f t="shared" si="80"/>
        <v>-6723.475219620479</v>
      </c>
      <c r="AU70" s="106">
        <f t="shared" si="80"/>
        <v>-7059.6489806015034</v>
      </c>
      <c r="AV70" s="106">
        <f t="shared" si="80"/>
        <v>-7412.6314296315795</v>
      </c>
      <c r="AW70" s="106">
        <f t="shared" si="80"/>
        <v>-7783.2630011131596</v>
      </c>
      <c r="AX70" s="106">
        <f t="shared" si="80"/>
        <v>-8172.4261511688164</v>
      </c>
      <c r="AY70" s="106">
        <f t="shared" si="80"/>
        <v>-8581.0474587272583</v>
      </c>
      <c r="AZ70" s="106">
        <f t="shared" si="80"/>
        <v>-9010.0998316636214</v>
      </c>
      <c r="BA70" s="106">
        <f t="shared" si="80"/>
        <v>-9460.604823246802</v>
      </c>
      <c r="BB70" s="106">
        <f t="shared" si="80"/>
        <v>-9933.6350644091417</v>
      </c>
      <c r="BC70" s="106">
        <f t="shared" si="80"/>
        <v>-10430.3168176296</v>
      </c>
      <c r="BD70" s="106">
        <f t="shared" si="80"/>
        <v>-10951.832658511081</v>
      </c>
      <c r="BE70" s="106">
        <f t="shared" si="80"/>
        <v>-11499.424291436637</v>
      </c>
      <c r="BF70" s="106">
        <f t="shared" si="80"/>
        <v>-12074.395506008466</v>
      </c>
      <c r="BG70" s="106">
        <f t="shared" si="80"/>
        <v>-12678.115281308892</v>
      </c>
      <c r="BH70" s="106">
        <f t="shared" si="80"/>
        <v>-13312.021045374335</v>
      </c>
      <c r="BI70" s="106">
        <f t="shared" si="80"/>
        <v>-13977.622097643052</v>
      </c>
      <c r="BJ70" s="106">
        <f t="shared" si="80"/>
        <v>-14676.503202525204</v>
      </c>
      <c r="BK70" s="106">
        <f t="shared" si="80"/>
        <v>-15410.328362651468</v>
      </c>
      <c r="BL70" s="106">
        <f t="shared" si="80"/>
        <v>-16180.844780784042</v>
      </c>
      <c r="BM70" s="106">
        <f t="shared" si="80"/>
        <v>-16989.887019823243</v>
      </c>
      <c r="BN70" s="106">
        <f t="shared" si="80"/>
        <v>-17839.381370814408</v>
      </c>
      <c r="BO70" s="106">
        <f t="shared" ref="BO70:BV70" si="81">+SUM(BO71:BO79)</f>
        <v>-18731.350439355127</v>
      </c>
      <c r="BP70" s="106">
        <f t="shared" si="81"/>
        <v>-19667.917961322884</v>
      </c>
      <c r="BQ70" s="106">
        <f t="shared" si="81"/>
        <v>-20651.313859389029</v>
      </c>
      <c r="BR70" s="106">
        <f t="shared" si="81"/>
        <v>-21683.879552358478</v>
      </c>
      <c r="BS70" s="106">
        <f t="shared" si="81"/>
        <v>-22768.073529976402</v>
      </c>
      <c r="BT70" s="106">
        <f t="shared" si="81"/>
        <v>-23906.477206475221</v>
      </c>
      <c r="BU70" s="106">
        <f t="shared" si="81"/>
        <v>-25101.801066798984</v>
      </c>
      <c r="BV70" s="106">
        <f t="shared" si="81"/>
        <v>-26356.891120138931</v>
      </c>
    </row>
    <row r="71" spans="2:74" s="127" customFormat="1" ht="15.75" hidden="1" customHeight="1" outlineLevel="1" x14ac:dyDescent="0.2">
      <c r="B71" s="126" t="s">
        <v>50</v>
      </c>
      <c r="C71" s="145">
        <f t="shared" ref="C71:AH71" si="82">-C31*C61</f>
        <v>0</v>
      </c>
      <c r="D71" s="146">
        <f t="shared" si="82"/>
        <v>0</v>
      </c>
      <c r="E71" s="147">
        <f t="shared" si="82"/>
        <v>0</v>
      </c>
      <c r="F71" s="147">
        <f t="shared" si="82"/>
        <v>0</v>
      </c>
      <c r="G71" s="147">
        <f t="shared" si="82"/>
        <v>0</v>
      </c>
      <c r="H71" s="147">
        <f t="shared" si="82"/>
        <v>0</v>
      </c>
      <c r="I71" s="147">
        <f t="shared" si="82"/>
        <v>0</v>
      </c>
      <c r="J71" s="147">
        <f t="shared" si="82"/>
        <v>0</v>
      </c>
      <c r="K71" s="147">
        <f t="shared" si="82"/>
        <v>0</v>
      </c>
      <c r="L71" s="147">
        <f t="shared" si="82"/>
        <v>0</v>
      </c>
      <c r="M71" s="147">
        <f t="shared" si="82"/>
        <v>0</v>
      </c>
      <c r="N71" s="147">
        <f t="shared" si="82"/>
        <v>0</v>
      </c>
      <c r="O71" s="147">
        <f t="shared" si="82"/>
        <v>0</v>
      </c>
      <c r="P71" s="147">
        <f t="shared" si="82"/>
        <v>0</v>
      </c>
      <c r="Q71" s="147">
        <f t="shared" si="82"/>
        <v>0</v>
      </c>
      <c r="R71" s="147">
        <f t="shared" si="82"/>
        <v>0</v>
      </c>
      <c r="S71" s="147">
        <f t="shared" si="82"/>
        <v>0</v>
      </c>
      <c r="T71" s="147">
        <f t="shared" si="82"/>
        <v>0</v>
      </c>
      <c r="U71" s="147">
        <f t="shared" si="82"/>
        <v>0</v>
      </c>
      <c r="V71" s="147">
        <f t="shared" si="82"/>
        <v>0</v>
      </c>
      <c r="W71" s="147">
        <f t="shared" si="82"/>
        <v>0</v>
      </c>
      <c r="X71" s="147">
        <f t="shared" si="82"/>
        <v>0</v>
      </c>
      <c r="Y71" s="147">
        <f t="shared" si="82"/>
        <v>0</v>
      </c>
      <c r="Z71" s="147">
        <f t="shared" si="82"/>
        <v>0</v>
      </c>
      <c r="AA71" s="147">
        <f t="shared" si="82"/>
        <v>0</v>
      </c>
      <c r="AB71" s="147">
        <f t="shared" si="82"/>
        <v>0</v>
      </c>
      <c r="AC71" s="147">
        <f t="shared" si="82"/>
        <v>0</v>
      </c>
      <c r="AD71" s="147">
        <f t="shared" si="82"/>
        <v>0</v>
      </c>
      <c r="AE71" s="147">
        <f t="shared" si="82"/>
        <v>0</v>
      </c>
      <c r="AF71" s="147">
        <f t="shared" si="82"/>
        <v>0</v>
      </c>
      <c r="AG71" s="147">
        <f t="shared" si="82"/>
        <v>0</v>
      </c>
      <c r="AH71" s="147">
        <f t="shared" si="82"/>
        <v>0</v>
      </c>
      <c r="AI71" s="147">
        <f t="shared" ref="AI71:BN71" si="83">-AI31*AI61</f>
        <v>0</v>
      </c>
      <c r="AJ71" s="147">
        <f t="shared" si="83"/>
        <v>0</v>
      </c>
      <c r="AK71" s="147">
        <f t="shared" si="83"/>
        <v>0</v>
      </c>
      <c r="AL71" s="147">
        <f t="shared" si="83"/>
        <v>0</v>
      </c>
      <c r="AM71" s="147">
        <f t="shared" si="83"/>
        <v>0</v>
      </c>
      <c r="AN71" s="147">
        <f t="shared" si="83"/>
        <v>0</v>
      </c>
      <c r="AO71" s="147">
        <f t="shared" si="83"/>
        <v>0</v>
      </c>
      <c r="AP71" s="147">
        <f t="shared" si="83"/>
        <v>0</v>
      </c>
      <c r="AQ71" s="147">
        <f t="shared" si="83"/>
        <v>0</v>
      </c>
      <c r="AR71" s="147">
        <f t="shared" si="83"/>
        <v>0</v>
      </c>
      <c r="AS71" s="147">
        <f t="shared" si="83"/>
        <v>0</v>
      </c>
      <c r="AT71" s="147">
        <f t="shared" si="83"/>
        <v>0</v>
      </c>
      <c r="AU71" s="147">
        <f t="shared" si="83"/>
        <v>0</v>
      </c>
      <c r="AV71" s="147">
        <f t="shared" si="83"/>
        <v>0</v>
      </c>
      <c r="AW71" s="147">
        <f t="shared" si="83"/>
        <v>0</v>
      </c>
      <c r="AX71" s="147">
        <f t="shared" si="83"/>
        <v>0</v>
      </c>
      <c r="AY71" s="147">
        <f t="shared" si="83"/>
        <v>0</v>
      </c>
      <c r="AZ71" s="147">
        <f t="shared" si="83"/>
        <v>0</v>
      </c>
      <c r="BA71" s="147">
        <f t="shared" si="83"/>
        <v>0</v>
      </c>
      <c r="BB71" s="147">
        <f t="shared" si="83"/>
        <v>0</v>
      </c>
      <c r="BC71" s="147">
        <f t="shared" si="83"/>
        <v>0</v>
      </c>
      <c r="BD71" s="147">
        <f t="shared" si="83"/>
        <v>0</v>
      </c>
      <c r="BE71" s="147">
        <f t="shared" si="83"/>
        <v>0</v>
      </c>
      <c r="BF71" s="147">
        <f t="shared" si="83"/>
        <v>0</v>
      </c>
      <c r="BG71" s="147">
        <f t="shared" si="83"/>
        <v>0</v>
      </c>
      <c r="BH71" s="147">
        <f t="shared" si="83"/>
        <v>0</v>
      </c>
      <c r="BI71" s="147">
        <f t="shared" si="83"/>
        <v>0</v>
      </c>
      <c r="BJ71" s="147">
        <f t="shared" si="83"/>
        <v>0</v>
      </c>
      <c r="BK71" s="147">
        <f t="shared" si="83"/>
        <v>0</v>
      </c>
      <c r="BL71" s="147">
        <f t="shared" si="83"/>
        <v>0</v>
      </c>
      <c r="BM71" s="147">
        <f t="shared" si="83"/>
        <v>0</v>
      </c>
      <c r="BN71" s="147">
        <f t="shared" si="83"/>
        <v>0</v>
      </c>
      <c r="BO71" s="147">
        <f t="shared" ref="BO71:BV71" si="84">-BO31*BO61</f>
        <v>0</v>
      </c>
      <c r="BP71" s="147">
        <f t="shared" si="84"/>
        <v>0</v>
      </c>
      <c r="BQ71" s="147">
        <f t="shared" si="84"/>
        <v>0</v>
      </c>
      <c r="BR71" s="147">
        <f t="shared" si="84"/>
        <v>0</v>
      </c>
      <c r="BS71" s="147">
        <f t="shared" si="84"/>
        <v>0</v>
      </c>
      <c r="BT71" s="147">
        <f t="shared" si="84"/>
        <v>0</v>
      </c>
      <c r="BU71" s="147">
        <f t="shared" si="84"/>
        <v>0</v>
      </c>
      <c r="BV71" s="147">
        <f t="shared" si="84"/>
        <v>0</v>
      </c>
    </row>
    <row r="72" spans="2:74" s="127" customFormat="1" ht="15.75" hidden="1" customHeight="1" outlineLevel="1" x14ac:dyDescent="0.2">
      <c r="B72" s="126" t="s">
        <v>51</v>
      </c>
      <c r="C72" s="148">
        <f t="shared" ref="C72:AH72" si="85">-C32*C62</f>
        <v>0</v>
      </c>
      <c r="D72" s="149">
        <f t="shared" si="85"/>
        <v>0</v>
      </c>
      <c r="E72" s="150">
        <f t="shared" si="85"/>
        <v>0</v>
      </c>
      <c r="F72" s="150">
        <f t="shared" si="85"/>
        <v>0</v>
      </c>
      <c r="G72" s="150">
        <f t="shared" si="85"/>
        <v>0</v>
      </c>
      <c r="H72" s="150">
        <f t="shared" si="85"/>
        <v>0</v>
      </c>
      <c r="I72" s="150">
        <f t="shared" si="85"/>
        <v>0</v>
      </c>
      <c r="J72" s="150">
        <f t="shared" si="85"/>
        <v>0</v>
      </c>
      <c r="K72" s="150">
        <f t="shared" si="85"/>
        <v>0</v>
      </c>
      <c r="L72" s="150">
        <f t="shared" si="85"/>
        <v>0</v>
      </c>
      <c r="M72" s="150">
        <f t="shared" si="85"/>
        <v>0</v>
      </c>
      <c r="N72" s="150">
        <f t="shared" si="85"/>
        <v>0</v>
      </c>
      <c r="O72" s="150">
        <f t="shared" si="85"/>
        <v>0</v>
      </c>
      <c r="P72" s="150">
        <f t="shared" si="85"/>
        <v>0</v>
      </c>
      <c r="Q72" s="150">
        <f t="shared" si="85"/>
        <v>0</v>
      </c>
      <c r="R72" s="150">
        <f t="shared" si="85"/>
        <v>0</v>
      </c>
      <c r="S72" s="150">
        <f t="shared" si="85"/>
        <v>0</v>
      </c>
      <c r="T72" s="150">
        <f t="shared" si="85"/>
        <v>0</v>
      </c>
      <c r="U72" s="150">
        <f t="shared" si="85"/>
        <v>0</v>
      </c>
      <c r="V72" s="150">
        <f t="shared" si="85"/>
        <v>0</v>
      </c>
      <c r="W72" s="150">
        <f t="shared" si="85"/>
        <v>0</v>
      </c>
      <c r="X72" s="150">
        <f t="shared" si="85"/>
        <v>0</v>
      </c>
      <c r="Y72" s="150">
        <f t="shared" si="85"/>
        <v>0</v>
      </c>
      <c r="Z72" s="150">
        <f t="shared" si="85"/>
        <v>0</v>
      </c>
      <c r="AA72" s="150">
        <f t="shared" si="85"/>
        <v>0</v>
      </c>
      <c r="AB72" s="150">
        <f t="shared" si="85"/>
        <v>0</v>
      </c>
      <c r="AC72" s="150">
        <f t="shared" si="85"/>
        <v>0</v>
      </c>
      <c r="AD72" s="150">
        <f t="shared" si="85"/>
        <v>0</v>
      </c>
      <c r="AE72" s="150">
        <f t="shared" si="85"/>
        <v>0</v>
      </c>
      <c r="AF72" s="150">
        <f t="shared" si="85"/>
        <v>0</v>
      </c>
      <c r="AG72" s="150">
        <f t="shared" si="85"/>
        <v>0</v>
      </c>
      <c r="AH72" s="150">
        <f t="shared" si="85"/>
        <v>0</v>
      </c>
      <c r="AI72" s="150">
        <f t="shared" ref="AI72:BN72" si="86">-AI32*AI62</f>
        <v>0</v>
      </c>
      <c r="AJ72" s="150">
        <f t="shared" si="86"/>
        <v>0</v>
      </c>
      <c r="AK72" s="150">
        <f t="shared" si="86"/>
        <v>0</v>
      </c>
      <c r="AL72" s="150">
        <f t="shared" si="86"/>
        <v>0</v>
      </c>
      <c r="AM72" s="150">
        <f t="shared" si="86"/>
        <v>0</v>
      </c>
      <c r="AN72" s="150">
        <f t="shared" si="86"/>
        <v>0</v>
      </c>
      <c r="AO72" s="150">
        <f t="shared" si="86"/>
        <v>0</v>
      </c>
      <c r="AP72" s="150">
        <f t="shared" si="86"/>
        <v>0</v>
      </c>
      <c r="AQ72" s="150">
        <f t="shared" si="86"/>
        <v>0</v>
      </c>
      <c r="AR72" s="150">
        <f t="shared" si="86"/>
        <v>0</v>
      </c>
      <c r="AS72" s="150">
        <f t="shared" si="86"/>
        <v>0</v>
      </c>
      <c r="AT72" s="150">
        <f t="shared" si="86"/>
        <v>0</v>
      </c>
      <c r="AU72" s="150">
        <f t="shared" si="86"/>
        <v>0</v>
      </c>
      <c r="AV72" s="150">
        <f t="shared" si="86"/>
        <v>0</v>
      </c>
      <c r="AW72" s="150">
        <f t="shared" si="86"/>
        <v>0</v>
      </c>
      <c r="AX72" s="150">
        <f t="shared" si="86"/>
        <v>0</v>
      </c>
      <c r="AY72" s="150">
        <f t="shared" si="86"/>
        <v>0</v>
      </c>
      <c r="AZ72" s="150">
        <f t="shared" si="86"/>
        <v>0</v>
      </c>
      <c r="BA72" s="150">
        <f t="shared" si="86"/>
        <v>0</v>
      </c>
      <c r="BB72" s="150">
        <f t="shared" si="86"/>
        <v>0</v>
      </c>
      <c r="BC72" s="150">
        <f t="shared" si="86"/>
        <v>0</v>
      </c>
      <c r="BD72" s="150">
        <f t="shared" si="86"/>
        <v>0</v>
      </c>
      <c r="BE72" s="150">
        <f t="shared" si="86"/>
        <v>0</v>
      </c>
      <c r="BF72" s="150">
        <f t="shared" si="86"/>
        <v>0</v>
      </c>
      <c r="BG72" s="150">
        <f t="shared" si="86"/>
        <v>0</v>
      </c>
      <c r="BH72" s="150">
        <f t="shared" si="86"/>
        <v>0</v>
      </c>
      <c r="BI72" s="150">
        <f t="shared" si="86"/>
        <v>0</v>
      </c>
      <c r="BJ72" s="150">
        <f t="shared" si="86"/>
        <v>0</v>
      </c>
      <c r="BK72" s="150">
        <f t="shared" si="86"/>
        <v>0</v>
      </c>
      <c r="BL72" s="150">
        <f t="shared" si="86"/>
        <v>0</v>
      </c>
      <c r="BM72" s="150">
        <f t="shared" si="86"/>
        <v>0</v>
      </c>
      <c r="BN72" s="150">
        <f t="shared" si="86"/>
        <v>0</v>
      </c>
      <c r="BO72" s="150">
        <f t="shared" ref="BO72:BV72" si="87">-BO32*BO62</f>
        <v>0</v>
      </c>
      <c r="BP72" s="150">
        <f t="shared" si="87"/>
        <v>0</v>
      </c>
      <c r="BQ72" s="150">
        <f t="shared" si="87"/>
        <v>0</v>
      </c>
      <c r="BR72" s="150">
        <f t="shared" si="87"/>
        <v>0</v>
      </c>
      <c r="BS72" s="150">
        <f t="shared" si="87"/>
        <v>0</v>
      </c>
      <c r="BT72" s="150">
        <f t="shared" si="87"/>
        <v>0</v>
      </c>
      <c r="BU72" s="150">
        <f t="shared" si="87"/>
        <v>0</v>
      </c>
      <c r="BV72" s="150">
        <f t="shared" si="87"/>
        <v>0</v>
      </c>
    </row>
    <row r="73" spans="2:74" s="127" customFormat="1" ht="15.75" hidden="1" customHeight="1" outlineLevel="1" x14ac:dyDescent="0.2">
      <c r="B73" s="126" t="s">
        <v>52</v>
      </c>
      <c r="C73" s="148">
        <f t="shared" ref="C73:AH73" si="88">-C33*C63</f>
        <v>0</v>
      </c>
      <c r="D73" s="149">
        <f t="shared" si="88"/>
        <v>0</v>
      </c>
      <c r="E73" s="150">
        <f t="shared" si="88"/>
        <v>0</v>
      </c>
      <c r="F73" s="150">
        <f t="shared" si="88"/>
        <v>0</v>
      </c>
      <c r="G73" s="150">
        <f t="shared" si="88"/>
        <v>0</v>
      </c>
      <c r="H73" s="150">
        <f t="shared" si="88"/>
        <v>0</v>
      </c>
      <c r="I73" s="150">
        <f t="shared" si="88"/>
        <v>0</v>
      </c>
      <c r="J73" s="150">
        <f t="shared" si="88"/>
        <v>0</v>
      </c>
      <c r="K73" s="150">
        <f t="shared" si="88"/>
        <v>0</v>
      </c>
      <c r="L73" s="150">
        <f t="shared" si="88"/>
        <v>0</v>
      </c>
      <c r="M73" s="150">
        <f t="shared" si="88"/>
        <v>0</v>
      </c>
      <c r="N73" s="150">
        <f t="shared" si="88"/>
        <v>0</v>
      </c>
      <c r="O73" s="150">
        <f t="shared" si="88"/>
        <v>0</v>
      </c>
      <c r="P73" s="150">
        <f t="shared" si="88"/>
        <v>0</v>
      </c>
      <c r="Q73" s="150">
        <f t="shared" si="88"/>
        <v>0</v>
      </c>
      <c r="R73" s="150">
        <f t="shared" si="88"/>
        <v>0</v>
      </c>
      <c r="S73" s="150">
        <f t="shared" si="88"/>
        <v>0</v>
      </c>
      <c r="T73" s="150">
        <f t="shared" si="88"/>
        <v>0</v>
      </c>
      <c r="U73" s="150">
        <f t="shared" si="88"/>
        <v>0</v>
      </c>
      <c r="V73" s="150">
        <f t="shared" si="88"/>
        <v>0</v>
      </c>
      <c r="W73" s="150">
        <f t="shared" si="88"/>
        <v>0</v>
      </c>
      <c r="X73" s="150">
        <f t="shared" si="88"/>
        <v>0</v>
      </c>
      <c r="Y73" s="150">
        <f t="shared" si="88"/>
        <v>0</v>
      </c>
      <c r="Z73" s="150">
        <f t="shared" si="88"/>
        <v>0</v>
      </c>
      <c r="AA73" s="150">
        <f t="shared" si="88"/>
        <v>0</v>
      </c>
      <c r="AB73" s="150">
        <f t="shared" si="88"/>
        <v>0</v>
      </c>
      <c r="AC73" s="150">
        <f t="shared" si="88"/>
        <v>0</v>
      </c>
      <c r="AD73" s="150">
        <f t="shared" si="88"/>
        <v>0</v>
      </c>
      <c r="AE73" s="150">
        <f t="shared" si="88"/>
        <v>0</v>
      </c>
      <c r="AF73" s="150">
        <f t="shared" si="88"/>
        <v>0</v>
      </c>
      <c r="AG73" s="150">
        <f t="shared" si="88"/>
        <v>0</v>
      </c>
      <c r="AH73" s="150">
        <f t="shared" si="88"/>
        <v>0</v>
      </c>
      <c r="AI73" s="150">
        <f t="shared" ref="AI73:BN73" si="89">-AI33*AI63</f>
        <v>0</v>
      </c>
      <c r="AJ73" s="150">
        <f t="shared" si="89"/>
        <v>0</v>
      </c>
      <c r="AK73" s="150">
        <f t="shared" si="89"/>
        <v>0</v>
      </c>
      <c r="AL73" s="150">
        <f t="shared" si="89"/>
        <v>0</v>
      </c>
      <c r="AM73" s="150">
        <f t="shared" si="89"/>
        <v>0</v>
      </c>
      <c r="AN73" s="150">
        <f t="shared" si="89"/>
        <v>0</v>
      </c>
      <c r="AO73" s="150">
        <f t="shared" si="89"/>
        <v>0</v>
      </c>
      <c r="AP73" s="150">
        <f t="shared" si="89"/>
        <v>0</v>
      </c>
      <c r="AQ73" s="150">
        <f t="shared" si="89"/>
        <v>0</v>
      </c>
      <c r="AR73" s="150">
        <f t="shared" si="89"/>
        <v>0</v>
      </c>
      <c r="AS73" s="150">
        <f t="shared" si="89"/>
        <v>0</v>
      </c>
      <c r="AT73" s="150">
        <f t="shared" si="89"/>
        <v>0</v>
      </c>
      <c r="AU73" s="150">
        <f t="shared" si="89"/>
        <v>0</v>
      </c>
      <c r="AV73" s="150">
        <f t="shared" si="89"/>
        <v>0</v>
      </c>
      <c r="AW73" s="150">
        <f t="shared" si="89"/>
        <v>0</v>
      </c>
      <c r="AX73" s="150">
        <f t="shared" si="89"/>
        <v>0</v>
      </c>
      <c r="AY73" s="150">
        <f t="shared" si="89"/>
        <v>0</v>
      </c>
      <c r="AZ73" s="150">
        <f t="shared" si="89"/>
        <v>0</v>
      </c>
      <c r="BA73" s="150">
        <f t="shared" si="89"/>
        <v>0</v>
      </c>
      <c r="BB73" s="150">
        <f t="shared" si="89"/>
        <v>0</v>
      </c>
      <c r="BC73" s="150">
        <f t="shared" si="89"/>
        <v>0</v>
      </c>
      <c r="BD73" s="150">
        <f t="shared" si="89"/>
        <v>0</v>
      </c>
      <c r="BE73" s="150">
        <f t="shared" si="89"/>
        <v>0</v>
      </c>
      <c r="BF73" s="150">
        <f t="shared" si="89"/>
        <v>0</v>
      </c>
      <c r="BG73" s="150">
        <f t="shared" si="89"/>
        <v>0</v>
      </c>
      <c r="BH73" s="150">
        <f t="shared" si="89"/>
        <v>0</v>
      </c>
      <c r="BI73" s="150">
        <f t="shared" si="89"/>
        <v>0</v>
      </c>
      <c r="BJ73" s="150">
        <f t="shared" si="89"/>
        <v>0</v>
      </c>
      <c r="BK73" s="150">
        <f t="shared" si="89"/>
        <v>0</v>
      </c>
      <c r="BL73" s="150">
        <f t="shared" si="89"/>
        <v>0</v>
      </c>
      <c r="BM73" s="150">
        <f t="shared" si="89"/>
        <v>0</v>
      </c>
      <c r="BN73" s="150">
        <f t="shared" si="89"/>
        <v>0</v>
      </c>
      <c r="BO73" s="150">
        <f t="shared" ref="BO73:BV73" si="90">-BO33*BO63</f>
        <v>0</v>
      </c>
      <c r="BP73" s="150">
        <f t="shared" si="90"/>
        <v>0</v>
      </c>
      <c r="BQ73" s="150">
        <f t="shared" si="90"/>
        <v>0</v>
      </c>
      <c r="BR73" s="150">
        <f t="shared" si="90"/>
        <v>0</v>
      </c>
      <c r="BS73" s="150">
        <f t="shared" si="90"/>
        <v>0</v>
      </c>
      <c r="BT73" s="150">
        <f t="shared" si="90"/>
        <v>0</v>
      </c>
      <c r="BU73" s="150">
        <f t="shared" si="90"/>
        <v>0</v>
      </c>
      <c r="BV73" s="150">
        <f t="shared" si="90"/>
        <v>0</v>
      </c>
    </row>
    <row r="74" spans="2:74" s="127" customFormat="1" ht="15.75" hidden="1" customHeight="1" outlineLevel="1" x14ac:dyDescent="0.2">
      <c r="B74" s="126" t="s">
        <v>53</v>
      </c>
      <c r="C74" s="148">
        <f t="shared" ref="C74:AH74" si="91">-C34*C64</f>
        <v>0</v>
      </c>
      <c r="D74" s="149">
        <f t="shared" si="91"/>
        <v>0</v>
      </c>
      <c r="E74" s="150">
        <f t="shared" si="91"/>
        <v>0</v>
      </c>
      <c r="F74" s="150">
        <f t="shared" si="91"/>
        <v>0</v>
      </c>
      <c r="G74" s="150">
        <f t="shared" si="91"/>
        <v>0</v>
      </c>
      <c r="H74" s="150">
        <f t="shared" si="91"/>
        <v>0</v>
      </c>
      <c r="I74" s="150">
        <f t="shared" si="91"/>
        <v>0</v>
      </c>
      <c r="J74" s="150">
        <f t="shared" si="91"/>
        <v>0</v>
      </c>
      <c r="K74" s="150">
        <f t="shared" si="91"/>
        <v>0</v>
      </c>
      <c r="L74" s="150">
        <f t="shared" si="91"/>
        <v>0</v>
      </c>
      <c r="M74" s="150">
        <f t="shared" si="91"/>
        <v>0</v>
      </c>
      <c r="N74" s="150">
        <f t="shared" si="91"/>
        <v>0</v>
      </c>
      <c r="O74" s="150">
        <f t="shared" si="91"/>
        <v>0</v>
      </c>
      <c r="P74" s="150">
        <f t="shared" si="91"/>
        <v>0</v>
      </c>
      <c r="Q74" s="150">
        <f t="shared" si="91"/>
        <v>0</v>
      </c>
      <c r="R74" s="150">
        <f t="shared" si="91"/>
        <v>0</v>
      </c>
      <c r="S74" s="150">
        <f t="shared" si="91"/>
        <v>0</v>
      </c>
      <c r="T74" s="150">
        <f t="shared" si="91"/>
        <v>0</v>
      </c>
      <c r="U74" s="150">
        <f t="shared" si="91"/>
        <v>0</v>
      </c>
      <c r="V74" s="150">
        <f t="shared" si="91"/>
        <v>0</v>
      </c>
      <c r="W74" s="150">
        <f t="shared" si="91"/>
        <v>0</v>
      </c>
      <c r="X74" s="150">
        <f t="shared" si="91"/>
        <v>0</v>
      </c>
      <c r="Y74" s="150">
        <f t="shared" si="91"/>
        <v>0</v>
      </c>
      <c r="Z74" s="150">
        <f t="shared" si="91"/>
        <v>0</v>
      </c>
      <c r="AA74" s="150">
        <f t="shared" si="91"/>
        <v>0</v>
      </c>
      <c r="AB74" s="150">
        <f t="shared" si="91"/>
        <v>0</v>
      </c>
      <c r="AC74" s="150">
        <f t="shared" si="91"/>
        <v>0</v>
      </c>
      <c r="AD74" s="150">
        <f t="shared" si="91"/>
        <v>0</v>
      </c>
      <c r="AE74" s="150">
        <f t="shared" si="91"/>
        <v>0</v>
      </c>
      <c r="AF74" s="150">
        <f t="shared" si="91"/>
        <v>0</v>
      </c>
      <c r="AG74" s="150">
        <f t="shared" si="91"/>
        <v>0</v>
      </c>
      <c r="AH74" s="150">
        <f t="shared" si="91"/>
        <v>0</v>
      </c>
      <c r="AI74" s="150">
        <f t="shared" ref="AI74:BN74" si="92">-AI34*AI64</f>
        <v>0</v>
      </c>
      <c r="AJ74" s="150">
        <f t="shared" si="92"/>
        <v>0</v>
      </c>
      <c r="AK74" s="150">
        <f t="shared" si="92"/>
        <v>0</v>
      </c>
      <c r="AL74" s="150">
        <f t="shared" si="92"/>
        <v>0</v>
      </c>
      <c r="AM74" s="150">
        <f t="shared" si="92"/>
        <v>0</v>
      </c>
      <c r="AN74" s="150">
        <f t="shared" si="92"/>
        <v>0</v>
      </c>
      <c r="AO74" s="150">
        <f t="shared" si="92"/>
        <v>0</v>
      </c>
      <c r="AP74" s="150">
        <f t="shared" si="92"/>
        <v>0</v>
      </c>
      <c r="AQ74" s="150">
        <f t="shared" si="92"/>
        <v>0</v>
      </c>
      <c r="AR74" s="150">
        <f t="shared" si="92"/>
        <v>0</v>
      </c>
      <c r="AS74" s="150">
        <f t="shared" si="92"/>
        <v>0</v>
      </c>
      <c r="AT74" s="150">
        <f t="shared" si="92"/>
        <v>0</v>
      </c>
      <c r="AU74" s="150">
        <f t="shared" si="92"/>
        <v>0</v>
      </c>
      <c r="AV74" s="150">
        <f t="shared" si="92"/>
        <v>0</v>
      </c>
      <c r="AW74" s="150">
        <f t="shared" si="92"/>
        <v>0</v>
      </c>
      <c r="AX74" s="150">
        <f t="shared" si="92"/>
        <v>0</v>
      </c>
      <c r="AY74" s="150">
        <f t="shared" si="92"/>
        <v>0</v>
      </c>
      <c r="AZ74" s="150">
        <f t="shared" si="92"/>
        <v>0</v>
      </c>
      <c r="BA74" s="150">
        <f t="shared" si="92"/>
        <v>0</v>
      </c>
      <c r="BB74" s="150">
        <f t="shared" si="92"/>
        <v>0</v>
      </c>
      <c r="BC74" s="150">
        <f t="shared" si="92"/>
        <v>0</v>
      </c>
      <c r="BD74" s="150">
        <f t="shared" si="92"/>
        <v>0</v>
      </c>
      <c r="BE74" s="150">
        <f t="shared" si="92"/>
        <v>0</v>
      </c>
      <c r="BF74" s="150">
        <f t="shared" si="92"/>
        <v>0</v>
      </c>
      <c r="BG74" s="150">
        <f t="shared" si="92"/>
        <v>0</v>
      </c>
      <c r="BH74" s="150">
        <f t="shared" si="92"/>
        <v>0</v>
      </c>
      <c r="BI74" s="150">
        <f t="shared" si="92"/>
        <v>0</v>
      </c>
      <c r="BJ74" s="150">
        <f t="shared" si="92"/>
        <v>0</v>
      </c>
      <c r="BK74" s="150">
        <f t="shared" si="92"/>
        <v>0</v>
      </c>
      <c r="BL74" s="150">
        <f t="shared" si="92"/>
        <v>0</v>
      </c>
      <c r="BM74" s="150">
        <f t="shared" si="92"/>
        <v>0</v>
      </c>
      <c r="BN74" s="150">
        <f t="shared" si="92"/>
        <v>0</v>
      </c>
      <c r="BO74" s="150">
        <f t="shared" ref="BO74:BV74" si="93">-BO34*BO64</f>
        <v>0</v>
      </c>
      <c r="BP74" s="150">
        <f t="shared" si="93"/>
        <v>0</v>
      </c>
      <c r="BQ74" s="150">
        <f t="shared" si="93"/>
        <v>0</v>
      </c>
      <c r="BR74" s="150">
        <f t="shared" si="93"/>
        <v>0</v>
      </c>
      <c r="BS74" s="150">
        <f t="shared" si="93"/>
        <v>0</v>
      </c>
      <c r="BT74" s="150">
        <f t="shared" si="93"/>
        <v>0</v>
      </c>
      <c r="BU74" s="150">
        <f t="shared" si="93"/>
        <v>0</v>
      </c>
      <c r="BV74" s="150">
        <f t="shared" si="93"/>
        <v>0</v>
      </c>
    </row>
    <row r="75" spans="2:74" s="127" customFormat="1" ht="15.75" hidden="1" customHeight="1" outlineLevel="1" x14ac:dyDescent="0.2">
      <c r="B75" s="126" t="s">
        <v>54</v>
      </c>
      <c r="C75" s="148">
        <f t="shared" ref="C75:AH75" si="94">-C35*C65</f>
        <v>-825</v>
      </c>
      <c r="D75" s="149">
        <f t="shared" si="94"/>
        <v>-866.25</v>
      </c>
      <c r="E75" s="150">
        <f t="shared" si="94"/>
        <v>-909.5625</v>
      </c>
      <c r="F75" s="150">
        <f t="shared" si="94"/>
        <v>-955.04062499999998</v>
      </c>
      <c r="G75" s="150">
        <f t="shared" si="94"/>
        <v>-1002.7926562499999</v>
      </c>
      <c r="H75" s="150">
        <f t="shared" si="94"/>
        <v>-1052.9322890625001</v>
      </c>
      <c r="I75" s="150">
        <f t="shared" si="94"/>
        <v>-1105.5789035156249</v>
      </c>
      <c r="J75" s="150">
        <f t="shared" si="94"/>
        <v>-1160.8578486914064</v>
      </c>
      <c r="K75" s="150">
        <f t="shared" si="94"/>
        <v>-1218.9007411259768</v>
      </c>
      <c r="L75" s="150">
        <f t="shared" si="94"/>
        <v>-1279.8457781822758</v>
      </c>
      <c r="M75" s="150">
        <f t="shared" si="94"/>
        <v>-1343.8380670913896</v>
      </c>
      <c r="N75" s="150">
        <f t="shared" si="94"/>
        <v>-1411.029970445959</v>
      </c>
      <c r="O75" s="150">
        <f t="shared" si="94"/>
        <v>-1481.581468968257</v>
      </c>
      <c r="P75" s="150">
        <f t="shared" si="94"/>
        <v>-1555.6605424166701</v>
      </c>
      <c r="Q75" s="150">
        <f t="shared" si="94"/>
        <v>-1633.4435695375034</v>
      </c>
      <c r="R75" s="150">
        <f t="shared" si="94"/>
        <v>-1715.1157480143786</v>
      </c>
      <c r="S75" s="150">
        <f t="shared" si="94"/>
        <v>-1800.8715354150977</v>
      </c>
      <c r="T75" s="150">
        <f t="shared" si="94"/>
        <v>-1890.9151121858526</v>
      </c>
      <c r="U75" s="150">
        <f t="shared" si="94"/>
        <v>-1985.4608677951453</v>
      </c>
      <c r="V75" s="150">
        <f t="shared" si="94"/>
        <v>-2084.7339111849024</v>
      </c>
      <c r="W75" s="150">
        <f t="shared" si="94"/>
        <v>-2188.970606744148</v>
      </c>
      <c r="X75" s="150">
        <f t="shared" si="94"/>
        <v>-2298.4191370813555</v>
      </c>
      <c r="Y75" s="150">
        <f t="shared" si="94"/>
        <v>-2413.3400939354233</v>
      </c>
      <c r="Z75" s="150">
        <f t="shared" si="94"/>
        <v>-2534.0070986321944</v>
      </c>
      <c r="AA75" s="150">
        <f t="shared" si="94"/>
        <v>-2660.7074535638044</v>
      </c>
      <c r="AB75" s="150">
        <f t="shared" si="94"/>
        <v>-2793.7428262419944</v>
      </c>
      <c r="AC75" s="150">
        <f t="shared" si="94"/>
        <v>-2933.4299675540942</v>
      </c>
      <c r="AD75" s="150">
        <f t="shared" si="94"/>
        <v>-3080.1014659317989</v>
      </c>
      <c r="AE75" s="150">
        <f t="shared" si="94"/>
        <v>-3234.106539228389</v>
      </c>
      <c r="AF75" s="150">
        <f t="shared" si="94"/>
        <v>-3395.8118661898084</v>
      </c>
      <c r="AG75" s="150">
        <f t="shared" si="94"/>
        <v>-3565.6024594992991</v>
      </c>
      <c r="AH75" s="150">
        <f t="shared" si="94"/>
        <v>-3743.8825824742644</v>
      </c>
      <c r="AI75" s="150">
        <f t="shared" ref="AI75:BN75" si="95">-AI35*AI65</f>
        <v>-3931.0767115979779</v>
      </c>
      <c r="AJ75" s="150">
        <f t="shared" si="95"/>
        <v>-4127.6305471778769</v>
      </c>
      <c r="AK75" s="150">
        <f t="shared" si="95"/>
        <v>-4334.0120745367713</v>
      </c>
      <c r="AL75" s="150">
        <f t="shared" si="95"/>
        <v>-4550.7126782636096</v>
      </c>
      <c r="AM75" s="150">
        <f t="shared" si="95"/>
        <v>-4778.24831217679</v>
      </c>
      <c r="AN75" s="150">
        <f t="shared" si="95"/>
        <v>-5017.1607277856301</v>
      </c>
      <c r="AO75" s="150">
        <f t="shared" si="95"/>
        <v>-5268.0187641749126</v>
      </c>
      <c r="AP75" s="150">
        <f t="shared" si="95"/>
        <v>-5531.4197023836587</v>
      </c>
      <c r="AQ75" s="150">
        <f t="shared" si="95"/>
        <v>-5807.9906875028428</v>
      </c>
      <c r="AR75" s="150">
        <f t="shared" si="95"/>
        <v>-6098.3902218779849</v>
      </c>
      <c r="AS75" s="150">
        <f t="shared" si="95"/>
        <v>-6403.3097329718848</v>
      </c>
      <c r="AT75" s="150">
        <f t="shared" si="95"/>
        <v>-6723.475219620479</v>
      </c>
      <c r="AU75" s="150">
        <f t="shared" si="95"/>
        <v>-7059.6489806015034</v>
      </c>
      <c r="AV75" s="150">
        <f t="shared" si="95"/>
        <v>-7412.6314296315795</v>
      </c>
      <c r="AW75" s="150">
        <f t="shared" si="95"/>
        <v>-7783.2630011131596</v>
      </c>
      <c r="AX75" s="150">
        <f t="shared" si="95"/>
        <v>-8172.4261511688164</v>
      </c>
      <c r="AY75" s="150">
        <f t="shared" si="95"/>
        <v>-8581.0474587272583</v>
      </c>
      <c r="AZ75" s="150">
        <f t="shared" si="95"/>
        <v>-9010.0998316636214</v>
      </c>
      <c r="BA75" s="150">
        <f t="shared" si="95"/>
        <v>-9460.604823246802</v>
      </c>
      <c r="BB75" s="150">
        <f t="shared" si="95"/>
        <v>-9933.6350644091417</v>
      </c>
      <c r="BC75" s="150">
        <f t="shared" si="95"/>
        <v>-10430.3168176296</v>
      </c>
      <c r="BD75" s="150">
        <f t="shared" si="95"/>
        <v>-10951.832658511081</v>
      </c>
      <c r="BE75" s="150">
        <f t="shared" si="95"/>
        <v>-11499.424291436637</v>
      </c>
      <c r="BF75" s="150">
        <f t="shared" si="95"/>
        <v>-12074.395506008466</v>
      </c>
      <c r="BG75" s="150">
        <f t="shared" si="95"/>
        <v>-12678.115281308892</v>
      </c>
      <c r="BH75" s="150">
        <f t="shared" si="95"/>
        <v>-13312.021045374335</v>
      </c>
      <c r="BI75" s="150">
        <f t="shared" si="95"/>
        <v>-13977.622097643052</v>
      </c>
      <c r="BJ75" s="150">
        <f t="shared" si="95"/>
        <v>-14676.503202525204</v>
      </c>
      <c r="BK75" s="150">
        <f t="shared" si="95"/>
        <v>-15410.328362651468</v>
      </c>
      <c r="BL75" s="150">
        <f t="shared" si="95"/>
        <v>-16180.844780784042</v>
      </c>
      <c r="BM75" s="150">
        <f t="shared" si="95"/>
        <v>-16989.887019823243</v>
      </c>
      <c r="BN75" s="150">
        <f t="shared" si="95"/>
        <v>-17839.381370814408</v>
      </c>
      <c r="BO75" s="150">
        <f t="shared" ref="BO75:BV75" si="96">-BO35*BO65</f>
        <v>-18731.350439355127</v>
      </c>
      <c r="BP75" s="150">
        <f t="shared" si="96"/>
        <v>-19667.917961322884</v>
      </c>
      <c r="BQ75" s="150">
        <f t="shared" si="96"/>
        <v>-20651.313859389029</v>
      </c>
      <c r="BR75" s="150">
        <f t="shared" si="96"/>
        <v>-21683.879552358478</v>
      </c>
      <c r="BS75" s="150">
        <f t="shared" si="96"/>
        <v>-22768.073529976402</v>
      </c>
      <c r="BT75" s="150">
        <f t="shared" si="96"/>
        <v>-23906.477206475221</v>
      </c>
      <c r="BU75" s="150">
        <f t="shared" si="96"/>
        <v>-25101.801066798984</v>
      </c>
      <c r="BV75" s="150">
        <f t="shared" si="96"/>
        <v>-26356.891120138931</v>
      </c>
    </row>
    <row r="76" spans="2:74" s="127" customFormat="1" ht="15.75" hidden="1" customHeight="1" outlineLevel="1" x14ac:dyDescent="0.2">
      <c r="B76" s="126" t="s">
        <v>55</v>
      </c>
      <c r="C76" s="148">
        <f t="shared" ref="C76:AH76" si="97">-C36*C66</f>
        <v>0</v>
      </c>
      <c r="D76" s="149">
        <f t="shared" si="97"/>
        <v>0</v>
      </c>
      <c r="E76" s="150">
        <f t="shared" si="97"/>
        <v>0</v>
      </c>
      <c r="F76" s="150">
        <f t="shared" si="97"/>
        <v>0</v>
      </c>
      <c r="G76" s="150">
        <f t="shared" si="97"/>
        <v>0</v>
      </c>
      <c r="H76" s="150">
        <f t="shared" si="97"/>
        <v>0</v>
      </c>
      <c r="I76" s="150">
        <f t="shared" si="97"/>
        <v>0</v>
      </c>
      <c r="J76" s="150">
        <f t="shared" si="97"/>
        <v>0</v>
      </c>
      <c r="K76" s="150">
        <f t="shared" si="97"/>
        <v>0</v>
      </c>
      <c r="L76" s="150">
        <f t="shared" si="97"/>
        <v>0</v>
      </c>
      <c r="M76" s="150">
        <f t="shared" si="97"/>
        <v>0</v>
      </c>
      <c r="N76" s="150">
        <f t="shared" si="97"/>
        <v>0</v>
      </c>
      <c r="O76" s="150">
        <f t="shared" si="97"/>
        <v>0</v>
      </c>
      <c r="P76" s="150">
        <f t="shared" si="97"/>
        <v>0</v>
      </c>
      <c r="Q76" s="150">
        <f t="shared" si="97"/>
        <v>0</v>
      </c>
      <c r="R76" s="150">
        <f t="shared" si="97"/>
        <v>0</v>
      </c>
      <c r="S76" s="150">
        <f t="shared" si="97"/>
        <v>0</v>
      </c>
      <c r="T76" s="150">
        <f t="shared" si="97"/>
        <v>0</v>
      </c>
      <c r="U76" s="150">
        <f t="shared" si="97"/>
        <v>0</v>
      </c>
      <c r="V76" s="150">
        <f t="shared" si="97"/>
        <v>0</v>
      </c>
      <c r="W76" s="150">
        <f t="shared" si="97"/>
        <v>0</v>
      </c>
      <c r="X76" s="150">
        <f t="shared" si="97"/>
        <v>0</v>
      </c>
      <c r="Y76" s="150">
        <f t="shared" si="97"/>
        <v>0</v>
      </c>
      <c r="Z76" s="150">
        <f t="shared" si="97"/>
        <v>0</v>
      </c>
      <c r="AA76" s="150">
        <f t="shared" si="97"/>
        <v>0</v>
      </c>
      <c r="AB76" s="150">
        <f t="shared" si="97"/>
        <v>0</v>
      </c>
      <c r="AC76" s="150">
        <f t="shared" si="97"/>
        <v>0</v>
      </c>
      <c r="AD76" s="150">
        <f t="shared" si="97"/>
        <v>0</v>
      </c>
      <c r="AE76" s="150">
        <f t="shared" si="97"/>
        <v>0</v>
      </c>
      <c r="AF76" s="150">
        <f t="shared" si="97"/>
        <v>0</v>
      </c>
      <c r="AG76" s="150">
        <f t="shared" si="97"/>
        <v>0</v>
      </c>
      <c r="AH76" s="150">
        <f t="shared" si="97"/>
        <v>0</v>
      </c>
      <c r="AI76" s="150">
        <f t="shared" ref="AI76:BN76" si="98">-AI36*AI66</f>
        <v>0</v>
      </c>
      <c r="AJ76" s="150">
        <f t="shared" si="98"/>
        <v>0</v>
      </c>
      <c r="AK76" s="150">
        <f t="shared" si="98"/>
        <v>0</v>
      </c>
      <c r="AL76" s="150">
        <f t="shared" si="98"/>
        <v>0</v>
      </c>
      <c r="AM76" s="150">
        <f t="shared" si="98"/>
        <v>0</v>
      </c>
      <c r="AN76" s="150">
        <f t="shared" si="98"/>
        <v>0</v>
      </c>
      <c r="AO76" s="150">
        <f t="shared" si="98"/>
        <v>0</v>
      </c>
      <c r="AP76" s="150">
        <f t="shared" si="98"/>
        <v>0</v>
      </c>
      <c r="AQ76" s="150">
        <f t="shared" si="98"/>
        <v>0</v>
      </c>
      <c r="AR76" s="150">
        <f t="shared" si="98"/>
        <v>0</v>
      </c>
      <c r="AS76" s="150">
        <f t="shared" si="98"/>
        <v>0</v>
      </c>
      <c r="AT76" s="150">
        <f t="shared" si="98"/>
        <v>0</v>
      </c>
      <c r="AU76" s="150">
        <f t="shared" si="98"/>
        <v>0</v>
      </c>
      <c r="AV76" s="150">
        <f t="shared" si="98"/>
        <v>0</v>
      </c>
      <c r="AW76" s="150">
        <f t="shared" si="98"/>
        <v>0</v>
      </c>
      <c r="AX76" s="150">
        <f t="shared" si="98"/>
        <v>0</v>
      </c>
      <c r="AY76" s="150">
        <f t="shared" si="98"/>
        <v>0</v>
      </c>
      <c r="AZ76" s="150">
        <f t="shared" si="98"/>
        <v>0</v>
      </c>
      <c r="BA76" s="150">
        <f t="shared" si="98"/>
        <v>0</v>
      </c>
      <c r="BB76" s="150">
        <f t="shared" si="98"/>
        <v>0</v>
      </c>
      <c r="BC76" s="150">
        <f t="shared" si="98"/>
        <v>0</v>
      </c>
      <c r="BD76" s="150">
        <f t="shared" si="98"/>
        <v>0</v>
      </c>
      <c r="BE76" s="150">
        <f t="shared" si="98"/>
        <v>0</v>
      </c>
      <c r="BF76" s="150">
        <f t="shared" si="98"/>
        <v>0</v>
      </c>
      <c r="BG76" s="150">
        <f t="shared" si="98"/>
        <v>0</v>
      </c>
      <c r="BH76" s="150">
        <f t="shared" si="98"/>
        <v>0</v>
      </c>
      <c r="BI76" s="150">
        <f t="shared" si="98"/>
        <v>0</v>
      </c>
      <c r="BJ76" s="150">
        <f t="shared" si="98"/>
        <v>0</v>
      </c>
      <c r="BK76" s="150">
        <f t="shared" si="98"/>
        <v>0</v>
      </c>
      <c r="BL76" s="150">
        <f t="shared" si="98"/>
        <v>0</v>
      </c>
      <c r="BM76" s="150">
        <f t="shared" si="98"/>
        <v>0</v>
      </c>
      <c r="BN76" s="150">
        <f t="shared" si="98"/>
        <v>0</v>
      </c>
      <c r="BO76" s="150">
        <f t="shared" ref="BO76:BV76" si="99">-BO36*BO66</f>
        <v>0</v>
      </c>
      <c r="BP76" s="150">
        <f t="shared" si="99"/>
        <v>0</v>
      </c>
      <c r="BQ76" s="150">
        <f t="shared" si="99"/>
        <v>0</v>
      </c>
      <c r="BR76" s="150">
        <f t="shared" si="99"/>
        <v>0</v>
      </c>
      <c r="BS76" s="150">
        <f t="shared" si="99"/>
        <v>0</v>
      </c>
      <c r="BT76" s="150">
        <f t="shared" si="99"/>
        <v>0</v>
      </c>
      <c r="BU76" s="150">
        <f t="shared" si="99"/>
        <v>0</v>
      </c>
      <c r="BV76" s="150">
        <f t="shared" si="99"/>
        <v>0</v>
      </c>
    </row>
    <row r="77" spans="2:74" s="127" customFormat="1" ht="15.75" hidden="1" customHeight="1" outlineLevel="1" x14ac:dyDescent="0.2">
      <c r="B77" s="126" t="s">
        <v>56</v>
      </c>
      <c r="C77" s="148">
        <f t="shared" ref="C77:AH77" si="100">-C37*C67</f>
        <v>0</v>
      </c>
      <c r="D77" s="149">
        <f t="shared" si="100"/>
        <v>0</v>
      </c>
      <c r="E77" s="150">
        <f t="shared" si="100"/>
        <v>0</v>
      </c>
      <c r="F77" s="150">
        <f t="shared" si="100"/>
        <v>0</v>
      </c>
      <c r="G77" s="150">
        <f t="shared" si="100"/>
        <v>0</v>
      </c>
      <c r="H77" s="150">
        <f t="shared" si="100"/>
        <v>0</v>
      </c>
      <c r="I77" s="150">
        <f t="shared" si="100"/>
        <v>0</v>
      </c>
      <c r="J77" s="150">
        <f t="shared" si="100"/>
        <v>0</v>
      </c>
      <c r="K77" s="150">
        <f t="shared" si="100"/>
        <v>0</v>
      </c>
      <c r="L77" s="150">
        <f t="shared" si="100"/>
        <v>0</v>
      </c>
      <c r="M77" s="150">
        <f t="shared" si="100"/>
        <v>0</v>
      </c>
      <c r="N77" s="150">
        <f t="shared" si="100"/>
        <v>0</v>
      </c>
      <c r="O77" s="150">
        <f t="shared" si="100"/>
        <v>0</v>
      </c>
      <c r="P77" s="150">
        <f t="shared" si="100"/>
        <v>0</v>
      </c>
      <c r="Q77" s="150">
        <f t="shared" si="100"/>
        <v>0</v>
      </c>
      <c r="R77" s="150">
        <f t="shared" si="100"/>
        <v>0</v>
      </c>
      <c r="S77" s="150">
        <f t="shared" si="100"/>
        <v>0</v>
      </c>
      <c r="T77" s="150">
        <f t="shared" si="100"/>
        <v>0</v>
      </c>
      <c r="U77" s="150">
        <f t="shared" si="100"/>
        <v>0</v>
      </c>
      <c r="V77" s="150">
        <f t="shared" si="100"/>
        <v>0</v>
      </c>
      <c r="W77" s="150">
        <f t="shared" si="100"/>
        <v>0</v>
      </c>
      <c r="X77" s="150">
        <f t="shared" si="100"/>
        <v>0</v>
      </c>
      <c r="Y77" s="150">
        <f t="shared" si="100"/>
        <v>0</v>
      </c>
      <c r="Z77" s="150">
        <f t="shared" si="100"/>
        <v>0</v>
      </c>
      <c r="AA77" s="150">
        <f t="shared" si="100"/>
        <v>0</v>
      </c>
      <c r="AB77" s="150">
        <f t="shared" si="100"/>
        <v>0</v>
      </c>
      <c r="AC77" s="150">
        <f t="shared" si="100"/>
        <v>0</v>
      </c>
      <c r="AD77" s="150">
        <f t="shared" si="100"/>
        <v>0</v>
      </c>
      <c r="AE77" s="150">
        <f t="shared" si="100"/>
        <v>0</v>
      </c>
      <c r="AF77" s="150">
        <f t="shared" si="100"/>
        <v>0</v>
      </c>
      <c r="AG77" s="150">
        <f t="shared" si="100"/>
        <v>0</v>
      </c>
      <c r="AH77" s="150">
        <f t="shared" si="100"/>
        <v>0</v>
      </c>
      <c r="AI77" s="150">
        <f t="shared" ref="AI77:BN77" si="101">-AI37*AI67</f>
        <v>0</v>
      </c>
      <c r="AJ77" s="150">
        <f t="shared" si="101"/>
        <v>0</v>
      </c>
      <c r="AK77" s="150">
        <f t="shared" si="101"/>
        <v>0</v>
      </c>
      <c r="AL77" s="150">
        <f t="shared" si="101"/>
        <v>0</v>
      </c>
      <c r="AM77" s="150">
        <f t="shared" si="101"/>
        <v>0</v>
      </c>
      <c r="AN77" s="150">
        <f t="shared" si="101"/>
        <v>0</v>
      </c>
      <c r="AO77" s="150">
        <f t="shared" si="101"/>
        <v>0</v>
      </c>
      <c r="AP77" s="150">
        <f t="shared" si="101"/>
        <v>0</v>
      </c>
      <c r="AQ77" s="150">
        <f t="shared" si="101"/>
        <v>0</v>
      </c>
      <c r="AR77" s="150">
        <f t="shared" si="101"/>
        <v>0</v>
      </c>
      <c r="AS77" s="150">
        <f t="shared" si="101"/>
        <v>0</v>
      </c>
      <c r="AT77" s="150">
        <f t="shared" si="101"/>
        <v>0</v>
      </c>
      <c r="AU77" s="150">
        <f t="shared" si="101"/>
        <v>0</v>
      </c>
      <c r="AV77" s="150">
        <f t="shared" si="101"/>
        <v>0</v>
      </c>
      <c r="AW77" s="150">
        <f t="shared" si="101"/>
        <v>0</v>
      </c>
      <c r="AX77" s="150">
        <f t="shared" si="101"/>
        <v>0</v>
      </c>
      <c r="AY77" s="150">
        <f t="shared" si="101"/>
        <v>0</v>
      </c>
      <c r="AZ77" s="150">
        <f t="shared" si="101"/>
        <v>0</v>
      </c>
      <c r="BA77" s="150">
        <f t="shared" si="101"/>
        <v>0</v>
      </c>
      <c r="BB77" s="150">
        <f t="shared" si="101"/>
        <v>0</v>
      </c>
      <c r="BC77" s="150">
        <f t="shared" si="101"/>
        <v>0</v>
      </c>
      <c r="BD77" s="150">
        <f t="shared" si="101"/>
        <v>0</v>
      </c>
      <c r="BE77" s="150">
        <f t="shared" si="101"/>
        <v>0</v>
      </c>
      <c r="BF77" s="150">
        <f t="shared" si="101"/>
        <v>0</v>
      </c>
      <c r="BG77" s="150">
        <f t="shared" si="101"/>
        <v>0</v>
      </c>
      <c r="BH77" s="150">
        <f t="shared" si="101"/>
        <v>0</v>
      </c>
      <c r="BI77" s="150">
        <f t="shared" si="101"/>
        <v>0</v>
      </c>
      <c r="BJ77" s="150">
        <f t="shared" si="101"/>
        <v>0</v>
      </c>
      <c r="BK77" s="150">
        <f t="shared" si="101"/>
        <v>0</v>
      </c>
      <c r="BL77" s="150">
        <f t="shared" si="101"/>
        <v>0</v>
      </c>
      <c r="BM77" s="150">
        <f t="shared" si="101"/>
        <v>0</v>
      </c>
      <c r="BN77" s="150">
        <f t="shared" si="101"/>
        <v>0</v>
      </c>
      <c r="BO77" s="150">
        <f t="shared" ref="BO77:BV77" si="102">-BO37*BO67</f>
        <v>0</v>
      </c>
      <c r="BP77" s="150">
        <f t="shared" si="102"/>
        <v>0</v>
      </c>
      <c r="BQ77" s="150">
        <f t="shared" si="102"/>
        <v>0</v>
      </c>
      <c r="BR77" s="150">
        <f t="shared" si="102"/>
        <v>0</v>
      </c>
      <c r="BS77" s="150">
        <f t="shared" si="102"/>
        <v>0</v>
      </c>
      <c r="BT77" s="150">
        <f t="shared" si="102"/>
        <v>0</v>
      </c>
      <c r="BU77" s="150">
        <f t="shared" si="102"/>
        <v>0</v>
      </c>
      <c r="BV77" s="150">
        <f t="shared" si="102"/>
        <v>0</v>
      </c>
    </row>
    <row r="78" spans="2:74" s="127" customFormat="1" ht="15.75" hidden="1" customHeight="1" outlineLevel="1" x14ac:dyDescent="0.2">
      <c r="B78" s="126" t="s">
        <v>57</v>
      </c>
      <c r="C78" s="148">
        <f t="shared" ref="C78:AH78" si="103">-C38*C68</f>
        <v>0</v>
      </c>
      <c r="D78" s="149">
        <f t="shared" si="103"/>
        <v>0</v>
      </c>
      <c r="E78" s="150">
        <f t="shared" si="103"/>
        <v>0</v>
      </c>
      <c r="F78" s="150">
        <f t="shared" si="103"/>
        <v>0</v>
      </c>
      <c r="G78" s="150">
        <f t="shared" si="103"/>
        <v>0</v>
      </c>
      <c r="H78" s="150">
        <f t="shared" si="103"/>
        <v>0</v>
      </c>
      <c r="I78" s="150">
        <f t="shared" si="103"/>
        <v>0</v>
      </c>
      <c r="J78" s="150">
        <f t="shared" si="103"/>
        <v>0</v>
      </c>
      <c r="K78" s="150">
        <f t="shared" si="103"/>
        <v>0</v>
      </c>
      <c r="L78" s="150">
        <f t="shared" si="103"/>
        <v>0</v>
      </c>
      <c r="M78" s="150">
        <f t="shared" si="103"/>
        <v>0</v>
      </c>
      <c r="N78" s="150">
        <f t="shared" si="103"/>
        <v>0</v>
      </c>
      <c r="O78" s="150">
        <f t="shared" si="103"/>
        <v>0</v>
      </c>
      <c r="P78" s="150">
        <f t="shared" si="103"/>
        <v>0</v>
      </c>
      <c r="Q78" s="150">
        <f t="shared" si="103"/>
        <v>0</v>
      </c>
      <c r="R78" s="150">
        <f t="shared" si="103"/>
        <v>0</v>
      </c>
      <c r="S78" s="150">
        <f t="shared" si="103"/>
        <v>0</v>
      </c>
      <c r="T78" s="150">
        <f t="shared" si="103"/>
        <v>0</v>
      </c>
      <c r="U78" s="150">
        <f t="shared" si="103"/>
        <v>0</v>
      </c>
      <c r="V78" s="150">
        <f t="shared" si="103"/>
        <v>0</v>
      </c>
      <c r="W78" s="150">
        <f t="shared" si="103"/>
        <v>0</v>
      </c>
      <c r="X78" s="150">
        <f t="shared" si="103"/>
        <v>0</v>
      </c>
      <c r="Y78" s="150">
        <f t="shared" si="103"/>
        <v>0</v>
      </c>
      <c r="Z78" s="150">
        <f t="shared" si="103"/>
        <v>0</v>
      </c>
      <c r="AA78" s="150">
        <f t="shared" si="103"/>
        <v>0</v>
      </c>
      <c r="AB78" s="150">
        <f t="shared" si="103"/>
        <v>0</v>
      </c>
      <c r="AC78" s="150">
        <f t="shared" si="103"/>
        <v>0</v>
      </c>
      <c r="AD78" s="150">
        <f t="shared" si="103"/>
        <v>0</v>
      </c>
      <c r="AE78" s="150">
        <f t="shared" si="103"/>
        <v>0</v>
      </c>
      <c r="AF78" s="150">
        <f t="shared" si="103"/>
        <v>0</v>
      </c>
      <c r="AG78" s="150">
        <f t="shared" si="103"/>
        <v>0</v>
      </c>
      <c r="AH78" s="150">
        <f t="shared" si="103"/>
        <v>0</v>
      </c>
      <c r="AI78" s="150">
        <f t="shared" ref="AI78:BN78" si="104">-AI38*AI68</f>
        <v>0</v>
      </c>
      <c r="AJ78" s="150">
        <f t="shared" si="104"/>
        <v>0</v>
      </c>
      <c r="AK78" s="150">
        <f t="shared" si="104"/>
        <v>0</v>
      </c>
      <c r="AL78" s="150">
        <f t="shared" si="104"/>
        <v>0</v>
      </c>
      <c r="AM78" s="150">
        <f t="shared" si="104"/>
        <v>0</v>
      </c>
      <c r="AN78" s="150">
        <f t="shared" si="104"/>
        <v>0</v>
      </c>
      <c r="AO78" s="150">
        <f t="shared" si="104"/>
        <v>0</v>
      </c>
      <c r="AP78" s="150">
        <f t="shared" si="104"/>
        <v>0</v>
      </c>
      <c r="AQ78" s="150">
        <f t="shared" si="104"/>
        <v>0</v>
      </c>
      <c r="AR78" s="150">
        <f t="shared" si="104"/>
        <v>0</v>
      </c>
      <c r="AS78" s="150">
        <f t="shared" si="104"/>
        <v>0</v>
      </c>
      <c r="AT78" s="150">
        <f t="shared" si="104"/>
        <v>0</v>
      </c>
      <c r="AU78" s="150">
        <f t="shared" si="104"/>
        <v>0</v>
      </c>
      <c r="AV78" s="150">
        <f t="shared" si="104"/>
        <v>0</v>
      </c>
      <c r="AW78" s="150">
        <f t="shared" si="104"/>
        <v>0</v>
      </c>
      <c r="AX78" s="150">
        <f t="shared" si="104"/>
        <v>0</v>
      </c>
      <c r="AY78" s="150">
        <f t="shared" si="104"/>
        <v>0</v>
      </c>
      <c r="AZ78" s="150">
        <f t="shared" si="104"/>
        <v>0</v>
      </c>
      <c r="BA78" s="150">
        <f t="shared" si="104"/>
        <v>0</v>
      </c>
      <c r="BB78" s="150">
        <f t="shared" si="104"/>
        <v>0</v>
      </c>
      <c r="BC78" s="150">
        <f t="shared" si="104"/>
        <v>0</v>
      </c>
      <c r="BD78" s="150">
        <f t="shared" si="104"/>
        <v>0</v>
      </c>
      <c r="BE78" s="150">
        <f t="shared" si="104"/>
        <v>0</v>
      </c>
      <c r="BF78" s="150">
        <f t="shared" si="104"/>
        <v>0</v>
      </c>
      <c r="BG78" s="150">
        <f t="shared" si="104"/>
        <v>0</v>
      </c>
      <c r="BH78" s="150">
        <f t="shared" si="104"/>
        <v>0</v>
      </c>
      <c r="BI78" s="150">
        <f t="shared" si="104"/>
        <v>0</v>
      </c>
      <c r="BJ78" s="150">
        <f t="shared" si="104"/>
        <v>0</v>
      </c>
      <c r="BK78" s="150">
        <f t="shared" si="104"/>
        <v>0</v>
      </c>
      <c r="BL78" s="150">
        <f t="shared" si="104"/>
        <v>0</v>
      </c>
      <c r="BM78" s="150">
        <f t="shared" si="104"/>
        <v>0</v>
      </c>
      <c r="BN78" s="150">
        <f t="shared" si="104"/>
        <v>0</v>
      </c>
      <c r="BO78" s="150">
        <f t="shared" ref="BO78:BV78" si="105">-BO38*BO68</f>
        <v>0</v>
      </c>
      <c r="BP78" s="150">
        <f t="shared" si="105"/>
        <v>0</v>
      </c>
      <c r="BQ78" s="150">
        <f t="shared" si="105"/>
        <v>0</v>
      </c>
      <c r="BR78" s="150">
        <f t="shared" si="105"/>
        <v>0</v>
      </c>
      <c r="BS78" s="150">
        <f t="shared" si="105"/>
        <v>0</v>
      </c>
      <c r="BT78" s="150">
        <f t="shared" si="105"/>
        <v>0</v>
      </c>
      <c r="BU78" s="150">
        <f t="shared" si="105"/>
        <v>0</v>
      </c>
      <c r="BV78" s="150">
        <f t="shared" si="105"/>
        <v>0</v>
      </c>
    </row>
    <row r="79" spans="2:74" s="127" customFormat="1" ht="15.75" hidden="1" customHeight="1" outlineLevel="1" thickBot="1" x14ac:dyDescent="0.25">
      <c r="B79" s="126" t="s">
        <v>58</v>
      </c>
      <c r="C79" s="151">
        <f t="shared" ref="C79:AH79" si="106">-C39*C69</f>
        <v>0</v>
      </c>
      <c r="D79" s="152">
        <f t="shared" si="106"/>
        <v>0</v>
      </c>
      <c r="E79" s="153">
        <f t="shared" si="106"/>
        <v>0</v>
      </c>
      <c r="F79" s="153">
        <f t="shared" si="106"/>
        <v>0</v>
      </c>
      <c r="G79" s="153">
        <f t="shared" si="106"/>
        <v>0</v>
      </c>
      <c r="H79" s="153">
        <f t="shared" si="106"/>
        <v>0</v>
      </c>
      <c r="I79" s="153">
        <f t="shared" si="106"/>
        <v>0</v>
      </c>
      <c r="J79" s="153">
        <f t="shared" si="106"/>
        <v>0</v>
      </c>
      <c r="K79" s="153">
        <f t="shared" si="106"/>
        <v>0</v>
      </c>
      <c r="L79" s="153">
        <f t="shared" si="106"/>
        <v>0</v>
      </c>
      <c r="M79" s="153">
        <f t="shared" si="106"/>
        <v>0</v>
      </c>
      <c r="N79" s="153">
        <f t="shared" si="106"/>
        <v>0</v>
      </c>
      <c r="O79" s="153">
        <f t="shared" si="106"/>
        <v>0</v>
      </c>
      <c r="P79" s="153">
        <f t="shared" si="106"/>
        <v>0</v>
      </c>
      <c r="Q79" s="153">
        <f t="shared" si="106"/>
        <v>0</v>
      </c>
      <c r="R79" s="153">
        <f t="shared" si="106"/>
        <v>0</v>
      </c>
      <c r="S79" s="153">
        <f t="shared" si="106"/>
        <v>0</v>
      </c>
      <c r="T79" s="153">
        <f t="shared" si="106"/>
        <v>0</v>
      </c>
      <c r="U79" s="153">
        <f t="shared" si="106"/>
        <v>0</v>
      </c>
      <c r="V79" s="153">
        <f t="shared" si="106"/>
        <v>0</v>
      </c>
      <c r="W79" s="153">
        <f t="shared" si="106"/>
        <v>0</v>
      </c>
      <c r="X79" s="153">
        <f t="shared" si="106"/>
        <v>0</v>
      </c>
      <c r="Y79" s="153">
        <f t="shared" si="106"/>
        <v>0</v>
      </c>
      <c r="Z79" s="153">
        <f t="shared" si="106"/>
        <v>0</v>
      </c>
      <c r="AA79" s="153">
        <f t="shared" si="106"/>
        <v>0</v>
      </c>
      <c r="AB79" s="153">
        <f t="shared" si="106"/>
        <v>0</v>
      </c>
      <c r="AC79" s="153">
        <f t="shared" si="106"/>
        <v>0</v>
      </c>
      <c r="AD79" s="153">
        <f t="shared" si="106"/>
        <v>0</v>
      </c>
      <c r="AE79" s="153">
        <f t="shared" si="106"/>
        <v>0</v>
      </c>
      <c r="AF79" s="153">
        <f t="shared" si="106"/>
        <v>0</v>
      </c>
      <c r="AG79" s="153">
        <f t="shared" si="106"/>
        <v>0</v>
      </c>
      <c r="AH79" s="153">
        <f t="shared" si="106"/>
        <v>0</v>
      </c>
      <c r="AI79" s="153">
        <f t="shared" ref="AI79:BN79" si="107">-AI39*AI69</f>
        <v>0</v>
      </c>
      <c r="AJ79" s="153">
        <f t="shared" si="107"/>
        <v>0</v>
      </c>
      <c r="AK79" s="153">
        <f t="shared" si="107"/>
        <v>0</v>
      </c>
      <c r="AL79" s="153">
        <f t="shared" si="107"/>
        <v>0</v>
      </c>
      <c r="AM79" s="153">
        <f t="shared" si="107"/>
        <v>0</v>
      </c>
      <c r="AN79" s="153">
        <f t="shared" si="107"/>
        <v>0</v>
      </c>
      <c r="AO79" s="153">
        <f t="shared" si="107"/>
        <v>0</v>
      </c>
      <c r="AP79" s="153">
        <f t="shared" si="107"/>
        <v>0</v>
      </c>
      <c r="AQ79" s="153">
        <f t="shared" si="107"/>
        <v>0</v>
      </c>
      <c r="AR79" s="153">
        <f t="shared" si="107"/>
        <v>0</v>
      </c>
      <c r="AS79" s="153">
        <f t="shared" si="107"/>
        <v>0</v>
      </c>
      <c r="AT79" s="153">
        <f t="shared" si="107"/>
        <v>0</v>
      </c>
      <c r="AU79" s="153">
        <f t="shared" si="107"/>
        <v>0</v>
      </c>
      <c r="AV79" s="153">
        <f t="shared" si="107"/>
        <v>0</v>
      </c>
      <c r="AW79" s="153">
        <f t="shared" si="107"/>
        <v>0</v>
      </c>
      <c r="AX79" s="153">
        <f t="shared" si="107"/>
        <v>0</v>
      </c>
      <c r="AY79" s="153">
        <f t="shared" si="107"/>
        <v>0</v>
      </c>
      <c r="AZ79" s="153">
        <f t="shared" si="107"/>
        <v>0</v>
      </c>
      <c r="BA79" s="153">
        <f t="shared" si="107"/>
        <v>0</v>
      </c>
      <c r="BB79" s="153">
        <f t="shared" si="107"/>
        <v>0</v>
      </c>
      <c r="BC79" s="153">
        <f t="shared" si="107"/>
        <v>0</v>
      </c>
      <c r="BD79" s="153">
        <f t="shared" si="107"/>
        <v>0</v>
      </c>
      <c r="BE79" s="153">
        <f t="shared" si="107"/>
        <v>0</v>
      </c>
      <c r="BF79" s="153">
        <f t="shared" si="107"/>
        <v>0</v>
      </c>
      <c r="BG79" s="153">
        <f t="shared" si="107"/>
        <v>0</v>
      </c>
      <c r="BH79" s="153">
        <f t="shared" si="107"/>
        <v>0</v>
      </c>
      <c r="BI79" s="153">
        <f t="shared" si="107"/>
        <v>0</v>
      </c>
      <c r="BJ79" s="153">
        <f t="shared" si="107"/>
        <v>0</v>
      </c>
      <c r="BK79" s="153">
        <f t="shared" si="107"/>
        <v>0</v>
      </c>
      <c r="BL79" s="153">
        <f t="shared" si="107"/>
        <v>0</v>
      </c>
      <c r="BM79" s="153">
        <f t="shared" si="107"/>
        <v>0</v>
      </c>
      <c r="BN79" s="153">
        <f t="shared" si="107"/>
        <v>0</v>
      </c>
      <c r="BO79" s="153">
        <f t="shared" ref="BO79:BV79" si="108">-BO39*BO69</f>
        <v>0</v>
      </c>
      <c r="BP79" s="153">
        <f t="shared" si="108"/>
        <v>0</v>
      </c>
      <c r="BQ79" s="153">
        <f t="shared" si="108"/>
        <v>0</v>
      </c>
      <c r="BR79" s="153">
        <f t="shared" si="108"/>
        <v>0</v>
      </c>
      <c r="BS79" s="153">
        <f t="shared" si="108"/>
        <v>0</v>
      </c>
      <c r="BT79" s="153">
        <f t="shared" si="108"/>
        <v>0</v>
      </c>
      <c r="BU79" s="153">
        <f t="shared" si="108"/>
        <v>0</v>
      </c>
      <c r="BV79" s="153">
        <f t="shared" si="108"/>
        <v>0</v>
      </c>
    </row>
    <row r="80" spans="2:74" s="125" customFormat="1" ht="15.75" customHeight="1" collapsed="1" x14ac:dyDescent="0.2">
      <c r="B80" s="128" t="s">
        <v>82</v>
      </c>
      <c r="C80" s="106">
        <f t="shared" ref="C80:AH80" si="109">+SUM(C81:C89)</f>
        <v>0</v>
      </c>
      <c r="D80" s="106">
        <f t="shared" si="109"/>
        <v>0</v>
      </c>
      <c r="E80" s="106">
        <f t="shared" si="109"/>
        <v>0</v>
      </c>
      <c r="F80" s="106">
        <f t="shared" si="109"/>
        <v>0</v>
      </c>
      <c r="G80" s="106">
        <f t="shared" si="109"/>
        <v>0</v>
      </c>
      <c r="H80" s="106">
        <f t="shared" si="109"/>
        <v>0</v>
      </c>
      <c r="I80" s="106">
        <f t="shared" si="109"/>
        <v>0</v>
      </c>
      <c r="J80" s="106">
        <f t="shared" si="109"/>
        <v>0</v>
      </c>
      <c r="K80" s="106">
        <f t="shared" si="109"/>
        <v>0</v>
      </c>
      <c r="L80" s="106">
        <f t="shared" si="109"/>
        <v>0</v>
      </c>
      <c r="M80" s="106">
        <f t="shared" si="109"/>
        <v>0</v>
      </c>
      <c r="N80" s="106">
        <f t="shared" si="109"/>
        <v>0</v>
      </c>
      <c r="O80" s="106">
        <f t="shared" si="109"/>
        <v>0</v>
      </c>
      <c r="P80" s="106">
        <f t="shared" si="109"/>
        <v>0</v>
      </c>
      <c r="Q80" s="106">
        <f t="shared" si="109"/>
        <v>0</v>
      </c>
      <c r="R80" s="106">
        <f t="shared" si="109"/>
        <v>0</v>
      </c>
      <c r="S80" s="106">
        <f t="shared" si="109"/>
        <v>0</v>
      </c>
      <c r="T80" s="106">
        <f t="shared" si="109"/>
        <v>0</v>
      </c>
      <c r="U80" s="106">
        <f t="shared" si="109"/>
        <v>0</v>
      </c>
      <c r="V80" s="106">
        <f t="shared" si="109"/>
        <v>0</v>
      </c>
      <c r="W80" s="106">
        <f t="shared" si="109"/>
        <v>0</v>
      </c>
      <c r="X80" s="106">
        <f t="shared" si="109"/>
        <v>0</v>
      </c>
      <c r="Y80" s="106">
        <f t="shared" si="109"/>
        <v>0</v>
      </c>
      <c r="Z80" s="106">
        <f t="shared" si="109"/>
        <v>0</v>
      </c>
      <c r="AA80" s="106">
        <f t="shared" si="109"/>
        <v>0</v>
      </c>
      <c r="AB80" s="106">
        <f t="shared" si="109"/>
        <v>0</v>
      </c>
      <c r="AC80" s="106">
        <f t="shared" si="109"/>
        <v>0</v>
      </c>
      <c r="AD80" s="106">
        <f t="shared" si="109"/>
        <v>0</v>
      </c>
      <c r="AE80" s="106">
        <f t="shared" si="109"/>
        <v>0</v>
      </c>
      <c r="AF80" s="106">
        <f t="shared" si="109"/>
        <v>0</v>
      </c>
      <c r="AG80" s="106">
        <f t="shared" si="109"/>
        <v>0</v>
      </c>
      <c r="AH80" s="106">
        <f t="shared" si="109"/>
        <v>0</v>
      </c>
      <c r="AI80" s="106">
        <f t="shared" ref="AI80:BN80" si="110">+SUM(AI81:AI89)</f>
        <v>0</v>
      </c>
      <c r="AJ80" s="106">
        <f t="shared" si="110"/>
        <v>0</v>
      </c>
      <c r="AK80" s="106">
        <f t="shared" si="110"/>
        <v>0</v>
      </c>
      <c r="AL80" s="106">
        <f t="shared" si="110"/>
        <v>0</v>
      </c>
      <c r="AM80" s="106">
        <f t="shared" si="110"/>
        <v>0</v>
      </c>
      <c r="AN80" s="106">
        <f t="shared" si="110"/>
        <v>0</v>
      </c>
      <c r="AO80" s="106">
        <f t="shared" si="110"/>
        <v>0</v>
      </c>
      <c r="AP80" s="106">
        <f t="shared" si="110"/>
        <v>0</v>
      </c>
      <c r="AQ80" s="106">
        <f t="shared" si="110"/>
        <v>0</v>
      </c>
      <c r="AR80" s="106">
        <f t="shared" si="110"/>
        <v>0</v>
      </c>
      <c r="AS80" s="106">
        <f t="shared" si="110"/>
        <v>0</v>
      </c>
      <c r="AT80" s="106">
        <f t="shared" si="110"/>
        <v>0</v>
      </c>
      <c r="AU80" s="106">
        <f t="shared" si="110"/>
        <v>0</v>
      </c>
      <c r="AV80" s="106">
        <f t="shared" si="110"/>
        <v>0</v>
      </c>
      <c r="AW80" s="106">
        <f t="shared" si="110"/>
        <v>0</v>
      </c>
      <c r="AX80" s="106">
        <f t="shared" si="110"/>
        <v>0</v>
      </c>
      <c r="AY80" s="106">
        <f t="shared" si="110"/>
        <v>0</v>
      </c>
      <c r="AZ80" s="106">
        <f t="shared" si="110"/>
        <v>0</v>
      </c>
      <c r="BA80" s="106">
        <f t="shared" si="110"/>
        <v>0</v>
      </c>
      <c r="BB80" s="106">
        <f t="shared" si="110"/>
        <v>0</v>
      </c>
      <c r="BC80" s="106">
        <f t="shared" si="110"/>
        <v>0</v>
      </c>
      <c r="BD80" s="106">
        <f t="shared" si="110"/>
        <v>0</v>
      </c>
      <c r="BE80" s="106">
        <f t="shared" si="110"/>
        <v>0</v>
      </c>
      <c r="BF80" s="106">
        <f t="shared" si="110"/>
        <v>0</v>
      </c>
      <c r="BG80" s="106">
        <f t="shared" si="110"/>
        <v>0</v>
      </c>
      <c r="BH80" s="106">
        <f t="shared" si="110"/>
        <v>0</v>
      </c>
      <c r="BI80" s="106">
        <f t="shared" si="110"/>
        <v>0</v>
      </c>
      <c r="BJ80" s="106">
        <f t="shared" si="110"/>
        <v>0</v>
      </c>
      <c r="BK80" s="106">
        <f t="shared" si="110"/>
        <v>0</v>
      </c>
      <c r="BL80" s="106">
        <f t="shared" si="110"/>
        <v>0</v>
      </c>
      <c r="BM80" s="106">
        <f t="shared" si="110"/>
        <v>0</v>
      </c>
      <c r="BN80" s="106">
        <f t="shared" si="110"/>
        <v>0</v>
      </c>
      <c r="BO80" s="106">
        <f t="shared" ref="BO80:BV80" si="111">+SUM(BO81:BO89)</f>
        <v>0</v>
      </c>
      <c r="BP80" s="106">
        <f t="shared" si="111"/>
        <v>0</v>
      </c>
      <c r="BQ80" s="106">
        <f t="shared" si="111"/>
        <v>0</v>
      </c>
      <c r="BR80" s="106">
        <f t="shared" si="111"/>
        <v>0</v>
      </c>
      <c r="BS80" s="106">
        <f t="shared" si="111"/>
        <v>0</v>
      </c>
      <c r="BT80" s="106">
        <f t="shared" si="111"/>
        <v>0</v>
      </c>
      <c r="BU80" s="106">
        <f t="shared" si="111"/>
        <v>0</v>
      </c>
      <c r="BV80" s="106">
        <f t="shared" si="111"/>
        <v>0</v>
      </c>
    </row>
    <row r="81" spans="2:74" s="127" customFormat="1" ht="15.75" hidden="1" customHeight="1" outlineLevel="1" x14ac:dyDescent="0.2">
      <c r="B81" s="126" t="s">
        <v>50</v>
      </c>
      <c r="C81" s="54"/>
      <c r="D81" s="55"/>
      <c r="E81" s="56"/>
      <c r="F81" s="56"/>
      <c r="G81" s="56"/>
      <c r="H81" s="56"/>
      <c r="I81" s="56"/>
      <c r="J81" s="56"/>
      <c r="K81" s="56"/>
      <c r="L81" s="56"/>
      <c r="M81" s="56"/>
      <c r="N81" s="56"/>
      <c r="O81" s="56"/>
      <c r="P81" s="56"/>
      <c r="Q81" s="56"/>
      <c r="R81" s="56"/>
      <c r="S81" s="56"/>
      <c r="T81" s="56"/>
      <c r="U81" s="56"/>
      <c r="V81" s="56"/>
      <c r="W81" s="56"/>
      <c r="X81" s="56"/>
      <c r="Y81" s="56"/>
      <c r="Z81" s="56"/>
      <c r="AA81" s="56"/>
      <c r="AB81" s="56"/>
      <c r="AC81" s="56"/>
      <c r="AD81" s="56"/>
      <c r="AE81" s="56"/>
      <c r="AF81" s="56"/>
      <c r="AG81" s="56"/>
      <c r="AH81" s="56"/>
      <c r="AI81" s="56"/>
      <c r="AJ81" s="56"/>
      <c r="AK81" s="56"/>
      <c r="AL81" s="56"/>
      <c r="AM81" s="56"/>
      <c r="AN81" s="56"/>
      <c r="AO81" s="56"/>
      <c r="AP81" s="56"/>
      <c r="AQ81" s="56"/>
      <c r="AR81" s="56"/>
      <c r="AS81" s="56"/>
      <c r="AT81" s="56"/>
      <c r="AU81" s="56"/>
      <c r="AV81" s="56"/>
      <c r="AW81" s="56"/>
      <c r="AX81" s="56"/>
      <c r="AY81" s="56"/>
      <c r="AZ81" s="56"/>
      <c r="BA81" s="56"/>
      <c r="BB81" s="56"/>
      <c r="BC81" s="56"/>
      <c r="BD81" s="56"/>
      <c r="BE81" s="56"/>
      <c r="BF81" s="56"/>
      <c r="BG81" s="56"/>
      <c r="BH81" s="56"/>
      <c r="BI81" s="56"/>
      <c r="BJ81" s="56"/>
      <c r="BK81" s="56"/>
      <c r="BL81" s="56"/>
      <c r="BM81" s="56"/>
      <c r="BN81" s="56"/>
      <c r="BO81" s="56"/>
      <c r="BP81" s="56"/>
      <c r="BQ81" s="56"/>
      <c r="BR81" s="56"/>
      <c r="BS81" s="56"/>
      <c r="BT81" s="56"/>
      <c r="BU81" s="56"/>
      <c r="BV81" s="56"/>
    </row>
    <row r="82" spans="2:74" s="127" customFormat="1" ht="15.75" hidden="1" customHeight="1" outlineLevel="1" x14ac:dyDescent="0.2">
      <c r="B82" s="126" t="s">
        <v>51</v>
      </c>
      <c r="C82" s="57"/>
      <c r="D82" s="58"/>
      <c r="E82" s="59"/>
      <c r="F82" s="59"/>
      <c r="G82" s="59"/>
      <c r="H82" s="59"/>
      <c r="I82" s="59"/>
      <c r="J82" s="59"/>
      <c r="K82" s="59"/>
      <c r="L82" s="59"/>
      <c r="M82" s="59"/>
      <c r="N82" s="59"/>
      <c r="O82" s="59"/>
      <c r="P82" s="59"/>
      <c r="Q82" s="59"/>
      <c r="R82" s="59"/>
      <c r="S82" s="59"/>
      <c r="T82" s="59"/>
      <c r="U82" s="59"/>
      <c r="V82" s="59"/>
      <c r="W82" s="59"/>
      <c r="X82" s="59"/>
      <c r="Y82" s="59"/>
      <c r="Z82" s="59"/>
      <c r="AA82" s="59"/>
      <c r="AB82" s="59"/>
      <c r="AC82" s="59"/>
      <c r="AD82" s="59"/>
      <c r="AE82" s="59"/>
      <c r="AF82" s="59"/>
      <c r="AG82" s="59"/>
      <c r="AH82" s="59"/>
      <c r="AI82" s="59"/>
      <c r="AJ82" s="59"/>
      <c r="AK82" s="59"/>
      <c r="AL82" s="59"/>
      <c r="AM82" s="59"/>
      <c r="AN82" s="59"/>
      <c r="AO82" s="59"/>
      <c r="AP82" s="59"/>
      <c r="AQ82" s="59"/>
      <c r="AR82" s="59"/>
      <c r="AS82" s="59"/>
      <c r="AT82" s="59"/>
      <c r="AU82" s="59"/>
      <c r="AV82" s="59"/>
      <c r="AW82" s="59"/>
      <c r="AX82" s="59"/>
      <c r="AY82" s="59"/>
      <c r="AZ82" s="59"/>
      <c r="BA82" s="59"/>
      <c r="BB82" s="59"/>
      <c r="BC82" s="59"/>
      <c r="BD82" s="59"/>
      <c r="BE82" s="59"/>
      <c r="BF82" s="59"/>
      <c r="BG82" s="59"/>
      <c r="BH82" s="59"/>
      <c r="BI82" s="59"/>
      <c r="BJ82" s="59"/>
      <c r="BK82" s="59"/>
      <c r="BL82" s="59"/>
      <c r="BM82" s="59"/>
      <c r="BN82" s="59"/>
      <c r="BO82" s="59"/>
      <c r="BP82" s="59"/>
      <c r="BQ82" s="59"/>
      <c r="BR82" s="59"/>
      <c r="BS82" s="59"/>
      <c r="BT82" s="59"/>
      <c r="BU82" s="59"/>
      <c r="BV82" s="59"/>
    </row>
    <row r="83" spans="2:74" s="127" customFormat="1" ht="15.75" hidden="1" customHeight="1" outlineLevel="1" x14ac:dyDescent="0.2">
      <c r="B83" s="126" t="s">
        <v>52</v>
      </c>
      <c r="C83" s="57"/>
      <c r="D83" s="58"/>
      <c r="E83" s="59"/>
      <c r="F83" s="59"/>
      <c r="G83" s="59"/>
      <c r="H83" s="59"/>
      <c r="I83" s="59"/>
      <c r="J83" s="59"/>
      <c r="K83" s="59"/>
      <c r="L83" s="59"/>
      <c r="M83" s="59"/>
      <c r="N83" s="59"/>
      <c r="O83" s="59"/>
      <c r="P83" s="59"/>
      <c r="Q83" s="59"/>
      <c r="R83" s="59"/>
      <c r="S83" s="59"/>
      <c r="T83" s="59"/>
      <c r="U83" s="59"/>
      <c r="V83" s="59"/>
      <c r="W83" s="59"/>
      <c r="X83" s="59"/>
      <c r="Y83" s="59"/>
      <c r="Z83" s="59"/>
      <c r="AA83" s="59"/>
      <c r="AB83" s="59"/>
      <c r="AC83" s="59"/>
      <c r="AD83" s="59"/>
      <c r="AE83" s="59"/>
      <c r="AF83" s="59"/>
      <c r="AG83" s="59"/>
      <c r="AH83" s="59"/>
      <c r="AI83" s="59"/>
      <c r="AJ83" s="59"/>
      <c r="AK83" s="59"/>
      <c r="AL83" s="59"/>
      <c r="AM83" s="59"/>
      <c r="AN83" s="59"/>
      <c r="AO83" s="59"/>
      <c r="AP83" s="59"/>
      <c r="AQ83" s="59"/>
      <c r="AR83" s="59"/>
      <c r="AS83" s="59"/>
      <c r="AT83" s="59"/>
      <c r="AU83" s="59"/>
      <c r="AV83" s="59"/>
      <c r="AW83" s="59"/>
      <c r="AX83" s="59"/>
      <c r="AY83" s="59"/>
      <c r="AZ83" s="59"/>
      <c r="BA83" s="59"/>
      <c r="BB83" s="59"/>
      <c r="BC83" s="59"/>
      <c r="BD83" s="59"/>
      <c r="BE83" s="59"/>
      <c r="BF83" s="59"/>
      <c r="BG83" s="59"/>
      <c r="BH83" s="59"/>
      <c r="BI83" s="59"/>
      <c r="BJ83" s="59"/>
      <c r="BK83" s="59"/>
      <c r="BL83" s="59"/>
      <c r="BM83" s="59"/>
      <c r="BN83" s="59"/>
      <c r="BO83" s="59"/>
      <c r="BP83" s="59"/>
      <c r="BQ83" s="59"/>
      <c r="BR83" s="59"/>
      <c r="BS83" s="59"/>
      <c r="BT83" s="59"/>
      <c r="BU83" s="59"/>
      <c r="BV83" s="59"/>
    </row>
    <row r="84" spans="2:74" s="127" customFormat="1" ht="15.75" hidden="1" customHeight="1" outlineLevel="1" x14ac:dyDescent="0.2">
      <c r="B84" s="126" t="s">
        <v>53</v>
      </c>
      <c r="C84" s="57"/>
      <c r="D84" s="58"/>
      <c r="E84" s="59"/>
      <c r="F84" s="59"/>
      <c r="G84" s="59"/>
      <c r="H84" s="59"/>
      <c r="I84" s="59"/>
      <c r="J84" s="59"/>
      <c r="K84" s="59"/>
      <c r="L84" s="59"/>
      <c r="M84" s="59"/>
      <c r="N84" s="59"/>
      <c r="O84" s="59"/>
      <c r="P84" s="59"/>
      <c r="Q84" s="59"/>
      <c r="R84" s="59"/>
      <c r="S84" s="59"/>
      <c r="T84" s="59"/>
      <c r="U84" s="59"/>
      <c r="V84" s="59"/>
      <c r="W84" s="59"/>
      <c r="X84" s="59"/>
      <c r="Y84" s="59"/>
      <c r="Z84" s="59"/>
      <c r="AA84" s="59"/>
      <c r="AB84" s="59"/>
      <c r="AC84" s="59"/>
      <c r="AD84" s="59"/>
      <c r="AE84" s="59"/>
      <c r="AF84" s="59"/>
      <c r="AG84" s="59"/>
      <c r="AH84" s="59"/>
      <c r="AI84" s="59"/>
      <c r="AJ84" s="59"/>
      <c r="AK84" s="59"/>
      <c r="AL84" s="59"/>
      <c r="AM84" s="59"/>
      <c r="AN84" s="59"/>
      <c r="AO84" s="59"/>
      <c r="AP84" s="59"/>
      <c r="AQ84" s="59"/>
      <c r="AR84" s="59"/>
      <c r="AS84" s="59"/>
      <c r="AT84" s="59"/>
      <c r="AU84" s="59"/>
      <c r="AV84" s="59"/>
      <c r="AW84" s="59"/>
      <c r="AX84" s="59"/>
      <c r="AY84" s="59"/>
      <c r="AZ84" s="59"/>
      <c r="BA84" s="59"/>
      <c r="BB84" s="59"/>
      <c r="BC84" s="59"/>
      <c r="BD84" s="59"/>
      <c r="BE84" s="59"/>
      <c r="BF84" s="59"/>
      <c r="BG84" s="59"/>
      <c r="BH84" s="59"/>
      <c r="BI84" s="59"/>
      <c r="BJ84" s="59"/>
      <c r="BK84" s="59"/>
      <c r="BL84" s="59"/>
      <c r="BM84" s="59"/>
      <c r="BN84" s="59"/>
      <c r="BO84" s="59"/>
      <c r="BP84" s="59"/>
      <c r="BQ84" s="59"/>
      <c r="BR84" s="59"/>
      <c r="BS84" s="59"/>
      <c r="BT84" s="59"/>
      <c r="BU84" s="59"/>
      <c r="BV84" s="59"/>
    </row>
    <row r="85" spans="2:74" s="127" customFormat="1" ht="15.75" hidden="1" customHeight="1" outlineLevel="1" x14ac:dyDescent="0.2">
      <c r="B85" s="126" t="s">
        <v>54</v>
      </c>
      <c r="C85" s="57"/>
      <c r="D85" s="58"/>
      <c r="E85" s="59"/>
      <c r="F85" s="59"/>
      <c r="G85" s="59"/>
      <c r="H85" s="59"/>
      <c r="I85" s="59"/>
      <c r="J85" s="59"/>
      <c r="K85" s="59"/>
      <c r="L85" s="59"/>
      <c r="M85" s="59"/>
      <c r="N85" s="59"/>
      <c r="O85" s="59"/>
      <c r="P85" s="59"/>
      <c r="Q85" s="59"/>
      <c r="R85" s="59"/>
      <c r="S85" s="59"/>
      <c r="T85" s="59"/>
      <c r="U85" s="59"/>
      <c r="V85" s="59"/>
      <c r="W85" s="59"/>
      <c r="X85" s="59"/>
      <c r="Y85" s="59"/>
      <c r="Z85" s="59"/>
      <c r="AA85" s="59"/>
      <c r="AB85" s="59"/>
      <c r="AC85" s="59"/>
      <c r="AD85" s="59"/>
      <c r="AE85" s="59"/>
      <c r="AF85" s="59"/>
      <c r="AG85" s="59"/>
      <c r="AH85" s="59"/>
      <c r="AI85" s="59"/>
      <c r="AJ85" s="59"/>
      <c r="AK85" s="59"/>
      <c r="AL85" s="59"/>
      <c r="AM85" s="59"/>
      <c r="AN85" s="59"/>
      <c r="AO85" s="59"/>
      <c r="AP85" s="59"/>
      <c r="AQ85" s="59"/>
      <c r="AR85" s="59"/>
      <c r="AS85" s="59"/>
      <c r="AT85" s="59"/>
      <c r="AU85" s="59"/>
      <c r="AV85" s="59"/>
      <c r="AW85" s="59"/>
      <c r="AX85" s="59"/>
      <c r="AY85" s="59"/>
      <c r="AZ85" s="59"/>
      <c r="BA85" s="59"/>
      <c r="BB85" s="59"/>
      <c r="BC85" s="59"/>
      <c r="BD85" s="59"/>
      <c r="BE85" s="59"/>
      <c r="BF85" s="59"/>
      <c r="BG85" s="59"/>
      <c r="BH85" s="59"/>
      <c r="BI85" s="59"/>
      <c r="BJ85" s="59"/>
      <c r="BK85" s="59"/>
      <c r="BL85" s="59"/>
      <c r="BM85" s="59"/>
      <c r="BN85" s="59"/>
      <c r="BO85" s="59"/>
      <c r="BP85" s="59"/>
      <c r="BQ85" s="59"/>
      <c r="BR85" s="59"/>
      <c r="BS85" s="59"/>
      <c r="BT85" s="59"/>
      <c r="BU85" s="59"/>
      <c r="BV85" s="59"/>
    </row>
    <row r="86" spans="2:74" s="127" customFormat="1" ht="15.75" hidden="1" customHeight="1" outlineLevel="1" x14ac:dyDescent="0.2">
      <c r="B86" s="126" t="s">
        <v>55</v>
      </c>
      <c r="C86" s="57"/>
      <c r="D86" s="58"/>
      <c r="E86" s="59"/>
      <c r="F86" s="59"/>
      <c r="G86" s="59"/>
      <c r="H86" s="59"/>
      <c r="I86" s="59"/>
      <c r="J86" s="59"/>
      <c r="K86" s="59"/>
      <c r="L86" s="59"/>
      <c r="M86" s="59"/>
      <c r="N86" s="59"/>
      <c r="O86" s="59"/>
      <c r="P86" s="59"/>
      <c r="Q86" s="59"/>
      <c r="R86" s="59"/>
      <c r="S86" s="59"/>
      <c r="T86" s="59"/>
      <c r="U86" s="59"/>
      <c r="V86" s="59"/>
      <c r="W86" s="59"/>
      <c r="X86" s="59"/>
      <c r="Y86" s="59"/>
      <c r="Z86" s="59"/>
      <c r="AA86" s="59"/>
      <c r="AB86" s="59"/>
      <c r="AC86" s="59"/>
      <c r="AD86" s="59"/>
      <c r="AE86" s="59"/>
      <c r="AF86" s="59"/>
      <c r="AG86" s="59"/>
      <c r="AH86" s="59"/>
      <c r="AI86" s="59"/>
      <c r="AJ86" s="59"/>
      <c r="AK86" s="59"/>
      <c r="AL86" s="59"/>
      <c r="AM86" s="59"/>
      <c r="AN86" s="59"/>
      <c r="AO86" s="59"/>
      <c r="AP86" s="59"/>
      <c r="AQ86" s="59"/>
      <c r="AR86" s="59"/>
      <c r="AS86" s="59"/>
      <c r="AT86" s="59"/>
      <c r="AU86" s="59"/>
      <c r="AV86" s="59"/>
      <c r="AW86" s="59"/>
      <c r="AX86" s="59"/>
      <c r="AY86" s="59"/>
      <c r="AZ86" s="59"/>
      <c r="BA86" s="59"/>
      <c r="BB86" s="59"/>
      <c r="BC86" s="59"/>
      <c r="BD86" s="59"/>
      <c r="BE86" s="59"/>
      <c r="BF86" s="59"/>
      <c r="BG86" s="59"/>
      <c r="BH86" s="59"/>
      <c r="BI86" s="59"/>
      <c r="BJ86" s="59"/>
      <c r="BK86" s="59"/>
      <c r="BL86" s="59"/>
      <c r="BM86" s="59"/>
      <c r="BN86" s="59"/>
      <c r="BO86" s="59"/>
      <c r="BP86" s="59"/>
      <c r="BQ86" s="59"/>
      <c r="BR86" s="59"/>
      <c r="BS86" s="59"/>
      <c r="BT86" s="59"/>
      <c r="BU86" s="59"/>
      <c r="BV86" s="59"/>
    </row>
    <row r="87" spans="2:74" s="127" customFormat="1" ht="15.75" hidden="1" customHeight="1" outlineLevel="1" x14ac:dyDescent="0.2">
      <c r="B87" s="126" t="s">
        <v>56</v>
      </c>
      <c r="C87" s="57"/>
      <c r="D87" s="58"/>
      <c r="E87" s="59"/>
      <c r="F87" s="59"/>
      <c r="G87" s="59"/>
      <c r="H87" s="59"/>
      <c r="I87" s="59"/>
      <c r="J87" s="59"/>
      <c r="K87" s="59"/>
      <c r="L87" s="59"/>
      <c r="M87" s="59"/>
      <c r="N87" s="59"/>
      <c r="O87" s="59"/>
      <c r="P87" s="59"/>
      <c r="Q87" s="59"/>
      <c r="R87" s="59"/>
      <c r="S87" s="59"/>
      <c r="T87" s="59"/>
      <c r="U87" s="59"/>
      <c r="V87" s="59"/>
      <c r="W87" s="59"/>
      <c r="X87" s="59"/>
      <c r="Y87" s="59"/>
      <c r="Z87" s="59"/>
      <c r="AA87" s="59"/>
      <c r="AB87" s="59"/>
      <c r="AC87" s="59"/>
      <c r="AD87" s="59"/>
      <c r="AE87" s="59"/>
      <c r="AF87" s="59"/>
      <c r="AG87" s="59"/>
      <c r="AH87" s="59"/>
      <c r="AI87" s="59"/>
      <c r="AJ87" s="59"/>
      <c r="AK87" s="59"/>
      <c r="AL87" s="59"/>
      <c r="AM87" s="59"/>
      <c r="AN87" s="59"/>
      <c r="AO87" s="59"/>
      <c r="AP87" s="59"/>
      <c r="AQ87" s="59"/>
      <c r="AR87" s="59"/>
      <c r="AS87" s="59"/>
      <c r="AT87" s="59"/>
      <c r="AU87" s="59"/>
      <c r="AV87" s="59"/>
      <c r="AW87" s="59"/>
      <c r="AX87" s="59"/>
      <c r="AY87" s="59"/>
      <c r="AZ87" s="59"/>
      <c r="BA87" s="59"/>
      <c r="BB87" s="59"/>
      <c r="BC87" s="59"/>
      <c r="BD87" s="59"/>
      <c r="BE87" s="59"/>
      <c r="BF87" s="59"/>
      <c r="BG87" s="59"/>
      <c r="BH87" s="59"/>
      <c r="BI87" s="59"/>
      <c r="BJ87" s="59"/>
      <c r="BK87" s="59"/>
      <c r="BL87" s="59"/>
      <c r="BM87" s="59"/>
      <c r="BN87" s="59"/>
      <c r="BO87" s="59"/>
      <c r="BP87" s="59"/>
      <c r="BQ87" s="59"/>
      <c r="BR87" s="59"/>
      <c r="BS87" s="59"/>
      <c r="BT87" s="59"/>
      <c r="BU87" s="59"/>
      <c r="BV87" s="59"/>
    </row>
    <row r="88" spans="2:74" s="127" customFormat="1" ht="15.75" hidden="1" customHeight="1" outlineLevel="1" x14ac:dyDescent="0.2">
      <c r="B88" s="126" t="s">
        <v>57</v>
      </c>
      <c r="C88" s="57"/>
      <c r="D88" s="58"/>
      <c r="E88" s="59"/>
      <c r="F88" s="59"/>
      <c r="G88" s="59"/>
      <c r="H88" s="59"/>
      <c r="I88" s="59"/>
      <c r="J88" s="59"/>
      <c r="K88" s="59"/>
      <c r="L88" s="59"/>
      <c r="M88" s="59"/>
      <c r="N88" s="59"/>
      <c r="O88" s="59"/>
      <c r="P88" s="59"/>
      <c r="Q88" s="59"/>
      <c r="R88" s="59"/>
      <c r="S88" s="59"/>
      <c r="T88" s="59"/>
      <c r="U88" s="59"/>
      <c r="V88" s="59"/>
      <c r="W88" s="59"/>
      <c r="X88" s="59"/>
      <c r="Y88" s="59"/>
      <c r="Z88" s="59"/>
      <c r="AA88" s="59"/>
      <c r="AB88" s="59"/>
      <c r="AC88" s="59"/>
      <c r="AD88" s="59"/>
      <c r="AE88" s="59"/>
      <c r="AF88" s="59"/>
      <c r="AG88" s="59"/>
      <c r="AH88" s="59"/>
      <c r="AI88" s="59"/>
      <c r="AJ88" s="59"/>
      <c r="AK88" s="59"/>
      <c r="AL88" s="59"/>
      <c r="AM88" s="59"/>
      <c r="AN88" s="59"/>
      <c r="AO88" s="59"/>
      <c r="AP88" s="59"/>
      <c r="AQ88" s="59"/>
      <c r="AR88" s="59"/>
      <c r="AS88" s="59"/>
      <c r="AT88" s="59"/>
      <c r="AU88" s="59"/>
      <c r="AV88" s="59"/>
      <c r="AW88" s="59"/>
      <c r="AX88" s="59"/>
      <c r="AY88" s="59"/>
      <c r="AZ88" s="59"/>
      <c r="BA88" s="59"/>
      <c r="BB88" s="59"/>
      <c r="BC88" s="59"/>
      <c r="BD88" s="59"/>
      <c r="BE88" s="59"/>
      <c r="BF88" s="59"/>
      <c r="BG88" s="59"/>
      <c r="BH88" s="59"/>
      <c r="BI88" s="59"/>
      <c r="BJ88" s="59"/>
      <c r="BK88" s="59"/>
      <c r="BL88" s="59"/>
      <c r="BM88" s="59"/>
      <c r="BN88" s="59"/>
      <c r="BO88" s="59"/>
      <c r="BP88" s="59"/>
      <c r="BQ88" s="59"/>
      <c r="BR88" s="59"/>
      <c r="BS88" s="59"/>
      <c r="BT88" s="59"/>
      <c r="BU88" s="59"/>
      <c r="BV88" s="59"/>
    </row>
    <row r="89" spans="2:74" s="127" customFormat="1" ht="15.75" hidden="1" customHeight="1" outlineLevel="1" thickBot="1" x14ac:dyDescent="0.25">
      <c r="B89" s="126" t="s">
        <v>58</v>
      </c>
      <c r="C89" s="60"/>
      <c r="D89" s="61"/>
      <c r="E89" s="62"/>
      <c r="F89" s="62"/>
      <c r="G89" s="62"/>
      <c r="H89" s="62"/>
      <c r="I89" s="62"/>
      <c r="J89" s="62"/>
      <c r="K89" s="62"/>
      <c r="L89" s="62"/>
      <c r="M89" s="62"/>
      <c r="N89" s="62"/>
      <c r="O89" s="62"/>
      <c r="P89" s="62"/>
      <c r="Q89" s="62"/>
      <c r="R89" s="62"/>
      <c r="S89" s="62"/>
      <c r="T89" s="62"/>
      <c r="U89" s="62"/>
      <c r="V89" s="62"/>
      <c r="W89" s="62"/>
      <c r="X89" s="62"/>
      <c r="Y89" s="62"/>
      <c r="Z89" s="62"/>
      <c r="AA89" s="62"/>
      <c r="AB89" s="62"/>
      <c r="AC89" s="62"/>
      <c r="AD89" s="62"/>
      <c r="AE89" s="62"/>
      <c r="AF89" s="62"/>
      <c r="AG89" s="62"/>
      <c r="AH89" s="62"/>
      <c r="AI89" s="62"/>
      <c r="AJ89" s="62"/>
      <c r="AK89" s="62"/>
      <c r="AL89" s="62"/>
      <c r="AM89" s="62"/>
      <c r="AN89" s="62"/>
      <c r="AO89" s="62"/>
      <c r="AP89" s="62"/>
      <c r="AQ89" s="62"/>
      <c r="AR89" s="62"/>
      <c r="AS89" s="62"/>
      <c r="AT89" s="62"/>
      <c r="AU89" s="62"/>
      <c r="AV89" s="62"/>
      <c r="AW89" s="62"/>
      <c r="AX89" s="62"/>
      <c r="AY89" s="62"/>
      <c r="AZ89" s="62"/>
      <c r="BA89" s="62"/>
      <c r="BB89" s="62"/>
      <c r="BC89" s="62"/>
      <c r="BD89" s="62"/>
      <c r="BE89" s="62"/>
      <c r="BF89" s="62"/>
      <c r="BG89" s="62"/>
      <c r="BH89" s="62"/>
      <c r="BI89" s="62"/>
      <c r="BJ89" s="62"/>
      <c r="BK89" s="62"/>
      <c r="BL89" s="62"/>
      <c r="BM89" s="62"/>
      <c r="BN89" s="62"/>
      <c r="BO89" s="62"/>
      <c r="BP89" s="62"/>
      <c r="BQ89" s="62"/>
      <c r="BR89" s="62"/>
      <c r="BS89" s="62"/>
      <c r="BT89" s="62"/>
      <c r="BU89" s="62"/>
      <c r="BV89" s="62"/>
    </row>
    <row r="90" spans="2:74" s="125" customFormat="1" ht="15.75" customHeight="1" collapsed="1" x14ac:dyDescent="0.2">
      <c r="B90" s="128" t="s">
        <v>85</v>
      </c>
      <c r="C90" s="107">
        <f t="shared" ref="C90:AH90" si="112">+C80+C70+C50</f>
        <v>-6325</v>
      </c>
      <c r="D90" s="107">
        <f t="shared" si="112"/>
        <v>-6641.25</v>
      </c>
      <c r="E90" s="107">
        <f t="shared" si="112"/>
        <v>-6973.3125</v>
      </c>
      <c r="F90" s="107">
        <f t="shared" si="112"/>
        <v>-7321.9781249999996</v>
      </c>
      <c r="G90" s="107">
        <f t="shared" si="112"/>
        <v>-7688.0770312499999</v>
      </c>
      <c r="H90" s="107">
        <f t="shared" si="112"/>
        <v>-8072.4808828125015</v>
      </c>
      <c r="I90" s="107">
        <f t="shared" si="112"/>
        <v>-8476.104926953125</v>
      </c>
      <c r="J90" s="107">
        <f t="shared" si="112"/>
        <v>-8899.9101733007828</v>
      </c>
      <c r="K90" s="107">
        <f t="shared" si="112"/>
        <v>-9344.9056819658217</v>
      </c>
      <c r="L90" s="107">
        <f t="shared" si="112"/>
        <v>-9812.150966064115</v>
      </c>
      <c r="M90" s="107">
        <f t="shared" si="112"/>
        <v>-13415.249466487321</v>
      </c>
      <c r="N90" s="107">
        <f t="shared" si="112"/>
        <v>-10817.896440085686</v>
      </c>
      <c r="O90" s="107">
        <f t="shared" si="112"/>
        <v>-11358.791262089971</v>
      </c>
      <c r="P90" s="107">
        <f t="shared" si="112"/>
        <v>-11926.730825194471</v>
      </c>
      <c r="Q90" s="107">
        <f t="shared" si="112"/>
        <v>-12523.067366454194</v>
      </c>
      <c r="R90" s="107">
        <f t="shared" si="112"/>
        <v>-13149.220734776905</v>
      </c>
      <c r="S90" s="107">
        <f t="shared" si="112"/>
        <v>-13806.68177151575</v>
      </c>
      <c r="T90" s="107">
        <f t="shared" si="112"/>
        <v>-14497.015860091538</v>
      </c>
      <c r="U90" s="107">
        <f t="shared" si="112"/>
        <v>-15221.866653096116</v>
      </c>
      <c r="V90" s="107">
        <f t="shared" si="112"/>
        <v>-15982.95998575092</v>
      </c>
      <c r="W90" s="107">
        <f t="shared" si="112"/>
        <v>-16782.10798503847</v>
      </c>
      <c r="X90" s="107">
        <f t="shared" si="112"/>
        <v>-17621.213384290393</v>
      </c>
      <c r="Y90" s="107">
        <f t="shared" si="112"/>
        <v>-28270.603979925698</v>
      </c>
      <c r="Z90" s="107">
        <f t="shared" si="112"/>
        <v>-19427.38775618016</v>
      </c>
      <c r="AA90" s="107">
        <f t="shared" si="112"/>
        <v>-20398.757143989169</v>
      </c>
      <c r="AB90" s="107">
        <f t="shared" si="112"/>
        <v>-21418.695001188629</v>
      </c>
      <c r="AC90" s="107">
        <f t="shared" si="112"/>
        <v>-22489.629751248056</v>
      </c>
      <c r="AD90" s="107">
        <f t="shared" si="112"/>
        <v>-23614.111238810463</v>
      </c>
      <c r="AE90" s="107">
        <f t="shared" si="112"/>
        <v>-24794.816800750985</v>
      </c>
      <c r="AF90" s="107">
        <f t="shared" si="112"/>
        <v>-26034.557640788531</v>
      </c>
      <c r="AG90" s="107">
        <f t="shared" si="112"/>
        <v>-27336.285522827962</v>
      </c>
      <c r="AH90" s="107">
        <f t="shared" si="112"/>
        <v>-28703.099798969361</v>
      </c>
      <c r="AI90" s="107">
        <f t="shared" ref="AI90:BN90" si="113">+AI80+AI70+AI50</f>
        <v>-30138.254788917831</v>
      </c>
      <c r="AJ90" s="107">
        <f t="shared" si="113"/>
        <v>-31645.167528363723</v>
      </c>
      <c r="AK90" s="107">
        <f t="shared" si="113"/>
        <v>-33227.425904781914</v>
      </c>
      <c r="AL90" s="107">
        <f t="shared" si="113"/>
        <v>-34888.797200021007</v>
      </c>
      <c r="AM90" s="107">
        <f t="shared" si="113"/>
        <v>-36633.23706002206</v>
      </c>
      <c r="AN90" s="107">
        <f t="shared" si="113"/>
        <v>-38464.898913023164</v>
      </c>
      <c r="AO90" s="107">
        <f t="shared" si="113"/>
        <v>-40388.143858674332</v>
      </c>
      <c r="AP90" s="107">
        <f t="shared" si="113"/>
        <v>-42407.551051608054</v>
      </c>
      <c r="AQ90" s="107">
        <f t="shared" si="113"/>
        <v>-44527.928604188462</v>
      </c>
      <c r="AR90" s="107">
        <f t="shared" si="113"/>
        <v>-46754.325034397887</v>
      </c>
      <c r="AS90" s="107">
        <f t="shared" si="113"/>
        <v>-49092.04128611779</v>
      </c>
      <c r="AT90" s="107">
        <f t="shared" si="113"/>
        <v>-51546.643350423677</v>
      </c>
      <c r="AU90" s="107">
        <f t="shared" si="113"/>
        <v>-54123.975517944862</v>
      </c>
      <c r="AV90" s="107">
        <f t="shared" si="113"/>
        <v>-56830.174293842108</v>
      </c>
      <c r="AW90" s="107">
        <f t="shared" si="113"/>
        <v>-59671.68300853423</v>
      </c>
      <c r="AX90" s="107">
        <f t="shared" si="113"/>
        <v>-62655.267158960931</v>
      </c>
      <c r="AY90" s="107">
        <f t="shared" si="113"/>
        <v>-65788.030516908984</v>
      </c>
      <c r="AZ90" s="107">
        <f t="shared" si="113"/>
        <v>-69077.43204275443</v>
      </c>
      <c r="BA90" s="107">
        <f t="shared" si="113"/>
        <v>-72531.303644892148</v>
      </c>
      <c r="BB90" s="107">
        <f t="shared" si="113"/>
        <v>-76157.868827136772</v>
      </c>
      <c r="BC90" s="107">
        <f t="shared" si="113"/>
        <v>-79965.762268493621</v>
      </c>
      <c r="BD90" s="107">
        <f t="shared" si="113"/>
        <v>-83964.050381918292</v>
      </c>
      <c r="BE90" s="107">
        <f t="shared" si="113"/>
        <v>-88162.252901014217</v>
      </c>
      <c r="BF90" s="107">
        <f t="shared" si="113"/>
        <v>-92570.365546064917</v>
      </c>
      <c r="BG90" s="107">
        <f t="shared" si="113"/>
        <v>-97198.883823368174</v>
      </c>
      <c r="BH90" s="107">
        <f t="shared" si="113"/>
        <v>-102058.82801453659</v>
      </c>
      <c r="BI90" s="107">
        <f t="shared" si="113"/>
        <v>-107161.76941526341</v>
      </c>
      <c r="BJ90" s="107">
        <f t="shared" si="113"/>
        <v>-112519.85788602657</v>
      </c>
      <c r="BK90" s="107">
        <f t="shared" si="113"/>
        <v>-118145.85078032792</v>
      </c>
      <c r="BL90" s="107">
        <f t="shared" si="113"/>
        <v>-124053.14331934432</v>
      </c>
      <c r="BM90" s="107">
        <f t="shared" si="113"/>
        <v>-130255.80048531154</v>
      </c>
      <c r="BN90" s="107">
        <f t="shared" si="113"/>
        <v>-136768.59050957713</v>
      </c>
      <c r="BO90" s="107">
        <f t="shared" ref="BO90:BV90" si="114">+BO80+BO70+BO50</f>
        <v>-143607.02003505599</v>
      </c>
      <c r="BP90" s="107">
        <f t="shared" si="114"/>
        <v>-150787.37103680879</v>
      </c>
      <c r="BQ90" s="107">
        <f t="shared" si="114"/>
        <v>-158326.73958864922</v>
      </c>
      <c r="BR90" s="107">
        <f t="shared" si="114"/>
        <v>-166243.07656808165</v>
      </c>
      <c r="BS90" s="107">
        <f t="shared" si="114"/>
        <v>-174555.23039648574</v>
      </c>
      <c r="BT90" s="107">
        <f t="shared" si="114"/>
        <v>-183282.99191631004</v>
      </c>
      <c r="BU90" s="107">
        <f t="shared" si="114"/>
        <v>-192447.14151212556</v>
      </c>
      <c r="BV90" s="107">
        <f t="shared" si="114"/>
        <v>-202069.49858773182</v>
      </c>
    </row>
    <row r="91" spans="2:74" s="125" customFormat="1" ht="15.75" customHeight="1" thickBot="1" x14ac:dyDescent="0.25">
      <c r="B91" s="154" t="s">
        <v>59</v>
      </c>
      <c r="C91" s="101">
        <f t="shared" ref="C91:AH91" si="115">+C30+C50+C70+C80</f>
        <v>52675</v>
      </c>
      <c r="D91" s="101">
        <f t="shared" si="115"/>
        <v>55508.75</v>
      </c>
      <c r="E91" s="102">
        <f t="shared" si="115"/>
        <v>58504.1875</v>
      </c>
      <c r="F91" s="102">
        <f t="shared" si="115"/>
        <v>61671.396874999999</v>
      </c>
      <c r="G91" s="102">
        <f t="shared" si="115"/>
        <v>65021.166718749992</v>
      </c>
      <c r="H91" s="102">
        <f t="shared" si="115"/>
        <v>68565.045054687493</v>
      </c>
      <c r="I91" s="102">
        <f t="shared" si="115"/>
        <v>72315.399307421889</v>
      </c>
      <c r="J91" s="102">
        <f t="shared" si="115"/>
        <v>76285.481472792977</v>
      </c>
      <c r="K91" s="102">
        <f t="shared" si="115"/>
        <v>80489.498966432628</v>
      </c>
      <c r="L91" s="102">
        <f t="shared" si="115"/>
        <v>84942.691676754272</v>
      </c>
      <c r="M91" s="102">
        <f t="shared" si="115"/>
        <v>86548.924846671987</v>
      </c>
      <c r="N91" s="102">
        <f t="shared" si="115"/>
        <v>94663.235080751576</v>
      </c>
      <c r="O91" s="102">
        <f t="shared" si="115"/>
        <v>99967.020176011167</v>
      </c>
      <c r="P91" s="102">
        <f t="shared" si="115"/>
        <v>105593.05686015595</v>
      </c>
      <c r="Q91" s="102">
        <f t="shared" si="115"/>
        <v>111563.16394604238</v>
      </c>
      <c r="R91" s="102">
        <f t="shared" si="115"/>
        <v>117900.82181051097</v>
      </c>
      <c r="S91" s="102">
        <f t="shared" si="115"/>
        <v>124631.31253491965</v>
      </c>
      <c r="T91" s="102">
        <f t="shared" si="115"/>
        <v>131781.8727589371</v>
      </c>
      <c r="U91" s="102">
        <f t="shared" si="115"/>
        <v>139381.86045388255</v>
      </c>
      <c r="V91" s="102">
        <f t="shared" si="115"/>
        <v>147462.9369392751</v>
      </c>
      <c r="W91" s="102">
        <f t="shared" si="115"/>
        <v>156059.26559520719</v>
      </c>
      <c r="X91" s="102">
        <f t="shared" si="115"/>
        <v>165207.72886483264</v>
      </c>
      <c r="Y91" s="102">
        <f t="shared" si="115"/>
        <v>165179.83537050511</v>
      </c>
      <c r="Z91" s="102">
        <f t="shared" si="115"/>
        <v>185323.62854950901</v>
      </c>
      <c r="AA91" s="102">
        <f t="shared" si="115"/>
        <v>196380.67046349496</v>
      </c>
      <c r="AB91" s="102">
        <f t="shared" si="115"/>
        <v>208169.65052183121</v>
      </c>
      <c r="AC91" s="102">
        <f t="shared" si="115"/>
        <v>220745.07423660049</v>
      </c>
      <c r="AD91" s="102">
        <f t="shared" si="115"/>
        <v>234165.96325597595</v>
      </c>
      <c r="AE91" s="102">
        <f t="shared" si="115"/>
        <v>248496.26025707478</v>
      </c>
      <c r="AF91" s="102">
        <f t="shared" si="115"/>
        <v>263805.27199205843</v>
      </c>
      <c r="AG91" s="102">
        <f t="shared" si="115"/>
        <v>280168.15418600437</v>
      </c>
      <c r="AH91" s="102">
        <f t="shared" si="115"/>
        <v>297666.44234908198</v>
      </c>
      <c r="AI91" s="102">
        <f t="shared" ref="AI91:BN91" si="116">+AI30+AI50+AI70+AI80</f>
        <v>316388.63296569104</v>
      </c>
      <c r="AJ91" s="102">
        <f t="shared" si="116"/>
        <v>336430.81996304617</v>
      </c>
      <c r="AK91" s="102">
        <f t="shared" si="116"/>
        <v>357897.39184517605</v>
      </c>
      <c r="AL91" s="102">
        <f t="shared" si="116"/>
        <v>380901.79540981026</v>
      </c>
      <c r="AM91" s="102">
        <f t="shared" si="116"/>
        <v>405567.37254991359</v>
      </c>
      <c r="AN91" s="102">
        <f t="shared" si="116"/>
        <v>432028.27728398348</v>
      </c>
      <c r="AO91" s="102">
        <f t="shared" si="116"/>
        <v>460430.48086541425</v>
      </c>
      <c r="AP91" s="102">
        <f t="shared" si="116"/>
        <v>490932.87359763979</v>
      </c>
      <c r="AQ91" s="102">
        <f t="shared" si="116"/>
        <v>523708.47283537203</v>
      </c>
      <c r="AR91" s="102">
        <f t="shared" si="116"/>
        <v>558945.74759077583</v>
      </c>
      <c r="AS91" s="102">
        <f t="shared" si="116"/>
        <v>596850.07119531347</v>
      </c>
      <c r="AT91" s="102">
        <f t="shared" si="116"/>
        <v>637645.31460257771</v>
      </c>
      <c r="AU91" s="102">
        <f t="shared" si="116"/>
        <v>681575.59416495531</v>
      </c>
      <c r="AV91" s="102">
        <f t="shared" si="116"/>
        <v>728907.18908867624</v>
      </c>
      <c r="AW91" s="102">
        <f t="shared" si="116"/>
        <v>779930.64528013079</v>
      </c>
      <c r="AX91" s="102">
        <f t="shared" si="116"/>
        <v>834963.08395486011</v>
      </c>
      <c r="AY91" s="102">
        <f t="shared" si="116"/>
        <v>894350.73520439817</v>
      </c>
      <c r="AZ91" s="102">
        <f t="shared" si="116"/>
        <v>958471.71872159257</v>
      </c>
      <c r="BA91" s="102">
        <f t="shared" si="116"/>
        <v>1027739.0960903441</v>
      </c>
      <c r="BB91" s="102">
        <f t="shared" si="116"/>
        <v>1102604.2214708007</v>
      </c>
      <c r="BC91" s="102">
        <f t="shared" si="116"/>
        <v>1183560.4201778739</v>
      </c>
      <c r="BD91" s="102">
        <f t="shared" si="116"/>
        <v>1271147.027583654</v>
      </c>
      <c r="BE91" s="102">
        <f t="shared" si="116"/>
        <v>1365953.8239994119</v>
      </c>
      <c r="BF91" s="102">
        <f t="shared" si="116"/>
        <v>1468625.904739615</v>
      </c>
      <c r="BG91" s="102">
        <f t="shared" si="116"/>
        <v>1579869.0284708515</v>
      </c>
      <c r="BH91" s="102">
        <f t="shared" si="116"/>
        <v>1700455.4912380753</v>
      </c>
      <c r="BI91" s="102">
        <f t="shared" si="116"/>
        <v>1831230.5782780289</v>
      </c>
      <c r="BJ91" s="102">
        <f t="shared" si="116"/>
        <v>1973119.6509177848</v>
      </c>
      <c r="BK91" s="102">
        <f t="shared" si="116"/>
        <v>2127135.931562114</v>
      </c>
      <c r="BL91" s="102">
        <f t="shared" si="116"/>
        <v>2294389.0560485041</v>
      </c>
      <c r="BM91" s="102">
        <f t="shared" si="116"/>
        <v>2476094.4695500415</v>
      </c>
      <c r="BN91" s="102">
        <f t="shared" si="116"/>
        <v>2673583.749796567</v>
      </c>
      <c r="BO91" s="102">
        <f t="shared" ref="BO91:BV91" si="117">+BO30+BO50+BO70+BO80</f>
        <v>2888315.9497323218</v>
      </c>
      <c r="BP91" s="102">
        <f t="shared" si="117"/>
        <v>3121890.060909457</v>
      </c>
      <c r="BQ91" s="102">
        <f t="shared" si="117"/>
        <v>3376058.7090144991</v>
      </c>
      <c r="BR91" s="102">
        <f t="shared" si="117"/>
        <v>3652743.2040307517</v>
      </c>
      <c r="BS91" s="102">
        <f t="shared" si="117"/>
        <v>3954050.0797543693</v>
      </c>
      <c r="BT91" s="102">
        <f t="shared" si="117"/>
        <v>4282289.2708163764</v>
      </c>
      <c r="BU91" s="102">
        <f t="shared" si="117"/>
        <v>4639994.0901389122</v>
      </c>
      <c r="BV91" s="102">
        <f t="shared" si="117"/>
        <v>5029943.1860057469</v>
      </c>
    </row>
    <row r="92" spans="2:74" s="125" customFormat="1" ht="15.75" hidden="1" customHeight="1" outlineLevel="1" thickTop="1" x14ac:dyDescent="0.2">
      <c r="B92" s="155" t="s">
        <v>50</v>
      </c>
      <c r="C92" s="75">
        <f t="shared" ref="C92:AH92" si="118">+C31+C51+C71+C81</f>
        <v>4000</v>
      </c>
      <c r="D92" s="76">
        <f t="shared" si="118"/>
        <v>4400</v>
      </c>
      <c r="E92" s="77">
        <f t="shared" si="118"/>
        <v>4840</v>
      </c>
      <c r="F92" s="77">
        <f t="shared" si="118"/>
        <v>5324</v>
      </c>
      <c r="G92" s="77">
        <f t="shared" si="118"/>
        <v>5856.4000000000005</v>
      </c>
      <c r="H92" s="77">
        <f t="shared" si="118"/>
        <v>6442.0400000000009</v>
      </c>
      <c r="I92" s="77">
        <f t="shared" si="118"/>
        <v>7086.2440000000015</v>
      </c>
      <c r="J92" s="77">
        <f t="shared" si="118"/>
        <v>7794.8684000000021</v>
      </c>
      <c r="K92" s="77">
        <f t="shared" si="118"/>
        <v>8574.3552400000026</v>
      </c>
      <c r="L92" s="77">
        <f t="shared" si="118"/>
        <v>9431.790764000003</v>
      </c>
      <c r="M92" s="77">
        <f t="shared" si="118"/>
        <v>7262.478888280004</v>
      </c>
      <c r="N92" s="77">
        <f t="shared" si="118"/>
        <v>11412.466824440005</v>
      </c>
      <c r="O92" s="77">
        <f t="shared" si="118"/>
        <v>12553.713506884007</v>
      </c>
      <c r="P92" s="77">
        <f t="shared" si="118"/>
        <v>13809.084857572409</v>
      </c>
      <c r="Q92" s="77">
        <f t="shared" si="118"/>
        <v>15189.99334332965</v>
      </c>
      <c r="R92" s="77">
        <f t="shared" si="118"/>
        <v>16708.992677662616</v>
      </c>
      <c r="S92" s="77">
        <f t="shared" si="118"/>
        <v>18379.891945428881</v>
      </c>
      <c r="T92" s="77">
        <f t="shared" si="118"/>
        <v>20217.881139971771</v>
      </c>
      <c r="U92" s="77">
        <f t="shared" si="118"/>
        <v>22239.66925396895</v>
      </c>
      <c r="V92" s="77">
        <f t="shared" si="118"/>
        <v>24463.636179365847</v>
      </c>
      <c r="W92" s="77">
        <f t="shared" si="118"/>
        <v>26909.999797302433</v>
      </c>
      <c r="X92" s="77">
        <f t="shared" si="118"/>
        <v>29600.999777032677</v>
      </c>
      <c r="Y92" s="77">
        <f t="shared" si="118"/>
        <v>22792.769828315162</v>
      </c>
      <c r="Z92" s="77">
        <f t="shared" si="118"/>
        <v>35817.209730209543</v>
      </c>
      <c r="AA92" s="77">
        <f t="shared" si="118"/>
        <v>39398.930703230501</v>
      </c>
      <c r="AB92" s="77">
        <f t="shared" si="118"/>
        <v>43338.823773553551</v>
      </c>
      <c r="AC92" s="77">
        <f t="shared" si="118"/>
        <v>47672.706150908911</v>
      </c>
      <c r="AD92" s="77">
        <f t="shared" si="118"/>
        <v>52439.976765999803</v>
      </c>
      <c r="AE92" s="77">
        <f t="shared" si="118"/>
        <v>57683.974442599785</v>
      </c>
      <c r="AF92" s="77">
        <f t="shared" si="118"/>
        <v>63452.371886859772</v>
      </c>
      <c r="AG92" s="77">
        <f t="shared" si="118"/>
        <v>69797.609075545755</v>
      </c>
      <c r="AH92" s="77">
        <f t="shared" si="118"/>
        <v>76777.369983100332</v>
      </c>
      <c r="AI92" s="77">
        <f t="shared" ref="AI92:BN92" si="119">+AI31+AI51+AI71+AI81</f>
        <v>84455.106981410368</v>
      </c>
      <c r="AJ92" s="77">
        <f t="shared" si="119"/>
        <v>92900.617679551418</v>
      </c>
      <c r="AK92" s="77">
        <f t="shared" si="119"/>
        <v>102190.67944750657</v>
      </c>
      <c r="AL92" s="77">
        <f t="shared" si="119"/>
        <v>112409.74739225724</v>
      </c>
      <c r="AM92" s="77">
        <f t="shared" si="119"/>
        <v>123650.72213148297</v>
      </c>
      <c r="AN92" s="77">
        <f t="shared" si="119"/>
        <v>136015.79434463129</v>
      </c>
      <c r="AO92" s="77">
        <f t="shared" si="119"/>
        <v>149617.37377909443</v>
      </c>
      <c r="AP92" s="77">
        <f t="shared" si="119"/>
        <v>164579.11115700388</v>
      </c>
      <c r="AQ92" s="77">
        <f t="shared" si="119"/>
        <v>181037.02227270429</v>
      </c>
      <c r="AR92" s="77">
        <f t="shared" si="119"/>
        <v>199140.72449997472</v>
      </c>
      <c r="AS92" s="77">
        <f t="shared" si="119"/>
        <v>219054.79694997222</v>
      </c>
      <c r="AT92" s="77">
        <f t="shared" si="119"/>
        <v>240960.27664496948</v>
      </c>
      <c r="AU92" s="77">
        <f t="shared" si="119"/>
        <v>265056.30430946645</v>
      </c>
      <c r="AV92" s="77">
        <f t="shared" si="119"/>
        <v>291561.9347404131</v>
      </c>
      <c r="AW92" s="77">
        <f t="shared" si="119"/>
        <v>320718.12821445445</v>
      </c>
      <c r="AX92" s="77">
        <f t="shared" si="119"/>
        <v>352789.94103589992</v>
      </c>
      <c r="AY92" s="77">
        <f t="shared" si="119"/>
        <v>388068.93513948994</v>
      </c>
      <c r="AZ92" s="77">
        <f t="shared" si="119"/>
        <v>426875.82865343895</v>
      </c>
      <c r="BA92" s="77">
        <f t="shared" si="119"/>
        <v>469563.4115187829</v>
      </c>
      <c r="BB92" s="77">
        <f t="shared" si="119"/>
        <v>516519.75267066126</v>
      </c>
      <c r="BC92" s="77">
        <f t="shared" si="119"/>
        <v>568171.72793772747</v>
      </c>
      <c r="BD92" s="77">
        <f t="shared" si="119"/>
        <v>624988.90073150024</v>
      </c>
      <c r="BE92" s="77">
        <f t="shared" si="119"/>
        <v>687487.79080465029</v>
      </c>
      <c r="BF92" s="77">
        <f t="shared" si="119"/>
        <v>756236.56988511537</v>
      </c>
      <c r="BG92" s="77">
        <f t="shared" si="119"/>
        <v>831860.22687362693</v>
      </c>
      <c r="BH92" s="77">
        <f t="shared" si="119"/>
        <v>915046.24956098967</v>
      </c>
      <c r="BI92" s="77">
        <f t="shared" si="119"/>
        <v>1006550.8745170888</v>
      </c>
      <c r="BJ92" s="77">
        <f t="shared" si="119"/>
        <v>1107205.9619687977</v>
      </c>
      <c r="BK92" s="77">
        <f t="shared" si="119"/>
        <v>1217926.5581656776</v>
      </c>
      <c r="BL92" s="77">
        <f t="shared" si="119"/>
        <v>1339719.2139822454</v>
      </c>
      <c r="BM92" s="77">
        <f t="shared" si="119"/>
        <v>1473691.1353804702</v>
      </c>
      <c r="BN92" s="77">
        <f t="shared" si="119"/>
        <v>1621060.2489185173</v>
      </c>
      <c r="BO92" s="77">
        <f t="shared" ref="BO92:BV92" si="120">+BO31+BO51+BO71+BO81</f>
        <v>1783166.2738103692</v>
      </c>
      <c r="BP92" s="77">
        <f t="shared" si="120"/>
        <v>1961482.9011914062</v>
      </c>
      <c r="BQ92" s="77">
        <f t="shared" si="120"/>
        <v>2157631.1913105468</v>
      </c>
      <c r="BR92" s="77">
        <f t="shared" si="120"/>
        <v>2373394.3104416016</v>
      </c>
      <c r="BS92" s="77">
        <f t="shared" si="120"/>
        <v>2610733.7414857619</v>
      </c>
      <c r="BT92" s="77">
        <f t="shared" si="120"/>
        <v>2871807.1156343385</v>
      </c>
      <c r="BU92" s="77">
        <f t="shared" si="120"/>
        <v>3158987.8271977725</v>
      </c>
      <c r="BV92" s="77">
        <f t="shared" si="120"/>
        <v>3474886.6099175499</v>
      </c>
    </row>
    <row r="93" spans="2:74" s="125" customFormat="1" ht="15.75" hidden="1" customHeight="1" outlineLevel="1" x14ac:dyDescent="0.2">
      <c r="B93" s="155" t="s">
        <v>51</v>
      </c>
      <c r="C93" s="57">
        <f t="shared" ref="C93:AH93" si="121">+C32+C52+C72+C82</f>
        <v>0</v>
      </c>
      <c r="D93" s="58">
        <f t="shared" si="121"/>
        <v>0</v>
      </c>
      <c r="E93" s="59">
        <f t="shared" si="121"/>
        <v>0</v>
      </c>
      <c r="F93" s="59">
        <f t="shared" si="121"/>
        <v>0</v>
      </c>
      <c r="G93" s="59">
        <f t="shared" si="121"/>
        <v>0</v>
      </c>
      <c r="H93" s="59">
        <f t="shared" si="121"/>
        <v>0</v>
      </c>
      <c r="I93" s="59">
        <f t="shared" si="121"/>
        <v>0</v>
      </c>
      <c r="J93" s="59">
        <f t="shared" si="121"/>
        <v>0</v>
      </c>
      <c r="K93" s="59">
        <f t="shared" si="121"/>
        <v>0</v>
      </c>
      <c r="L93" s="59">
        <f t="shared" si="121"/>
        <v>0</v>
      </c>
      <c r="M93" s="59">
        <f t="shared" si="121"/>
        <v>0</v>
      </c>
      <c r="N93" s="59">
        <f t="shared" si="121"/>
        <v>0</v>
      </c>
      <c r="O93" s="59">
        <f t="shared" si="121"/>
        <v>0</v>
      </c>
      <c r="P93" s="59">
        <f t="shared" si="121"/>
        <v>0</v>
      </c>
      <c r="Q93" s="59">
        <f t="shared" si="121"/>
        <v>0</v>
      </c>
      <c r="R93" s="59">
        <f t="shared" si="121"/>
        <v>0</v>
      </c>
      <c r="S93" s="59">
        <f t="shared" si="121"/>
        <v>0</v>
      </c>
      <c r="T93" s="59">
        <f t="shared" si="121"/>
        <v>0</v>
      </c>
      <c r="U93" s="59">
        <f t="shared" si="121"/>
        <v>0</v>
      </c>
      <c r="V93" s="59">
        <f t="shared" si="121"/>
        <v>0</v>
      </c>
      <c r="W93" s="59">
        <f t="shared" si="121"/>
        <v>0</v>
      </c>
      <c r="X93" s="59">
        <f t="shared" si="121"/>
        <v>0</v>
      </c>
      <c r="Y93" s="59">
        <f t="shared" si="121"/>
        <v>0</v>
      </c>
      <c r="Z93" s="59">
        <f t="shared" si="121"/>
        <v>0</v>
      </c>
      <c r="AA93" s="59">
        <f t="shared" si="121"/>
        <v>0</v>
      </c>
      <c r="AB93" s="59">
        <f t="shared" si="121"/>
        <v>0</v>
      </c>
      <c r="AC93" s="59">
        <f t="shared" si="121"/>
        <v>0</v>
      </c>
      <c r="AD93" s="59">
        <f t="shared" si="121"/>
        <v>0</v>
      </c>
      <c r="AE93" s="59">
        <f t="shared" si="121"/>
        <v>0</v>
      </c>
      <c r="AF93" s="59">
        <f t="shared" si="121"/>
        <v>0</v>
      </c>
      <c r="AG93" s="59">
        <f t="shared" si="121"/>
        <v>0</v>
      </c>
      <c r="AH93" s="59">
        <f t="shared" si="121"/>
        <v>0</v>
      </c>
      <c r="AI93" s="59">
        <f t="shared" ref="AI93:BN93" si="122">+AI32+AI52+AI72+AI82</f>
        <v>0</v>
      </c>
      <c r="AJ93" s="59">
        <f t="shared" si="122"/>
        <v>0</v>
      </c>
      <c r="AK93" s="59">
        <f t="shared" si="122"/>
        <v>0</v>
      </c>
      <c r="AL93" s="59">
        <f t="shared" si="122"/>
        <v>0</v>
      </c>
      <c r="AM93" s="59">
        <f t="shared" si="122"/>
        <v>0</v>
      </c>
      <c r="AN93" s="59">
        <f t="shared" si="122"/>
        <v>0</v>
      </c>
      <c r="AO93" s="59">
        <f t="shared" si="122"/>
        <v>0</v>
      </c>
      <c r="AP93" s="59">
        <f t="shared" si="122"/>
        <v>0</v>
      </c>
      <c r="AQ93" s="59">
        <f t="shared" si="122"/>
        <v>0</v>
      </c>
      <c r="AR93" s="59">
        <f t="shared" si="122"/>
        <v>0</v>
      </c>
      <c r="AS93" s="59">
        <f t="shared" si="122"/>
        <v>0</v>
      </c>
      <c r="AT93" s="59">
        <f t="shared" si="122"/>
        <v>0</v>
      </c>
      <c r="AU93" s="59">
        <f t="shared" si="122"/>
        <v>0</v>
      </c>
      <c r="AV93" s="59">
        <f t="shared" si="122"/>
        <v>0</v>
      </c>
      <c r="AW93" s="59">
        <f t="shared" si="122"/>
        <v>0</v>
      </c>
      <c r="AX93" s="59">
        <f t="shared" si="122"/>
        <v>0</v>
      </c>
      <c r="AY93" s="59">
        <f t="shared" si="122"/>
        <v>0</v>
      </c>
      <c r="AZ93" s="59">
        <f t="shared" si="122"/>
        <v>0</v>
      </c>
      <c r="BA93" s="59">
        <f t="shared" si="122"/>
        <v>0</v>
      </c>
      <c r="BB93" s="59">
        <f t="shared" si="122"/>
        <v>0</v>
      </c>
      <c r="BC93" s="59">
        <f t="shared" si="122"/>
        <v>0</v>
      </c>
      <c r="BD93" s="59">
        <f t="shared" si="122"/>
        <v>0</v>
      </c>
      <c r="BE93" s="59">
        <f t="shared" si="122"/>
        <v>0</v>
      </c>
      <c r="BF93" s="59">
        <f t="shared" si="122"/>
        <v>0</v>
      </c>
      <c r="BG93" s="59">
        <f t="shared" si="122"/>
        <v>0</v>
      </c>
      <c r="BH93" s="59">
        <f t="shared" si="122"/>
        <v>0</v>
      </c>
      <c r="BI93" s="59">
        <f t="shared" si="122"/>
        <v>0</v>
      </c>
      <c r="BJ93" s="59">
        <f t="shared" si="122"/>
        <v>0</v>
      </c>
      <c r="BK93" s="59">
        <f t="shared" si="122"/>
        <v>0</v>
      </c>
      <c r="BL93" s="59">
        <f t="shared" si="122"/>
        <v>0</v>
      </c>
      <c r="BM93" s="59">
        <f t="shared" si="122"/>
        <v>0</v>
      </c>
      <c r="BN93" s="59">
        <f t="shared" si="122"/>
        <v>0</v>
      </c>
      <c r="BO93" s="59">
        <f t="shared" ref="BO93:BV93" si="123">+BO32+BO52+BO72+BO82</f>
        <v>0</v>
      </c>
      <c r="BP93" s="59">
        <f t="shared" si="123"/>
        <v>0</v>
      </c>
      <c r="BQ93" s="59">
        <f t="shared" si="123"/>
        <v>0</v>
      </c>
      <c r="BR93" s="59">
        <f t="shared" si="123"/>
        <v>0</v>
      </c>
      <c r="BS93" s="59">
        <f t="shared" si="123"/>
        <v>0</v>
      </c>
      <c r="BT93" s="59">
        <f t="shared" si="123"/>
        <v>0</v>
      </c>
      <c r="BU93" s="59">
        <f t="shared" si="123"/>
        <v>0</v>
      </c>
      <c r="BV93" s="59">
        <f t="shared" si="123"/>
        <v>0</v>
      </c>
    </row>
    <row r="94" spans="2:74" s="125" customFormat="1" ht="15.75" hidden="1" customHeight="1" outlineLevel="1" x14ac:dyDescent="0.2">
      <c r="B94" s="155" t="s">
        <v>52</v>
      </c>
      <c r="C94" s="57">
        <f t="shared" ref="C94:AH94" si="124">+C33+C53+C73+C83</f>
        <v>0</v>
      </c>
      <c r="D94" s="58">
        <f t="shared" si="124"/>
        <v>0</v>
      </c>
      <c r="E94" s="59">
        <f t="shared" si="124"/>
        <v>0</v>
      </c>
      <c r="F94" s="59">
        <f t="shared" si="124"/>
        <v>0</v>
      </c>
      <c r="G94" s="59">
        <f t="shared" si="124"/>
        <v>0</v>
      </c>
      <c r="H94" s="59">
        <f t="shared" si="124"/>
        <v>0</v>
      </c>
      <c r="I94" s="59">
        <f t="shared" si="124"/>
        <v>0</v>
      </c>
      <c r="J94" s="59">
        <f t="shared" si="124"/>
        <v>0</v>
      </c>
      <c r="K94" s="59">
        <f t="shared" si="124"/>
        <v>0</v>
      </c>
      <c r="L94" s="59">
        <f t="shared" si="124"/>
        <v>0</v>
      </c>
      <c r="M94" s="59">
        <f t="shared" si="124"/>
        <v>0</v>
      </c>
      <c r="N94" s="59">
        <f t="shared" si="124"/>
        <v>0</v>
      </c>
      <c r="O94" s="59">
        <f t="shared" si="124"/>
        <v>0</v>
      </c>
      <c r="P94" s="59">
        <f t="shared" si="124"/>
        <v>0</v>
      </c>
      <c r="Q94" s="59">
        <f t="shared" si="124"/>
        <v>0</v>
      </c>
      <c r="R94" s="59">
        <f t="shared" si="124"/>
        <v>0</v>
      </c>
      <c r="S94" s="59">
        <f t="shared" si="124"/>
        <v>0</v>
      </c>
      <c r="T94" s="59">
        <f t="shared" si="124"/>
        <v>0</v>
      </c>
      <c r="U94" s="59">
        <f t="shared" si="124"/>
        <v>0</v>
      </c>
      <c r="V94" s="59">
        <f t="shared" si="124"/>
        <v>0</v>
      </c>
      <c r="W94" s="59">
        <f t="shared" si="124"/>
        <v>0</v>
      </c>
      <c r="X94" s="59">
        <f t="shared" si="124"/>
        <v>0</v>
      </c>
      <c r="Y94" s="59">
        <f t="shared" si="124"/>
        <v>0</v>
      </c>
      <c r="Z94" s="59">
        <f t="shared" si="124"/>
        <v>0</v>
      </c>
      <c r="AA94" s="59">
        <f t="shared" si="124"/>
        <v>0</v>
      </c>
      <c r="AB94" s="59">
        <f t="shared" si="124"/>
        <v>0</v>
      </c>
      <c r="AC94" s="59">
        <f t="shared" si="124"/>
        <v>0</v>
      </c>
      <c r="AD94" s="59">
        <f t="shared" si="124"/>
        <v>0</v>
      </c>
      <c r="AE94" s="59">
        <f t="shared" si="124"/>
        <v>0</v>
      </c>
      <c r="AF94" s="59">
        <f t="shared" si="124"/>
        <v>0</v>
      </c>
      <c r="AG94" s="59">
        <f t="shared" si="124"/>
        <v>0</v>
      </c>
      <c r="AH94" s="59">
        <f t="shared" si="124"/>
        <v>0</v>
      </c>
      <c r="AI94" s="59">
        <f t="shared" ref="AI94:BN94" si="125">+AI33+AI53+AI73+AI83</f>
        <v>0</v>
      </c>
      <c r="AJ94" s="59">
        <f t="shared" si="125"/>
        <v>0</v>
      </c>
      <c r="AK94" s="59">
        <f t="shared" si="125"/>
        <v>0</v>
      </c>
      <c r="AL94" s="59">
        <f t="shared" si="125"/>
        <v>0</v>
      </c>
      <c r="AM94" s="59">
        <f t="shared" si="125"/>
        <v>0</v>
      </c>
      <c r="AN94" s="59">
        <f t="shared" si="125"/>
        <v>0</v>
      </c>
      <c r="AO94" s="59">
        <f t="shared" si="125"/>
        <v>0</v>
      </c>
      <c r="AP94" s="59">
        <f t="shared" si="125"/>
        <v>0</v>
      </c>
      <c r="AQ94" s="59">
        <f t="shared" si="125"/>
        <v>0</v>
      </c>
      <c r="AR94" s="59">
        <f t="shared" si="125"/>
        <v>0</v>
      </c>
      <c r="AS94" s="59">
        <f t="shared" si="125"/>
        <v>0</v>
      </c>
      <c r="AT94" s="59">
        <f t="shared" si="125"/>
        <v>0</v>
      </c>
      <c r="AU94" s="59">
        <f t="shared" si="125"/>
        <v>0</v>
      </c>
      <c r="AV94" s="59">
        <f t="shared" si="125"/>
        <v>0</v>
      </c>
      <c r="AW94" s="59">
        <f t="shared" si="125"/>
        <v>0</v>
      </c>
      <c r="AX94" s="59">
        <f t="shared" si="125"/>
        <v>0</v>
      </c>
      <c r="AY94" s="59">
        <f t="shared" si="125"/>
        <v>0</v>
      </c>
      <c r="AZ94" s="59">
        <f t="shared" si="125"/>
        <v>0</v>
      </c>
      <c r="BA94" s="59">
        <f t="shared" si="125"/>
        <v>0</v>
      </c>
      <c r="BB94" s="59">
        <f t="shared" si="125"/>
        <v>0</v>
      </c>
      <c r="BC94" s="59">
        <f t="shared" si="125"/>
        <v>0</v>
      </c>
      <c r="BD94" s="59">
        <f t="shared" si="125"/>
        <v>0</v>
      </c>
      <c r="BE94" s="59">
        <f t="shared" si="125"/>
        <v>0</v>
      </c>
      <c r="BF94" s="59">
        <f t="shared" si="125"/>
        <v>0</v>
      </c>
      <c r="BG94" s="59">
        <f t="shared" si="125"/>
        <v>0</v>
      </c>
      <c r="BH94" s="59">
        <f t="shared" si="125"/>
        <v>0</v>
      </c>
      <c r="BI94" s="59">
        <f t="shared" si="125"/>
        <v>0</v>
      </c>
      <c r="BJ94" s="59">
        <f t="shared" si="125"/>
        <v>0</v>
      </c>
      <c r="BK94" s="59">
        <f t="shared" si="125"/>
        <v>0</v>
      </c>
      <c r="BL94" s="59">
        <f t="shared" si="125"/>
        <v>0</v>
      </c>
      <c r="BM94" s="59">
        <f t="shared" si="125"/>
        <v>0</v>
      </c>
      <c r="BN94" s="59">
        <f t="shared" si="125"/>
        <v>0</v>
      </c>
      <c r="BO94" s="59">
        <f t="shared" ref="BO94:BV94" si="126">+BO33+BO53+BO73+BO83</f>
        <v>0</v>
      </c>
      <c r="BP94" s="59">
        <f t="shared" si="126"/>
        <v>0</v>
      </c>
      <c r="BQ94" s="59">
        <f t="shared" si="126"/>
        <v>0</v>
      </c>
      <c r="BR94" s="59">
        <f t="shared" si="126"/>
        <v>0</v>
      </c>
      <c r="BS94" s="59">
        <f t="shared" si="126"/>
        <v>0</v>
      </c>
      <c r="BT94" s="59">
        <f t="shared" si="126"/>
        <v>0</v>
      </c>
      <c r="BU94" s="59">
        <f t="shared" si="126"/>
        <v>0</v>
      </c>
      <c r="BV94" s="59">
        <f t="shared" si="126"/>
        <v>0</v>
      </c>
    </row>
    <row r="95" spans="2:74" s="125" customFormat="1" ht="15.75" hidden="1" customHeight="1" outlineLevel="1" x14ac:dyDescent="0.2">
      <c r="B95" s="155" t="s">
        <v>53</v>
      </c>
      <c r="C95" s="57">
        <f t="shared" ref="C95:AH95" si="127">+C34+C54+C74+C84</f>
        <v>0</v>
      </c>
      <c r="D95" s="58">
        <f t="shared" si="127"/>
        <v>0</v>
      </c>
      <c r="E95" s="59">
        <f t="shared" si="127"/>
        <v>0</v>
      </c>
      <c r="F95" s="59">
        <f t="shared" si="127"/>
        <v>0</v>
      </c>
      <c r="G95" s="59">
        <f t="shared" si="127"/>
        <v>0</v>
      </c>
      <c r="H95" s="59">
        <f t="shared" si="127"/>
        <v>0</v>
      </c>
      <c r="I95" s="59">
        <f t="shared" si="127"/>
        <v>0</v>
      </c>
      <c r="J95" s="59">
        <f t="shared" si="127"/>
        <v>0</v>
      </c>
      <c r="K95" s="59">
        <f t="shared" si="127"/>
        <v>0</v>
      </c>
      <c r="L95" s="59">
        <f t="shared" si="127"/>
        <v>0</v>
      </c>
      <c r="M95" s="59">
        <f t="shared" si="127"/>
        <v>0</v>
      </c>
      <c r="N95" s="59">
        <f t="shared" si="127"/>
        <v>0</v>
      </c>
      <c r="O95" s="59">
        <f t="shared" si="127"/>
        <v>0</v>
      </c>
      <c r="P95" s="59">
        <f t="shared" si="127"/>
        <v>0</v>
      </c>
      <c r="Q95" s="59">
        <f t="shared" si="127"/>
        <v>0</v>
      </c>
      <c r="R95" s="59">
        <f t="shared" si="127"/>
        <v>0</v>
      </c>
      <c r="S95" s="59">
        <f t="shared" si="127"/>
        <v>0</v>
      </c>
      <c r="T95" s="59">
        <f t="shared" si="127"/>
        <v>0</v>
      </c>
      <c r="U95" s="59">
        <f t="shared" si="127"/>
        <v>0</v>
      </c>
      <c r="V95" s="59">
        <f t="shared" si="127"/>
        <v>0</v>
      </c>
      <c r="W95" s="59">
        <f t="shared" si="127"/>
        <v>0</v>
      </c>
      <c r="X95" s="59">
        <f t="shared" si="127"/>
        <v>0</v>
      </c>
      <c r="Y95" s="59">
        <f t="shared" si="127"/>
        <v>0</v>
      </c>
      <c r="Z95" s="59">
        <f t="shared" si="127"/>
        <v>0</v>
      </c>
      <c r="AA95" s="59">
        <f t="shared" si="127"/>
        <v>0</v>
      </c>
      <c r="AB95" s="59">
        <f t="shared" si="127"/>
        <v>0</v>
      </c>
      <c r="AC95" s="59">
        <f t="shared" si="127"/>
        <v>0</v>
      </c>
      <c r="AD95" s="59">
        <f t="shared" si="127"/>
        <v>0</v>
      </c>
      <c r="AE95" s="59">
        <f t="shared" si="127"/>
        <v>0</v>
      </c>
      <c r="AF95" s="59">
        <f t="shared" si="127"/>
        <v>0</v>
      </c>
      <c r="AG95" s="59">
        <f t="shared" si="127"/>
        <v>0</v>
      </c>
      <c r="AH95" s="59">
        <f t="shared" si="127"/>
        <v>0</v>
      </c>
      <c r="AI95" s="59">
        <f t="shared" ref="AI95:BN95" si="128">+AI34+AI54+AI74+AI84</f>
        <v>0</v>
      </c>
      <c r="AJ95" s="59">
        <f t="shared" si="128"/>
        <v>0</v>
      </c>
      <c r="AK95" s="59">
        <f t="shared" si="128"/>
        <v>0</v>
      </c>
      <c r="AL95" s="59">
        <f t="shared" si="128"/>
        <v>0</v>
      </c>
      <c r="AM95" s="59">
        <f t="shared" si="128"/>
        <v>0</v>
      </c>
      <c r="AN95" s="59">
        <f t="shared" si="128"/>
        <v>0</v>
      </c>
      <c r="AO95" s="59">
        <f t="shared" si="128"/>
        <v>0</v>
      </c>
      <c r="AP95" s="59">
        <f t="shared" si="128"/>
        <v>0</v>
      </c>
      <c r="AQ95" s="59">
        <f t="shared" si="128"/>
        <v>0</v>
      </c>
      <c r="AR95" s="59">
        <f t="shared" si="128"/>
        <v>0</v>
      </c>
      <c r="AS95" s="59">
        <f t="shared" si="128"/>
        <v>0</v>
      </c>
      <c r="AT95" s="59">
        <f t="shared" si="128"/>
        <v>0</v>
      </c>
      <c r="AU95" s="59">
        <f t="shared" si="128"/>
        <v>0</v>
      </c>
      <c r="AV95" s="59">
        <f t="shared" si="128"/>
        <v>0</v>
      </c>
      <c r="AW95" s="59">
        <f t="shared" si="128"/>
        <v>0</v>
      </c>
      <c r="AX95" s="59">
        <f t="shared" si="128"/>
        <v>0</v>
      </c>
      <c r="AY95" s="59">
        <f t="shared" si="128"/>
        <v>0</v>
      </c>
      <c r="AZ95" s="59">
        <f t="shared" si="128"/>
        <v>0</v>
      </c>
      <c r="BA95" s="59">
        <f t="shared" si="128"/>
        <v>0</v>
      </c>
      <c r="BB95" s="59">
        <f t="shared" si="128"/>
        <v>0</v>
      </c>
      <c r="BC95" s="59">
        <f t="shared" si="128"/>
        <v>0</v>
      </c>
      <c r="BD95" s="59">
        <f t="shared" si="128"/>
        <v>0</v>
      </c>
      <c r="BE95" s="59">
        <f t="shared" si="128"/>
        <v>0</v>
      </c>
      <c r="BF95" s="59">
        <f t="shared" si="128"/>
        <v>0</v>
      </c>
      <c r="BG95" s="59">
        <f t="shared" si="128"/>
        <v>0</v>
      </c>
      <c r="BH95" s="59">
        <f t="shared" si="128"/>
        <v>0</v>
      </c>
      <c r="BI95" s="59">
        <f t="shared" si="128"/>
        <v>0</v>
      </c>
      <c r="BJ95" s="59">
        <f t="shared" si="128"/>
        <v>0</v>
      </c>
      <c r="BK95" s="59">
        <f t="shared" si="128"/>
        <v>0</v>
      </c>
      <c r="BL95" s="59">
        <f t="shared" si="128"/>
        <v>0</v>
      </c>
      <c r="BM95" s="59">
        <f t="shared" si="128"/>
        <v>0</v>
      </c>
      <c r="BN95" s="59">
        <f t="shared" si="128"/>
        <v>0</v>
      </c>
      <c r="BO95" s="59">
        <f t="shared" ref="BO95:BV95" si="129">+BO34+BO54+BO74+BO84</f>
        <v>0</v>
      </c>
      <c r="BP95" s="59">
        <f t="shared" si="129"/>
        <v>0</v>
      </c>
      <c r="BQ95" s="59">
        <f t="shared" si="129"/>
        <v>0</v>
      </c>
      <c r="BR95" s="59">
        <f t="shared" si="129"/>
        <v>0</v>
      </c>
      <c r="BS95" s="59">
        <f t="shared" si="129"/>
        <v>0</v>
      </c>
      <c r="BT95" s="59">
        <f t="shared" si="129"/>
        <v>0</v>
      </c>
      <c r="BU95" s="59">
        <f t="shared" si="129"/>
        <v>0</v>
      </c>
      <c r="BV95" s="59">
        <f t="shared" si="129"/>
        <v>0</v>
      </c>
    </row>
    <row r="96" spans="2:74" s="125" customFormat="1" ht="15.75" hidden="1" customHeight="1" outlineLevel="1" x14ac:dyDescent="0.2">
      <c r="B96" s="155" t="s">
        <v>54</v>
      </c>
      <c r="C96" s="57">
        <f t="shared" ref="C96:AH96" si="130">+C35+C55+C75+C85</f>
        <v>48675</v>
      </c>
      <c r="D96" s="58">
        <f t="shared" si="130"/>
        <v>51108.75</v>
      </c>
      <c r="E96" s="59">
        <f t="shared" si="130"/>
        <v>53664.1875</v>
      </c>
      <c r="F96" s="59">
        <f t="shared" si="130"/>
        <v>56347.396874999999</v>
      </c>
      <c r="G96" s="59">
        <f t="shared" si="130"/>
        <v>59164.766718749997</v>
      </c>
      <c r="H96" s="59">
        <f t="shared" si="130"/>
        <v>62123.005054687506</v>
      </c>
      <c r="I96" s="59">
        <f t="shared" si="130"/>
        <v>65229.155307421875</v>
      </c>
      <c r="J96" s="59">
        <f t="shared" si="130"/>
        <v>68490.61307279297</v>
      </c>
      <c r="K96" s="59">
        <f t="shared" si="130"/>
        <v>71915.143726432623</v>
      </c>
      <c r="L96" s="59">
        <f t="shared" si="130"/>
        <v>75510.900912754267</v>
      </c>
      <c r="M96" s="59">
        <f t="shared" si="130"/>
        <v>79286.445958391982</v>
      </c>
      <c r="N96" s="59">
        <f t="shared" si="130"/>
        <v>83250.768256311567</v>
      </c>
      <c r="O96" s="59">
        <f t="shared" si="130"/>
        <v>87413.306669127167</v>
      </c>
      <c r="P96" s="59">
        <f t="shared" si="130"/>
        <v>91783.972002583527</v>
      </c>
      <c r="Q96" s="59">
        <f t="shared" si="130"/>
        <v>96373.170602712707</v>
      </c>
      <c r="R96" s="59">
        <f t="shared" si="130"/>
        <v>101191.82913284835</v>
      </c>
      <c r="S96" s="59">
        <f t="shared" si="130"/>
        <v>106251.42058949076</v>
      </c>
      <c r="T96" s="59">
        <f t="shared" si="130"/>
        <v>111563.9916189653</v>
      </c>
      <c r="U96" s="59">
        <f t="shared" si="130"/>
        <v>117142.19119991358</v>
      </c>
      <c r="V96" s="59">
        <f t="shared" si="130"/>
        <v>122999.30075990925</v>
      </c>
      <c r="W96" s="59">
        <f t="shared" si="130"/>
        <v>129149.26579790475</v>
      </c>
      <c r="X96" s="59">
        <f t="shared" si="130"/>
        <v>135606.72908779996</v>
      </c>
      <c r="Y96" s="59">
        <f t="shared" si="130"/>
        <v>142387.06554218996</v>
      </c>
      <c r="Z96" s="59">
        <f t="shared" si="130"/>
        <v>149506.41881929946</v>
      </c>
      <c r="AA96" s="59">
        <f t="shared" si="130"/>
        <v>156981.73976026446</v>
      </c>
      <c r="AB96" s="59">
        <f t="shared" si="130"/>
        <v>164830.82674827767</v>
      </c>
      <c r="AC96" s="59">
        <f t="shared" si="130"/>
        <v>173072.36808569156</v>
      </c>
      <c r="AD96" s="59">
        <f t="shared" si="130"/>
        <v>181725.98648997615</v>
      </c>
      <c r="AE96" s="59">
        <f t="shared" si="130"/>
        <v>190812.28581447498</v>
      </c>
      <c r="AF96" s="59">
        <f t="shared" si="130"/>
        <v>200352.90010519867</v>
      </c>
      <c r="AG96" s="59">
        <f t="shared" si="130"/>
        <v>210370.54511045865</v>
      </c>
      <c r="AH96" s="59">
        <f t="shared" si="130"/>
        <v>220889.07236598158</v>
      </c>
      <c r="AI96" s="59">
        <f t="shared" ref="AI96:BN96" si="131">+AI35+AI55+AI75+AI85</f>
        <v>231933.52598428068</v>
      </c>
      <c r="AJ96" s="59">
        <f t="shared" si="131"/>
        <v>243530.20228349473</v>
      </c>
      <c r="AK96" s="59">
        <f t="shared" si="131"/>
        <v>255706.7123976695</v>
      </c>
      <c r="AL96" s="59">
        <f t="shared" si="131"/>
        <v>268492.048017553</v>
      </c>
      <c r="AM96" s="59">
        <f t="shared" si="131"/>
        <v>281916.65041843062</v>
      </c>
      <c r="AN96" s="59">
        <f t="shared" si="131"/>
        <v>296012.48293935222</v>
      </c>
      <c r="AO96" s="59">
        <f t="shared" si="131"/>
        <v>310813.10708631983</v>
      </c>
      <c r="AP96" s="59">
        <f t="shared" si="131"/>
        <v>326353.76244063588</v>
      </c>
      <c r="AQ96" s="59">
        <f t="shared" si="131"/>
        <v>342671.45056266774</v>
      </c>
      <c r="AR96" s="59">
        <f t="shared" si="131"/>
        <v>359805.02309080114</v>
      </c>
      <c r="AS96" s="59">
        <f t="shared" si="131"/>
        <v>377795.27424534119</v>
      </c>
      <c r="AT96" s="59">
        <f t="shared" si="131"/>
        <v>396685.03795760823</v>
      </c>
      <c r="AU96" s="59">
        <f t="shared" si="131"/>
        <v>416519.28985548869</v>
      </c>
      <c r="AV96" s="59">
        <f t="shared" si="131"/>
        <v>437345.2543482632</v>
      </c>
      <c r="AW96" s="59">
        <f t="shared" si="131"/>
        <v>459212.51706567645</v>
      </c>
      <c r="AX96" s="59">
        <f t="shared" si="131"/>
        <v>482173.14291896019</v>
      </c>
      <c r="AY96" s="59">
        <f t="shared" si="131"/>
        <v>506281.80006490822</v>
      </c>
      <c r="AZ96" s="59">
        <f t="shared" si="131"/>
        <v>531595.89006815362</v>
      </c>
      <c r="BA96" s="59">
        <f t="shared" si="131"/>
        <v>558175.68457156129</v>
      </c>
      <c r="BB96" s="59">
        <f t="shared" si="131"/>
        <v>586084.4688001395</v>
      </c>
      <c r="BC96" s="59">
        <f t="shared" si="131"/>
        <v>615388.69224014645</v>
      </c>
      <c r="BD96" s="59">
        <f t="shared" si="131"/>
        <v>646158.1268521538</v>
      </c>
      <c r="BE96" s="59">
        <f t="shared" si="131"/>
        <v>678466.03319476149</v>
      </c>
      <c r="BF96" s="59">
        <f t="shared" si="131"/>
        <v>712389.33485449955</v>
      </c>
      <c r="BG96" s="59">
        <f t="shared" si="131"/>
        <v>748008.80159722466</v>
      </c>
      <c r="BH96" s="59">
        <f t="shared" si="131"/>
        <v>785409.24167708575</v>
      </c>
      <c r="BI96" s="59">
        <f t="shared" si="131"/>
        <v>824679.70376094012</v>
      </c>
      <c r="BJ96" s="59">
        <f t="shared" si="131"/>
        <v>865913.68894898705</v>
      </c>
      <c r="BK96" s="59">
        <f t="shared" si="131"/>
        <v>909209.37339643657</v>
      </c>
      <c r="BL96" s="59">
        <f t="shared" si="131"/>
        <v>954669.84206625842</v>
      </c>
      <c r="BM96" s="59">
        <f t="shared" si="131"/>
        <v>1002403.3341695714</v>
      </c>
      <c r="BN96" s="59">
        <f t="shared" si="131"/>
        <v>1052523.50087805</v>
      </c>
      <c r="BO96" s="59">
        <f t="shared" ref="BO96:BV96" si="132">+BO35+BO55+BO75+BO85</f>
        <v>1105149.6759219524</v>
      </c>
      <c r="BP96" s="59">
        <f t="shared" si="132"/>
        <v>1160407.1597180502</v>
      </c>
      <c r="BQ96" s="59">
        <f t="shared" si="132"/>
        <v>1218427.517703953</v>
      </c>
      <c r="BR96" s="59">
        <f t="shared" si="132"/>
        <v>1279348.8935891502</v>
      </c>
      <c r="BS96" s="59">
        <f t="shared" si="132"/>
        <v>1343316.3382686079</v>
      </c>
      <c r="BT96" s="59">
        <f t="shared" si="132"/>
        <v>1410482.1551820382</v>
      </c>
      <c r="BU96" s="59">
        <f t="shared" si="132"/>
        <v>1481006.26294114</v>
      </c>
      <c r="BV96" s="59">
        <f t="shared" si="132"/>
        <v>1555056.5760881968</v>
      </c>
    </row>
    <row r="97" spans="2:74" s="125" customFormat="1" ht="15.75" hidden="1" customHeight="1" outlineLevel="1" x14ac:dyDescent="0.2">
      <c r="B97" s="155" t="s">
        <v>55</v>
      </c>
      <c r="C97" s="57">
        <f t="shared" ref="C97:AH97" si="133">+C36+C56+C76+C86</f>
        <v>0</v>
      </c>
      <c r="D97" s="58">
        <f t="shared" si="133"/>
        <v>0</v>
      </c>
      <c r="E97" s="59">
        <f t="shared" si="133"/>
        <v>0</v>
      </c>
      <c r="F97" s="59">
        <f t="shared" si="133"/>
        <v>0</v>
      </c>
      <c r="G97" s="59">
        <f t="shared" si="133"/>
        <v>0</v>
      </c>
      <c r="H97" s="59">
        <f t="shared" si="133"/>
        <v>0</v>
      </c>
      <c r="I97" s="59">
        <f t="shared" si="133"/>
        <v>0</v>
      </c>
      <c r="J97" s="59">
        <f t="shared" si="133"/>
        <v>0</v>
      </c>
      <c r="K97" s="59">
        <f t="shared" si="133"/>
        <v>0</v>
      </c>
      <c r="L97" s="59">
        <f t="shared" si="133"/>
        <v>0</v>
      </c>
      <c r="M97" s="59">
        <f t="shared" si="133"/>
        <v>0</v>
      </c>
      <c r="N97" s="59">
        <f t="shared" si="133"/>
        <v>0</v>
      </c>
      <c r="O97" s="59">
        <f t="shared" si="133"/>
        <v>0</v>
      </c>
      <c r="P97" s="59">
        <f t="shared" si="133"/>
        <v>0</v>
      </c>
      <c r="Q97" s="59">
        <f t="shared" si="133"/>
        <v>0</v>
      </c>
      <c r="R97" s="59">
        <f t="shared" si="133"/>
        <v>0</v>
      </c>
      <c r="S97" s="59">
        <f t="shared" si="133"/>
        <v>0</v>
      </c>
      <c r="T97" s="59">
        <f t="shared" si="133"/>
        <v>0</v>
      </c>
      <c r="U97" s="59">
        <f t="shared" si="133"/>
        <v>0</v>
      </c>
      <c r="V97" s="59">
        <f t="shared" si="133"/>
        <v>0</v>
      </c>
      <c r="W97" s="59">
        <f t="shared" si="133"/>
        <v>0</v>
      </c>
      <c r="X97" s="59">
        <f t="shared" si="133"/>
        <v>0</v>
      </c>
      <c r="Y97" s="59">
        <f t="shared" si="133"/>
        <v>0</v>
      </c>
      <c r="Z97" s="59">
        <f t="shared" si="133"/>
        <v>0</v>
      </c>
      <c r="AA97" s="59">
        <f t="shared" si="133"/>
        <v>0</v>
      </c>
      <c r="AB97" s="59">
        <f t="shared" si="133"/>
        <v>0</v>
      </c>
      <c r="AC97" s="59">
        <f t="shared" si="133"/>
        <v>0</v>
      </c>
      <c r="AD97" s="59">
        <f t="shared" si="133"/>
        <v>0</v>
      </c>
      <c r="AE97" s="59">
        <f t="shared" si="133"/>
        <v>0</v>
      </c>
      <c r="AF97" s="59">
        <f t="shared" si="133"/>
        <v>0</v>
      </c>
      <c r="AG97" s="59">
        <f t="shared" si="133"/>
        <v>0</v>
      </c>
      <c r="AH97" s="59">
        <f t="shared" si="133"/>
        <v>0</v>
      </c>
      <c r="AI97" s="59">
        <f t="shared" ref="AI97:BN97" si="134">+AI36+AI56+AI76+AI86</f>
        <v>0</v>
      </c>
      <c r="AJ97" s="59">
        <f t="shared" si="134"/>
        <v>0</v>
      </c>
      <c r="AK97" s="59">
        <f t="shared" si="134"/>
        <v>0</v>
      </c>
      <c r="AL97" s="59">
        <f t="shared" si="134"/>
        <v>0</v>
      </c>
      <c r="AM97" s="59">
        <f t="shared" si="134"/>
        <v>0</v>
      </c>
      <c r="AN97" s="59">
        <f t="shared" si="134"/>
        <v>0</v>
      </c>
      <c r="AO97" s="59">
        <f t="shared" si="134"/>
        <v>0</v>
      </c>
      <c r="AP97" s="59">
        <f t="shared" si="134"/>
        <v>0</v>
      </c>
      <c r="AQ97" s="59">
        <f t="shared" si="134"/>
        <v>0</v>
      </c>
      <c r="AR97" s="59">
        <f t="shared" si="134"/>
        <v>0</v>
      </c>
      <c r="AS97" s="59">
        <f t="shared" si="134"/>
        <v>0</v>
      </c>
      <c r="AT97" s="59">
        <f t="shared" si="134"/>
        <v>0</v>
      </c>
      <c r="AU97" s="59">
        <f t="shared" si="134"/>
        <v>0</v>
      </c>
      <c r="AV97" s="59">
        <f t="shared" si="134"/>
        <v>0</v>
      </c>
      <c r="AW97" s="59">
        <f t="shared" si="134"/>
        <v>0</v>
      </c>
      <c r="AX97" s="59">
        <f t="shared" si="134"/>
        <v>0</v>
      </c>
      <c r="AY97" s="59">
        <f t="shared" si="134"/>
        <v>0</v>
      </c>
      <c r="AZ97" s="59">
        <f t="shared" si="134"/>
        <v>0</v>
      </c>
      <c r="BA97" s="59">
        <f t="shared" si="134"/>
        <v>0</v>
      </c>
      <c r="BB97" s="59">
        <f t="shared" si="134"/>
        <v>0</v>
      </c>
      <c r="BC97" s="59">
        <f t="shared" si="134"/>
        <v>0</v>
      </c>
      <c r="BD97" s="59">
        <f t="shared" si="134"/>
        <v>0</v>
      </c>
      <c r="BE97" s="59">
        <f t="shared" si="134"/>
        <v>0</v>
      </c>
      <c r="BF97" s="59">
        <f t="shared" si="134"/>
        <v>0</v>
      </c>
      <c r="BG97" s="59">
        <f t="shared" si="134"/>
        <v>0</v>
      </c>
      <c r="BH97" s="59">
        <f t="shared" si="134"/>
        <v>0</v>
      </c>
      <c r="BI97" s="59">
        <f t="shared" si="134"/>
        <v>0</v>
      </c>
      <c r="BJ97" s="59">
        <f t="shared" si="134"/>
        <v>0</v>
      </c>
      <c r="BK97" s="59">
        <f t="shared" si="134"/>
        <v>0</v>
      </c>
      <c r="BL97" s="59">
        <f t="shared" si="134"/>
        <v>0</v>
      </c>
      <c r="BM97" s="59">
        <f t="shared" si="134"/>
        <v>0</v>
      </c>
      <c r="BN97" s="59">
        <f t="shared" si="134"/>
        <v>0</v>
      </c>
      <c r="BO97" s="59">
        <f t="shared" ref="BO97:BV97" si="135">+BO36+BO56+BO76+BO86</f>
        <v>0</v>
      </c>
      <c r="BP97" s="59">
        <f t="shared" si="135"/>
        <v>0</v>
      </c>
      <c r="BQ97" s="59">
        <f t="shared" si="135"/>
        <v>0</v>
      </c>
      <c r="BR97" s="59">
        <f t="shared" si="135"/>
        <v>0</v>
      </c>
      <c r="BS97" s="59">
        <f t="shared" si="135"/>
        <v>0</v>
      </c>
      <c r="BT97" s="59">
        <f t="shared" si="135"/>
        <v>0</v>
      </c>
      <c r="BU97" s="59">
        <f t="shared" si="135"/>
        <v>0</v>
      </c>
      <c r="BV97" s="59">
        <f t="shared" si="135"/>
        <v>0</v>
      </c>
    </row>
    <row r="98" spans="2:74" s="125" customFormat="1" ht="15.75" hidden="1" customHeight="1" outlineLevel="1" x14ac:dyDescent="0.2">
      <c r="B98" s="155" t="s">
        <v>56</v>
      </c>
      <c r="C98" s="57">
        <f t="shared" ref="C98:AH98" si="136">+C37+C57+C77+C87</f>
        <v>0</v>
      </c>
      <c r="D98" s="58">
        <f t="shared" si="136"/>
        <v>0</v>
      </c>
      <c r="E98" s="59">
        <f t="shared" si="136"/>
        <v>0</v>
      </c>
      <c r="F98" s="59">
        <f t="shared" si="136"/>
        <v>0</v>
      </c>
      <c r="G98" s="59">
        <f t="shared" si="136"/>
        <v>0</v>
      </c>
      <c r="H98" s="59">
        <f t="shared" si="136"/>
        <v>0</v>
      </c>
      <c r="I98" s="59">
        <f t="shared" si="136"/>
        <v>0</v>
      </c>
      <c r="J98" s="59">
        <f t="shared" si="136"/>
        <v>0</v>
      </c>
      <c r="K98" s="59">
        <f t="shared" si="136"/>
        <v>0</v>
      </c>
      <c r="L98" s="59">
        <f t="shared" si="136"/>
        <v>0</v>
      </c>
      <c r="M98" s="59">
        <f t="shared" si="136"/>
        <v>0</v>
      </c>
      <c r="N98" s="59">
        <f t="shared" si="136"/>
        <v>0</v>
      </c>
      <c r="O98" s="59">
        <f t="shared" si="136"/>
        <v>0</v>
      </c>
      <c r="P98" s="59">
        <f t="shared" si="136"/>
        <v>0</v>
      </c>
      <c r="Q98" s="59">
        <f t="shared" si="136"/>
        <v>0</v>
      </c>
      <c r="R98" s="59">
        <f t="shared" si="136"/>
        <v>0</v>
      </c>
      <c r="S98" s="59">
        <f t="shared" si="136"/>
        <v>0</v>
      </c>
      <c r="T98" s="59">
        <f t="shared" si="136"/>
        <v>0</v>
      </c>
      <c r="U98" s="59">
        <f t="shared" si="136"/>
        <v>0</v>
      </c>
      <c r="V98" s="59">
        <f t="shared" si="136"/>
        <v>0</v>
      </c>
      <c r="W98" s="59">
        <f t="shared" si="136"/>
        <v>0</v>
      </c>
      <c r="X98" s="59">
        <f t="shared" si="136"/>
        <v>0</v>
      </c>
      <c r="Y98" s="59">
        <f t="shared" si="136"/>
        <v>0</v>
      </c>
      <c r="Z98" s="59">
        <f t="shared" si="136"/>
        <v>0</v>
      </c>
      <c r="AA98" s="59">
        <f t="shared" si="136"/>
        <v>0</v>
      </c>
      <c r="AB98" s="59">
        <f t="shared" si="136"/>
        <v>0</v>
      </c>
      <c r="AC98" s="59">
        <f t="shared" si="136"/>
        <v>0</v>
      </c>
      <c r="AD98" s="59">
        <f t="shared" si="136"/>
        <v>0</v>
      </c>
      <c r="AE98" s="59">
        <f t="shared" si="136"/>
        <v>0</v>
      </c>
      <c r="AF98" s="59">
        <f t="shared" si="136"/>
        <v>0</v>
      </c>
      <c r="AG98" s="59">
        <f t="shared" si="136"/>
        <v>0</v>
      </c>
      <c r="AH98" s="59">
        <f t="shared" si="136"/>
        <v>0</v>
      </c>
      <c r="AI98" s="59">
        <f t="shared" ref="AI98:BN98" si="137">+AI37+AI57+AI77+AI87</f>
        <v>0</v>
      </c>
      <c r="AJ98" s="59">
        <f t="shared" si="137"/>
        <v>0</v>
      </c>
      <c r="AK98" s="59">
        <f t="shared" si="137"/>
        <v>0</v>
      </c>
      <c r="AL98" s="59">
        <f t="shared" si="137"/>
        <v>0</v>
      </c>
      <c r="AM98" s="59">
        <f t="shared" si="137"/>
        <v>0</v>
      </c>
      <c r="AN98" s="59">
        <f t="shared" si="137"/>
        <v>0</v>
      </c>
      <c r="AO98" s="59">
        <f t="shared" si="137"/>
        <v>0</v>
      </c>
      <c r="AP98" s="59">
        <f t="shared" si="137"/>
        <v>0</v>
      </c>
      <c r="AQ98" s="59">
        <f t="shared" si="137"/>
        <v>0</v>
      </c>
      <c r="AR98" s="59">
        <f t="shared" si="137"/>
        <v>0</v>
      </c>
      <c r="AS98" s="59">
        <f t="shared" si="137"/>
        <v>0</v>
      </c>
      <c r="AT98" s="59">
        <f t="shared" si="137"/>
        <v>0</v>
      </c>
      <c r="AU98" s="59">
        <f t="shared" si="137"/>
        <v>0</v>
      </c>
      <c r="AV98" s="59">
        <f t="shared" si="137"/>
        <v>0</v>
      </c>
      <c r="AW98" s="59">
        <f t="shared" si="137"/>
        <v>0</v>
      </c>
      <c r="AX98" s="59">
        <f t="shared" si="137"/>
        <v>0</v>
      </c>
      <c r="AY98" s="59">
        <f t="shared" si="137"/>
        <v>0</v>
      </c>
      <c r="AZ98" s="59">
        <f t="shared" si="137"/>
        <v>0</v>
      </c>
      <c r="BA98" s="59">
        <f t="shared" si="137"/>
        <v>0</v>
      </c>
      <c r="BB98" s="59">
        <f t="shared" si="137"/>
        <v>0</v>
      </c>
      <c r="BC98" s="59">
        <f t="shared" si="137"/>
        <v>0</v>
      </c>
      <c r="BD98" s="59">
        <f t="shared" si="137"/>
        <v>0</v>
      </c>
      <c r="BE98" s="59">
        <f t="shared" si="137"/>
        <v>0</v>
      </c>
      <c r="BF98" s="59">
        <f t="shared" si="137"/>
        <v>0</v>
      </c>
      <c r="BG98" s="59">
        <f t="shared" si="137"/>
        <v>0</v>
      </c>
      <c r="BH98" s="59">
        <f t="shared" si="137"/>
        <v>0</v>
      </c>
      <c r="BI98" s="59">
        <f t="shared" si="137"/>
        <v>0</v>
      </c>
      <c r="BJ98" s="59">
        <f t="shared" si="137"/>
        <v>0</v>
      </c>
      <c r="BK98" s="59">
        <f t="shared" si="137"/>
        <v>0</v>
      </c>
      <c r="BL98" s="59">
        <f t="shared" si="137"/>
        <v>0</v>
      </c>
      <c r="BM98" s="59">
        <f t="shared" si="137"/>
        <v>0</v>
      </c>
      <c r="BN98" s="59">
        <f t="shared" si="137"/>
        <v>0</v>
      </c>
      <c r="BO98" s="59">
        <f t="shared" ref="BO98:BV98" si="138">+BO37+BO57+BO77+BO87</f>
        <v>0</v>
      </c>
      <c r="BP98" s="59">
        <f t="shared" si="138"/>
        <v>0</v>
      </c>
      <c r="BQ98" s="59">
        <f t="shared" si="138"/>
        <v>0</v>
      </c>
      <c r="BR98" s="59">
        <f t="shared" si="138"/>
        <v>0</v>
      </c>
      <c r="BS98" s="59">
        <f t="shared" si="138"/>
        <v>0</v>
      </c>
      <c r="BT98" s="59">
        <f t="shared" si="138"/>
        <v>0</v>
      </c>
      <c r="BU98" s="59">
        <f t="shared" si="138"/>
        <v>0</v>
      </c>
      <c r="BV98" s="59">
        <f t="shared" si="138"/>
        <v>0</v>
      </c>
    </row>
    <row r="99" spans="2:74" s="125" customFormat="1" ht="15.75" hidden="1" customHeight="1" outlineLevel="1" x14ac:dyDescent="0.2">
      <c r="B99" s="155" t="s">
        <v>57</v>
      </c>
      <c r="C99" s="57">
        <f t="shared" ref="C99:AH99" si="139">+C38+C58+C78+C88</f>
        <v>0</v>
      </c>
      <c r="D99" s="58">
        <f t="shared" si="139"/>
        <v>0</v>
      </c>
      <c r="E99" s="59">
        <f t="shared" si="139"/>
        <v>0</v>
      </c>
      <c r="F99" s="59">
        <f t="shared" si="139"/>
        <v>0</v>
      </c>
      <c r="G99" s="59">
        <f t="shared" si="139"/>
        <v>0</v>
      </c>
      <c r="H99" s="59">
        <f t="shared" si="139"/>
        <v>0</v>
      </c>
      <c r="I99" s="59">
        <f t="shared" si="139"/>
        <v>0</v>
      </c>
      <c r="J99" s="59">
        <f t="shared" si="139"/>
        <v>0</v>
      </c>
      <c r="K99" s="59">
        <f t="shared" si="139"/>
        <v>0</v>
      </c>
      <c r="L99" s="59">
        <f t="shared" si="139"/>
        <v>0</v>
      </c>
      <c r="M99" s="59">
        <f t="shared" si="139"/>
        <v>0</v>
      </c>
      <c r="N99" s="59">
        <f t="shared" si="139"/>
        <v>0</v>
      </c>
      <c r="O99" s="59">
        <f t="shared" si="139"/>
        <v>0</v>
      </c>
      <c r="P99" s="59">
        <f t="shared" si="139"/>
        <v>0</v>
      </c>
      <c r="Q99" s="59">
        <f t="shared" si="139"/>
        <v>0</v>
      </c>
      <c r="R99" s="59">
        <f t="shared" si="139"/>
        <v>0</v>
      </c>
      <c r="S99" s="59">
        <f t="shared" si="139"/>
        <v>0</v>
      </c>
      <c r="T99" s="59">
        <f t="shared" si="139"/>
        <v>0</v>
      </c>
      <c r="U99" s="59">
        <f t="shared" si="139"/>
        <v>0</v>
      </c>
      <c r="V99" s="59">
        <f t="shared" si="139"/>
        <v>0</v>
      </c>
      <c r="W99" s="59">
        <f t="shared" si="139"/>
        <v>0</v>
      </c>
      <c r="X99" s="59">
        <f t="shared" si="139"/>
        <v>0</v>
      </c>
      <c r="Y99" s="59">
        <f t="shared" si="139"/>
        <v>0</v>
      </c>
      <c r="Z99" s="59">
        <f t="shared" si="139"/>
        <v>0</v>
      </c>
      <c r="AA99" s="59">
        <f t="shared" si="139"/>
        <v>0</v>
      </c>
      <c r="AB99" s="59">
        <f t="shared" si="139"/>
        <v>0</v>
      </c>
      <c r="AC99" s="59">
        <f t="shared" si="139"/>
        <v>0</v>
      </c>
      <c r="AD99" s="59">
        <f t="shared" si="139"/>
        <v>0</v>
      </c>
      <c r="AE99" s="59">
        <f t="shared" si="139"/>
        <v>0</v>
      </c>
      <c r="AF99" s="59">
        <f t="shared" si="139"/>
        <v>0</v>
      </c>
      <c r="AG99" s="59">
        <f t="shared" si="139"/>
        <v>0</v>
      </c>
      <c r="AH99" s="59">
        <f t="shared" si="139"/>
        <v>0</v>
      </c>
      <c r="AI99" s="59">
        <f t="shared" ref="AI99:BN99" si="140">+AI38+AI58+AI78+AI88</f>
        <v>0</v>
      </c>
      <c r="AJ99" s="59">
        <f t="shared" si="140"/>
        <v>0</v>
      </c>
      <c r="AK99" s="59">
        <f t="shared" si="140"/>
        <v>0</v>
      </c>
      <c r="AL99" s="59">
        <f t="shared" si="140"/>
        <v>0</v>
      </c>
      <c r="AM99" s="59">
        <f t="shared" si="140"/>
        <v>0</v>
      </c>
      <c r="AN99" s="59">
        <f t="shared" si="140"/>
        <v>0</v>
      </c>
      <c r="AO99" s="59">
        <f t="shared" si="140"/>
        <v>0</v>
      </c>
      <c r="AP99" s="59">
        <f t="shared" si="140"/>
        <v>0</v>
      </c>
      <c r="AQ99" s="59">
        <f t="shared" si="140"/>
        <v>0</v>
      </c>
      <c r="AR99" s="59">
        <f t="shared" si="140"/>
        <v>0</v>
      </c>
      <c r="AS99" s="59">
        <f t="shared" si="140"/>
        <v>0</v>
      </c>
      <c r="AT99" s="59">
        <f t="shared" si="140"/>
        <v>0</v>
      </c>
      <c r="AU99" s="59">
        <f t="shared" si="140"/>
        <v>0</v>
      </c>
      <c r="AV99" s="59">
        <f t="shared" si="140"/>
        <v>0</v>
      </c>
      <c r="AW99" s="59">
        <f t="shared" si="140"/>
        <v>0</v>
      </c>
      <c r="AX99" s="59">
        <f t="shared" si="140"/>
        <v>0</v>
      </c>
      <c r="AY99" s="59">
        <f t="shared" si="140"/>
        <v>0</v>
      </c>
      <c r="AZ99" s="59">
        <f t="shared" si="140"/>
        <v>0</v>
      </c>
      <c r="BA99" s="59">
        <f t="shared" si="140"/>
        <v>0</v>
      </c>
      <c r="BB99" s="59">
        <f t="shared" si="140"/>
        <v>0</v>
      </c>
      <c r="BC99" s="59">
        <f t="shared" si="140"/>
        <v>0</v>
      </c>
      <c r="BD99" s="59">
        <f t="shared" si="140"/>
        <v>0</v>
      </c>
      <c r="BE99" s="59">
        <f t="shared" si="140"/>
        <v>0</v>
      </c>
      <c r="BF99" s="59">
        <f t="shared" si="140"/>
        <v>0</v>
      </c>
      <c r="BG99" s="59">
        <f t="shared" si="140"/>
        <v>0</v>
      </c>
      <c r="BH99" s="59">
        <f t="shared" si="140"/>
        <v>0</v>
      </c>
      <c r="BI99" s="59">
        <f t="shared" si="140"/>
        <v>0</v>
      </c>
      <c r="BJ99" s="59">
        <f t="shared" si="140"/>
        <v>0</v>
      </c>
      <c r="BK99" s="59">
        <f t="shared" si="140"/>
        <v>0</v>
      </c>
      <c r="BL99" s="59">
        <f t="shared" si="140"/>
        <v>0</v>
      </c>
      <c r="BM99" s="59">
        <f t="shared" si="140"/>
        <v>0</v>
      </c>
      <c r="BN99" s="59">
        <f t="shared" si="140"/>
        <v>0</v>
      </c>
      <c r="BO99" s="59">
        <f t="shared" ref="BO99:BV99" si="141">+BO38+BO58+BO78+BO88</f>
        <v>0</v>
      </c>
      <c r="BP99" s="59">
        <f t="shared" si="141"/>
        <v>0</v>
      </c>
      <c r="BQ99" s="59">
        <f t="shared" si="141"/>
        <v>0</v>
      </c>
      <c r="BR99" s="59">
        <f t="shared" si="141"/>
        <v>0</v>
      </c>
      <c r="BS99" s="59">
        <f t="shared" si="141"/>
        <v>0</v>
      </c>
      <c r="BT99" s="59">
        <f t="shared" si="141"/>
        <v>0</v>
      </c>
      <c r="BU99" s="59">
        <f t="shared" si="141"/>
        <v>0</v>
      </c>
      <c r="BV99" s="59">
        <f t="shared" si="141"/>
        <v>0</v>
      </c>
    </row>
    <row r="100" spans="2:74" s="125" customFormat="1" ht="15.75" hidden="1" customHeight="1" outlineLevel="1" thickBot="1" x14ac:dyDescent="0.25">
      <c r="B100" s="155" t="s">
        <v>58</v>
      </c>
      <c r="C100" s="60">
        <f t="shared" ref="C100:AH100" si="142">+C39+C59+C79+C89</f>
        <v>0</v>
      </c>
      <c r="D100" s="61">
        <f t="shared" si="142"/>
        <v>0</v>
      </c>
      <c r="E100" s="62">
        <f t="shared" si="142"/>
        <v>0</v>
      </c>
      <c r="F100" s="62">
        <f t="shared" si="142"/>
        <v>0</v>
      </c>
      <c r="G100" s="62">
        <f t="shared" si="142"/>
        <v>0</v>
      </c>
      <c r="H100" s="62">
        <f t="shared" si="142"/>
        <v>0</v>
      </c>
      <c r="I100" s="62">
        <f t="shared" si="142"/>
        <v>0</v>
      </c>
      <c r="J100" s="62">
        <f t="shared" si="142"/>
        <v>0</v>
      </c>
      <c r="K100" s="62">
        <f t="shared" si="142"/>
        <v>0</v>
      </c>
      <c r="L100" s="62">
        <f t="shared" si="142"/>
        <v>0</v>
      </c>
      <c r="M100" s="62">
        <f t="shared" si="142"/>
        <v>0</v>
      </c>
      <c r="N100" s="62">
        <f t="shared" si="142"/>
        <v>0</v>
      </c>
      <c r="O100" s="62">
        <f t="shared" si="142"/>
        <v>0</v>
      </c>
      <c r="P100" s="62">
        <f t="shared" si="142"/>
        <v>0</v>
      </c>
      <c r="Q100" s="62">
        <f t="shared" si="142"/>
        <v>0</v>
      </c>
      <c r="R100" s="62">
        <f t="shared" si="142"/>
        <v>0</v>
      </c>
      <c r="S100" s="62">
        <f t="shared" si="142"/>
        <v>0</v>
      </c>
      <c r="T100" s="62">
        <f t="shared" si="142"/>
        <v>0</v>
      </c>
      <c r="U100" s="62">
        <f t="shared" si="142"/>
        <v>0</v>
      </c>
      <c r="V100" s="62">
        <f t="shared" si="142"/>
        <v>0</v>
      </c>
      <c r="W100" s="62">
        <f t="shared" si="142"/>
        <v>0</v>
      </c>
      <c r="X100" s="62">
        <f t="shared" si="142"/>
        <v>0</v>
      </c>
      <c r="Y100" s="62">
        <f t="shared" si="142"/>
        <v>0</v>
      </c>
      <c r="Z100" s="62">
        <f t="shared" si="142"/>
        <v>0</v>
      </c>
      <c r="AA100" s="62">
        <f t="shared" si="142"/>
        <v>0</v>
      </c>
      <c r="AB100" s="62">
        <f t="shared" si="142"/>
        <v>0</v>
      </c>
      <c r="AC100" s="62">
        <f t="shared" si="142"/>
        <v>0</v>
      </c>
      <c r="AD100" s="62">
        <f t="shared" si="142"/>
        <v>0</v>
      </c>
      <c r="AE100" s="62">
        <f t="shared" si="142"/>
        <v>0</v>
      </c>
      <c r="AF100" s="62">
        <f t="shared" si="142"/>
        <v>0</v>
      </c>
      <c r="AG100" s="62">
        <f t="shared" si="142"/>
        <v>0</v>
      </c>
      <c r="AH100" s="62">
        <f t="shared" si="142"/>
        <v>0</v>
      </c>
      <c r="AI100" s="62">
        <f t="shared" ref="AI100:BN100" si="143">+AI39+AI59+AI79+AI89</f>
        <v>0</v>
      </c>
      <c r="AJ100" s="62">
        <f t="shared" si="143"/>
        <v>0</v>
      </c>
      <c r="AK100" s="62">
        <f t="shared" si="143"/>
        <v>0</v>
      </c>
      <c r="AL100" s="62">
        <f t="shared" si="143"/>
        <v>0</v>
      </c>
      <c r="AM100" s="62">
        <f t="shared" si="143"/>
        <v>0</v>
      </c>
      <c r="AN100" s="62">
        <f t="shared" si="143"/>
        <v>0</v>
      </c>
      <c r="AO100" s="62">
        <f t="shared" si="143"/>
        <v>0</v>
      </c>
      <c r="AP100" s="62">
        <f t="shared" si="143"/>
        <v>0</v>
      </c>
      <c r="AQ100" s="62">
        <f t="shared" si="143"/>
        <v>0</v>
      </c>
      <c r="AR100" s="62">
        <f t="shared" si="143"/>
        <v>0</v>
      </c>
      <c r="AS100" s="62">
        <f t="shared" si="143"/>
        <v>0</v>
      </c>
      <c r="AT100" s="62">
        <f t="shared" si="143"/>
        <v>0</v>
      </c>
      <c r="AU100" s="62">
        <f t="shared" si="143"/>
        <v>0</v>
      </c>
      <c r="AV100" s="62">
        <f t="shared" si="143"/>
        <v>0</v>
      </c>
      <c r="AW100" s="62">
        <f t="shared" si="143"/>
        <v>0</v>
      </c>
      <c r="AX100" s="62">
        <f t="shared" si="143"/>
        <v>0</v>
      </c>
      <c r="AY100" s="62">
        <f t="shared" si="143"/>
        <v>0</v>
      </c>
      <c r="AZ100" s="62">
        <f t="shared" si="143"/>
        <v>0</v>
      </c>
      <c r="BA100" s="62">
        <f t="shared" si="143"/>
        <v>0</v>
      </c>
      <c r="BB100" s="62">
        <f t="shared" si="143"/>
        <v>0</v>
      </c>
      <c r="BC100" s="62">
        <f t="shared" si="143"/>
        <v>0</v>
      </c>
      <c r="BD100" s="62">
        <f t="shared" si="143"/>
        <v>0</v>
      </c>
      <c r="BE100" s="62">
        <f t="shared" si="143"/>
        <v>0</v>
      </c>
      <c r="BF100" s="62">
        <f t="shared" si="143"/>
        <v>0</v>
      </c>
      <c r="BG100" s="62">
        <f t="shared" si="143"/>
        <v>0</v>
      </c>
      <c r="BH100" s="62">
        <f t="shared" si="143"/>
        <v>0</v>
      </c>
      <c r="BI100" s="62">
        <f t="shared" si="143"/>
        <v>0</v>
      </c>
      <c r="BJ100" s="62">
        <f t="shared" si="143"/>
        <v>0</v>
      </c>
      <c r="BK100" s="62">
        <f t="shared" si="143"/>
        <v>0</v>
      </c>
      <c r="BL100" s="62">
        <f t="shared" si="143"/>
        <v>0</v>
      </c>
      <c r="BM100" s="62">
        <f t="shared" si="143"/>
        <v>0</v>
      </c>
      <c r="BN100" s="62">
        <f t="shared" si="143"/>
        <v>0</v>
      </c>
      <c r="BO100" s="62">
        <f t="shared" ref="BO100:BV100" si="144">+BO39+BO59+BO79+BO89</f>
        <v>0</v>
      </c>
      <c r="BP100" s="62">
        <f t="shared" si="144"/>
        <v>0</v>
      </c>
      <c r="BQ100" s="62">
        <f t="shared" si="144"/>
        <v>0</v>
      </c>
      <c r="BR100" s="62">
        <f t="shared" si="144"/>
        <v>0</v>
      </c>
      <c r="BS100" s="62">
        <f t="shared" si="144"/>
        <v>0</v>
      </c>
      <c r="BT100" s="62">
        <f t="shared" si="144"/>
        <v>0</v>
      </c>
      <c r="BU100" s="62">
        <f t="shared" si="144"/>
        <v>0</v>
      </c>
      <c r="BV100" s="62">
        <f t="shared" si="144"/>
        <v>0</v>
      </c>
    </row>
    <row r="101" spans="2:74" s="125" customFormat="1" ht="15.75" customHeight="1" collapsed="1" thickTop="1" x14ac:dyDescent="0.2">
      <c r="C101" s="93"/>
      <c r="D101" s="94"/>
      <c r="E101" s="95"/>
      <c r="F101" s="95"/>
      <c r="G101" s="95"/>
      <c r="H101" s="95"/>
      <c r="I101" s="95"/>
      <c r="J101" s="95"/>
      <c r="K101" s="95"/>
      <c r="L101" s="95"/>
      <c r="M101" s="95"/>
      <c r="N101" s="95"/>
      <c r="O101" s="95"/>
      <c r="P101" s="95"/>
      <c r="Q101" s="95"/>
      <c r="R101" s="95"/>
      <c r="S101" s="95"/>
      <c r="T101" s="95"/>
      <c r="U101" s="95"/>
      <c r="V101" s="95"/>
      <c r="W101" s="95"/>
      <c r="X101" s="95"/>
      <c r="Y101" s="95"/>
      <c r="Z101" s="95"/>
      <c r="AA101" s="95"/>
      <c r="AB101" s="95"/>
      <c r="AC101" s="95"/>
      <c r="AD101" s="95"/>
      <c r="AE101" s="95"/>
      <c r="AF101" s="95"/>
      <c r="AG101" s="95"/>
      <c r="AH101" s="95"/>
      <c r="AI101" s="95"/>
      <c r="AJ101" s="95"/>
      <c r="AK101" s="95"/>
      <c r="AL101" s="95"/>
      <c r="AM101" s="95"/>
      <c r="AN101" s="95"/>
      <c r="AO101" s="95"/>
      <c r="AP101" s="95"/>
      <c r="AQ101" s="95"/>
      <c r="AR101" s="95"/>
      <c r="AS101" s="95"/>
      <c r="AT101" s="95"/>
      <c r="AU101" s="95"/>
      <c r="AV101" s="95"/>
      <c r="AW101" s="95"/>
      <c r="AX101" s="95"/>
      <c r="AY101" s="95"/>
      <c r="AZ101" s="95"/>
      <c r="BA101" s="95"/>
      <c r="BB101" s="95"/>
      <c r="BC101" s="95"/>
      <c r="BD101" s="95"/>
      <c r="BE101" s="95"/>
      <c r="BF101" s="95"/>
      <c r="BG101" s="95"/>
      <c r="BH101" s="95"/>
      <c r="BI101" s="95"/>
      <c r="BJ101" s="95"/>
      <c r="BK101" s="95"/>
      <c r="BL101" s="95"/>
      <c r="BM101" s="95"/>
      <c r="BN101" s="95"/>
      <c r="BO101" s="95"/>
      <c r="BP101" s="95"/>
      <c r="BQ101" s="95"/>
      <c r="BR101" s="95"/>
      <c r="BS101" s="95"/>
      <c r="BT101" s="95"/>
      <c r="BU101" s="95"/>
      <c r="BV101" s="95"/>
    </row>
    <row r="102" spans="2:74" s="125" customFormat="1" ht="15.75" customHeight="1" x14ac:dyDescent="0.2">
      <c r="B102" s="129" t="s">
        <v>83</v>
      </c>
      <c r="C102" s="117">
        <f t="shared" ref="C102:AH102" si="145">+SUM(C103:C108)</f>
        <v>3.5</v>
      </c>
      <c r="D102" s="117">
        <f t="shared" si="145"/>
        <v>3.45</v>
      </c>
      <c r="E102" s="118">
        <f t="shared" si="145"/>
        <v>3.4024999999999999</v>
      </c>
      <c r="F102" s="118">
        <f t="shared" si="145"/>
        <v>3.3573750000000002</v>
      </c>
      <c r="G102" s="118">
        <f t="shared" si="145"/>
        <v>3.31450625</v>
      </c>
      <c r="H102" s="118">
        <f t="shared" si="145"/>
        <v>3.2737809374999998</v>
      </c>
      <c r="I102" s="118">
        <f t="shared" si="145"/>
        <v>3.2350918906250001</v>
      </c>
      <c r="J102" s="118">
        <f t="shared" si="145"/>
        <v>3.1983372960937499</v>
      </c>
      <c r="K102" s="118">
        <f t="shared" si="145"/>
        <v>3.1634204312890626</v>
      </c>
      <c r="L102" s="118">
        <f t="shared" si="145"/>
        <v>3.130249409724609</v>
      </c>
      <c r="M102" s="118">
        <f t="shared" si="145"/>
        <v>3.0987369392383783</v>
      </c>
      <c r="N102" s="118">
        <f t="shared" si="145"/>
        <v>3.0688000922764598</v>
      </c>
      <c r="O102" s="118">
        <f t="shared" si="145"/>
        <v>3.0403600876626369</v>
      </c>
      <c r="P102" s="118">
        <f t="shared" si="145"/>
        <v>3.0133420832795048</v>
      </c>
      <c r="Q102" s="118">
        <f t="shared" si="145"/>
        <v>2.9876749791155297</v>
      </c>
      <c r="R102" s="118">
        <f t="shared" si="145"/>
        <v>2.9632912301597534</v>
      </c>
      <c r="S102" s="118">
        <f t="shared" si="145"/>
        <v>2.9401266686517653</v>
      </c>
      <c r="T102" s="118">
        <f t="shared" si="145"/>
        <v>2.9181203352191769</v>
      </c>
      <c r="U102" s="118">
        <f t="shared" si="145"/>
        <v>2.897214318458218</v>
      </c>
      <c r="V102" s="118">
        <f t="shared" si="145"/>
        <v>2.8773536025353073</v>
      </c>
      <c r="W102" s="118">
        <f t="shared" si="145"/>
        <v>2.8584859224085419</v>
      </c>
      <c r="X102" s="118">
        <f t="shared" si="145"/>
        <v>2.8405616262881148</v>
      </c>
      <c r="Y102" s="118">
        <f t="shared" si="145"/>
        <v>2.8235335449737091</v>
      </c>
      <c r="Z102" s="118">
        <f t="shared" si="145"/>
        <v>2.8073568677250238</v>
      </c>
      <c r="AA102" s="118">
        <f t="shared" si="145"/>
        <v>2.7919890243387728</v>
      </c>
      <c r="AB102" s="118">
        <f t="shared" si="145"/>
        <v>2.7773895731218339</v>
      </c>
      <c r="AC102" s="118">
        <f t="shared" si="145"/>
        <v>2.7635200944657425</v>
      </c>
      <c r="AD102" s="118">
        <f t="shared" si="145"/>
        <v>2.7503440897424554</v>
      </c>
      <c r="AE102" s="118">
        <f t="shared" si="145"/>
        <v>2.7378268852553322</v>
      </c>
      <c r="AF102" s="118">
        <f t="shared" si="145"/>
        <v>2.7259355409925656</v>
      </c>
      <c r="AG102" s="118">
        <f t="shared" si="145"/>
        <v>2.7146387639429372</v>
      </c>
      <c r="AH102" s="118">
        <f t="shared" si="145"/>
        <v>2.7039068257457908</v>
      </c>
      <c r="AI102" s="118">
        <f t="shared" ref="AI102:BN102" si="146">+SUM(AI103:AI108)</f>
        <v>2.6937114844585013</v>
      </c>
      <c r="AJ102" s="118">
        <f t="shared" si="146"/>
        <v>2.6840259102355759</v>
      </c>
      <c r="AK102" s="118">
        <f t="shared" si="146"/>
        <v>2.6748246147237973</v>
      </c>
      <c r="AL102" s="118">
        <f t="shared" si="146"/>
        <v>2.6660833839876075</v>
      </c>
      <c r="AM102" s="118">
        <f t="shared" si="146"/>
        <v>2.6577792147882269</v>
      </c>
      <c r="AN102" s="118">
        <f t="shared" si="146"/>
        <v>2.6498902540488158</v>
      </c>
      <c r="AO102" s="118">
        <f t="shared" si="146"/>
        <v>2.642395741346375</v>
      </c>
      <c r="AP102" s="118">
        <f t="shared" si="146"/>
        <v>2.6352759542790558</v>
      </c>
      <c r="AQ102" s="118">
        <f t="shared" si="146"/>
        <v>2.6285121565651033</v>
      </c>
      <c r="AR102" s="118">
        <f t="shared" si="146"/>
        <v>2.6220865487368483</v>
      </c>
      <c r="AS102" s="118">
        <f t="shared" si="146"/>
        <v>2.6159822213000057</v>
      </c>
      <c r="AT102" s="118">
        <f t="shared" si="146"/>
        <v>2.6101831102350053</v>
      </c>
      <c r="AU102" s="118">
        <f t="shared" si="146"/>
        <v>2.6046739547232551</v>
      </c>
      <c r="AV102" s="118">
        <f t="shared" si="146"/>
        <v>2.5994402569870925</v>
      </c>
      <c r="AW102" s="118">
        <f t="shared" si="146"/>
        <v>2.5944682441377376</v>
      </c>
      <c r="AX102" s="118">
        <f t="shared" si="146"/>
        <v>2.5897448319308509</v>
      </c>
      <c r="AY102" s="118">
        <f t="shared" si="146"/>
        <v>2.5852575903343085</v>
      </c>
      <c r="AZ102" s="118">
        <f t="shared" si="146"/>
        <v>2.5809947108175928</v>
      </c>
      <c r="BA102" s="118">
        <f t="shared" si="146"/>
        <v>2.5769449752767133</v>
      </c>
      <c r="BB102" s="118">
        <f t="shared" si="146"/>
        <v>2.5730977265128776</v>
      </c>
      <c r="BC102" s="118">
        <f t="shared" si="146"/>
        <v>2.569442840187234</v>
      </c>
      <c r="BD102" s="118">
        <f t="shared" si="146"/>
        <v>2.565970698177872</v>
      </c>
      <c r="BE102" s="118">
        <f t="shared" si="146"/>
        <v>2.5626721632689788</v>
      </c>
      <c r="BF102" s="118">
        <f t="shared" si="146"/>
        <v>2.5595385551055294</v>
      </c>
      <c r="BG102" s="118">
        <f t="shared" si="146"/>
        <v>2.5565616273502529</v>
      </c>
      <c r="BH102" s="118">
        <f t="shared" si="146"/>
        <v>2.5537335459827402</v>
      </c>
      <c r="BI102" s="118">
        <f t="shared" si="146"/>
        <v>2.5510468686836036</v>
      </c>
      <c r="BJ102" s="118">
        <f t="shared" si="146"/>
        <v>2.5484945252494233</v>
      </c>
      <c r="BK102" s="118">
        <f t="shared" si="146"/>
        <v>2.5460697989869523</v>
      </c>
      <c r="BL102" s="118">
        <f t="shared" si="146"/>
        <v>2.5437663090376046</v>
      </c>
      <c r="BM102" s="118">
        <f t="shared" si="146"/>
        <v>2.5415779935857241</v>
      </c>
      <c r="BN102" s="118">
        <f t="shared" si="146"/>
        <v>2.5394990939064384</v>
      </c>
      <c r="BO102" s="118">
        <f t="shared" ref="BO102:BV102" si="147">+SUM(BO103:BO108)</f>
        <v>2.5375241392111163</v>
      </c>
      <c r="BP102" s="118">
        <f t="shared" si="147"/>
        <v>2.5356479322505603</v>
      </c>
      <c r="BQ102" s="118">
        <f t="shared" si="147"/>
        <v>2.5338655356380322</v>
      </c>
      <c r="BR102" s="118">
        <f t="shared" si="147"/>
        <v>2.5321722588561308</v>
      </c>
      <c r="BS102" s="118">
        <f t="shared" si="147"/>
        <v>2.5305636459133245</v>
      </c>
      <c r="BT102" s="118">
        <f t="shared" si="147"/>
        <v>2.5290354636176584</v>
      </c>
      <c r="BU102" s="118">
        <f t="shared" si="147"/>
        <v>2.5275836904367752</v>
      </c>
      <c r="BV102" s="118">
        <f t="shared" si="147"/>
        <v>2.5262045059149365</v>
      </c>
    </row>
    <row r="103" spans="2:74" s="125" customFormat="1" ht="15.75" hidden="1" customHeight="1" outlineLevel="1" x14ac:dyDescent="0.2">
      <c r="B103" s="126" t="s">
        <v>60</v>
      </c>
      <c r="C103" s="78">
        <v>1</v>
      </c>
      <c r="D103" s="79">
        <v>1</v>
      </c>
      <c r="E103" s="80">
        <v>1</v>
      </c>
      <c r="F103" s="80">
        <v>1</v>
      </c>
      <c r="G103" s="80">
        <v>1</v>
      </c>
      <c r="H103" s="80">
        <v>1</v>
      </c>
      <c r="I103" s="80">
        <v>1</v>
      </c>
      <c r="J103" s="80">
        <v>1</v>
      </c>
      <c r="K103" s="80">
        <v>1</v>
      </c>
      <c r="L103" s="80">
        <v>1</v>
      </c>
      <c r="M103" s="80">
        <v>1</v>
      </c>
      <c r="N103" s="80">
        <v>1</v>
      </c>
      <c r="O103" s="80">
        <v>1</v>
      </c>
      <c r="P103" s="80">
        <v>1</v>
      </c>
      <c r="Q103" s="80">
        <v>1</v>
      </c>
      <c r="R103" s="80">
        <v>1</v>
      </c>
      <c r="S103" s="80">
        <v>1</v>
      </c>
      <c r="T103" s="80">
        <v>1</v>
      </c>
      <c r="U103" s="80">
        <v>1</v>
      </c>
      <c r="V103" s="80">
        <v>1</v>
      </c>
      <c r="W103" s="80">
        <v>1</v>
      </c>
      <c r="X103" s="80">
        <v>1</v>
      </c>
      <c r="Y103" s="80">
        <v>1</v>
      </c>
      <c r="Z103" s="80">
        <v>1</v>
      </c>
      <c r="AA103" s="80">
        <v>1</v>
      </c>
      <c r="AB103" s="80">
        <v>1</v>
      </c>
      <c r="AC103" s="80">
        <v>1</v>
      </c>
      <c r="AD103" s="80">
        <v>1</v>
      </c>
      <c r="AE103" s="80">
        <v>1</v>
      </c>
      <c r="AF103" s="80">
        <v>1</v>
      </c>
      <c r="AG103" s="80">
        <v>1</v>
      </c>
      <c r="AH103" s="80">
        <v>1</v>
      </c>
      <c r="AI103" s="80">
        <v>1</v>
      </c>
      <c r="AJ103" s="80">
        <v>1</v>
      </c>
      <c r="AK103" s="80">
        <v>1</v>
      </c>
      <c r="AL103" s="80">
        <v>1</v>
      </c>
      <c r="AM103" s="80">
        <v>1</v>
      </c>
      <c r="AN103" s="80">
        <v>1</v>
      </c>
      <c r="AO103" s="80">
        <v>1</v>
      </c>
      <c r="AP103" s="80">
        <v>1</v>
      </c>
      <c r="AQ103" s="80">
        <v>1</v>
      </c>
      <c r="AR103" s="80">
        <v>1</v>
      </c>
      <c r="AS103" s="80">
        <v>1</v>
      </c>
      <c r="AT103" s="80">
        <v>1</v>
      </c>
      <c r="AU103" s="80">
        <v>1</v>
      </c>
      <c r="AV103" s="80">
        <v>1</v>
      </c>
      <c r="AW103" s="80">
        <v>1</v>
      </c>
      <c r="AX103" s="80">
        <v>1</v>
      </c>
      <c r="AY103" s="80">
        <v>1</v>
      </c>
      <c r="AZ103" s="80">
        <v>1</v>
      </c>
      <c r="BA103" s="80">
        <v>1</v>
      </c>
      <c r="BB103" s="80">
        <v>1</v>
      </c>
      <c r="BC103" s="80">
        <v>1</v>
      </c>
      <c r="BD103" s="80">
        <v>1</v>
      </c>
      <c r="BE103" s="80">
        <v>1</v>
      </c>
      <c r="BF103" s="80">
        <v>1</v>
      </c>
      <c r="BG103" s="80">
        <v>1</v>
      </c>
      <c r="BH103" s="80">
        <v>1</v>
      </c>
      <c r="BI103" s="80">
        <v>1</v>
      </c>
      <c r="BJ103" s="80">
        <v>1</v>
      </c>
      <c r="BK103" s="80">
        <v>1</v>
      </c>
      <c r="BL103" s="80">
        <v>1</v>
      </c>
      <c r="BM103" s="80">
        <v>1</v>
      </c>
      <c r="BN103" s="80">
        <v>1</v>
      </c>
      <c r="BO103" s="80">
        <v>1</v>
      </c>
      <c r="BP103" s="80">
        <v>1</v>
      </c>
      <c r="BQ103" s="80">
        <v>1</v>
      </c>
      <c r="BR103" s="80">
        <v>1</v>
      </c>
      <c r="BS103" s="80">
        <v>1</v>
      </c>
      <c r="BT103" s="80">
        <v>1</v>
      </c>
      <c r="BU103" s="80">
        <v>1</v>
      </c>
      <c r="BV103" s="80">
        <v>1</v>
      </c>
    </row>
    <row r="104" spans="2:74" s="125" customFormat="1" ht="15.75" hidden="1" customHeight="1" outlineLevel="1" x14ac:dyDescent="0.2">
      <c r="B104" s="126" t="s">
        <v>61</v>
      </c>
      <c r="C104" s="81">
        <v>0.5</v>
      </c>
      <c r="D104" s="82">
        <v>0.5</v>
      </c>
      <c r="E104" s="83">
        <v>0.5</v>
      </c>
      <c r="F104" s="83">
        <v>0.5</v>
      </c>
      <c r="G104" s="83">
        <v>0.5</v>
      </c>
      <c r="H104" s="83">
        <v>0.5</v>
      </c>
      <c r="I104" s="83">
        <v>0.5</v>
      </c>
      <c r="J104" s="83">
        <v>0.5</v>
      </c>
      <c r="K104" s="83">
        <v>0.5</v>
      </c>
      <c r="L104" s="83">
        <v>0.5</v>
      </c>
      <c r="M104" s="83">
        <v>0.5</v>
      </c>
      <c r="N104" s="83">
        <v>0.5</v>
      </c>
      <c r="O104" s="83">
        <v>0.5</v>
      </c>
      <c r="P104" s="83">
        <v>0.5</v>
      </c>
      <c r="Q104" s="83">
        <v>0.5</v>
      </c>
      <c r="R104" s="83">
        <v>0.5</v>
      </c>
      <c r="S104" s="83">
        <v>0.5</v>
      </c>
      <c r="T104" s="83">
        <v>0.5</v>
      </c>
      <c r="U104" s="83">
        <v>0.5</v>
      </c>
      <c r="V104" s="83">
        <v>0.5</v>
      </c>
      <c r="W104" s="83">
        <v>0.5</v>
      </c>
      <c r="X104" s="83">
        <v>0.5</v>
      </c>
      <c r="Y104" s="83">
        <v>0.5</v>
      </c>
      <c r="Z104" s="83">
        <v>0.5</v>
      </c>
      <c r="AA104" s="83">
        <v>0.5</v>
      </c>
      <c r="AB104" s="83">
        <v>0.5</v>
      </c>
      <c r="AC104" s="83">
        <v>0.5</v>
      </c>
      <c r="AD104" s="83">
        <v>0.5</v>
      </c>
      <c r="AE104" s="83">
        <v>0.5</v>
      </c>
      <c r="AF104" s="83">
        <v>0.5</v>
      </c>
      <c r="AG104" s="83">
        <v>0.5</v>
      </c>
      <c r="AH104" s="83">
        <v>0.5</v>
      </c>
      <c r="AI104" s="83">
        <v>0.5</v>
      </c>
      <c r="AJ104" s="83">
        <v>0.5</v>
      </c>
      <c r="AK104" s="83">
        <v>0.5</v>
      </c>
      <c r="AL104" s="83">
        <v>0.5</v>
      </c>
      <c r="AM104" s="83">
        <v>0.5</v>
      </c>
      <c r="AN104" s="83">
        <v>0.5</v>
      </c>
      <c r="AO104" s="83">
        <v>0.5</v>
      </c>
      <c r="AP104" s="83">
        <v>0.5</v>
      </c>
      <c r="AQ104" s="83">
        <v>0.5</v>
      </c>
      <c r="AR104" s="83">
        <v>0.5</v>
      </c>
      <c r="AS104" s="83">
        <v>0.5</v>
      </c>
      <c r="AT104" s="83">
        <v>0.5</v>
      </c>
      <c r="AU104" s="83">
        <v>0.5</v>
      </c>
      <c r="AV104" s="83">
        <v>0.5</v>
      </c>
      <c r="AW104" s="83">
        <v>0.5</v>
      </c>
      <c r="AX104" s="83">
        <v>0.5</v>
      </c>
      <c r="AY104" s="83">
        <v>0.5</v>
      </c>
      <c r="AZ104" s="83">
        <v>0.5</v>
      </c>
      <c r="BA104" s="83">
        <v>0.5</v>
      </c>
      <c r="BB104" s="83">
        <v>0.5</v>
      </c>
      <c r="BC104" s="83">
        <v>0.5</v>
      </c>
      <c r="BD104" s="83">
        <v>0.5</v>
      </c>
      <c r="BE104" s="83">
        <v>0.5</v>
      </c>
      <c r="BF104" s="83">
        <v>0.5</v>
      </c>
      <c r="BG104" s="83">
        <v>0.5</v>
      </c>
      <c r="BH104" s="83">
        <v>0.5</v>
      </c>
      <c r="BI104" s="83">
        <v>0.5</v>
      </c>
      <c r="BJ104" s="83">
        <v>0.5</v>
      </c>
      <c r="BK104" s="83">
        <v>0.5</v>
      </c>
      <c r="BL104" s="83">
        <v>0.5</v>
      </c>
      <c r="BM104" s="83">
        <v>0.5</v>
      </c>
      <c r="BN104" s="83">
        <v>0.5</v>
      </c>
      <c r="BO104" s="83">
        <v>0.5</v>
      </c>
      <c r="BP104" s="83">
        <v>0.5</v>
      </c>
      <c r="BQ104" s="83">
        <v>0.5</v>
      </c>
      <c r="BR104" s="83">
        <v>0.5</v>
      </c>
      <c r="BS104" s="83">
        <v>0.5</v>
      </c>
      <c r="BT104" s="83">
        <v>0.5</v>
      </c>
      <c r="BU104" s="83">
        <v>0.5</v>
      </c>
      <c r="BV104" s="83">
        <v>0.5</v>
      </c>
    </row>
    <row r="105" spans="2:74" s="125" customFormat="1" ht="15.75" hidden="1" customHeight="1" outlineLevel="1" x14ac:dyDescent="0.2">
      <c r="B105" s="126" t="s">
        <v>62</v>
      </c>
      <c r="C105" s="81">
        <v>1</v>
      </c>
      <c r="D105" s="82">
        <f t="shared" ref="D105:AI105" si="148">+C105*0.95</f>
        <v>0.95</v>
      </c>
      <c r="E105" s="83">
        <f t="shared" si="148"/>
        <v>0.90249999999999997</v>
      </c>
      <c r="F105" s="83">
        <f t="shared" si="148"/>
        <v>0.85737499999999989</v>
      </c>
      <c r="G105" s="83">
        <f t="shared" si="148"/>
        <v>0.81450624999999988</v>
      </c>
      <c r="H105" s="83">
        <f t="shared" si="148"/>
        <v>0.77378093749999988</v>
      </c>
      <c r="I105" s="83">
        <f t="shared" si="148"/>
        <v>0.7350918906249998</v>
      </c>
      <c r="J105" s="83">
        <f t="shared" si="148"/>
        <v>0.69833729609374973</v>
      </c>
      <c r="K105" s="83">
        <f t="shared" si="148"/>
        <v>0.66342043128906225</v>
      </c>
      <c r="L105" s="83">
        <f t="shared" si="148"/>
        <v>0.63024940972460908</v>
      </c>
      <c r="M105" s="83">
        <f t="shared" si="148"/>
        <v>0.59873693923837856</v>
      </c>
      <c r="N105" s="83">
        <f t="shared" si="148"/>
        <v>0.56880009227645956</v>
      </c>
      <c r="O105" s="83">
        <f t="shared" si="148"/>
        <v>0.54036008766263655</v>
      </c>
      <c r="P105" s="83">
        <f t="shared" si="148"/>
        <v>0.5133420832795047</v>
      </c>
      <c r="Q105" s="83">
        <f t="shared" si="148"/>
        <v>0.48767497911552943</v>
      </c>
      <c r="R105" s="83">
        <f t="shared" si="148"/>
        <v>0.46329123015975293</v>
      </c>
      <c r="S105" s="83">
        <f t="shared" si="148"/>
        <v>0.44012666865176525</v>
      </c>
      <c r="T105" s="83">
        <f t="shared" si="148"/>
        <v>0.41812033521917696</v>
      </c>
      <c r="U105" s="83">
        <f t="shared" si="148"/>
        <v>0.39721431845821809</v>
      </c>
      <c r="V105" s="83">
        <f t="shared" si="148"/>
        <v>0.37735360253530714</v>
      </c>
      <c r="W105" s="83">
        <f t="shared" si="148"/>
        <v>0.35848592240854177</v>
      </c>
      <c r="X105" s="83">
        <f t="shared" si="148"/>
        <v>0.34056162628811465</v>
      </c>
      <c r="Y105" s="83">
        <f t="shared" si="148"/>
        <v>0.3235335449737089</v>
      </c>
      <c r="Z105" s="83">
        <f t="shared" si="148"/>
        <v>0.30735686772502346</v>
      </c>
      <c r="AA105" s="83">
        <f t="shared" si="148"/>
        <v>0.29198902433877227</v>
      </c>
      <c r="AB105" s="83">
        <f t="shared" si="148"/>
        <v>0.27738957312183365</v>
      </c>
      <c r="AC105" s="83">
        <f t="shared" si="148"/>
        <v>0.26352009446574198</v>
      </c>
      <c r="AD105" s="83">
        <f t="shared" si="148"/>
        <v>0.25034408974245487</v>
      </c>
      <c r="AE105" s="83">
        <f t="shared" si="148"/>
        <v>0.2378268852553321</v>
      </c>
      <c r="AF105" s="83">
        <f t="shared" si="148"/>
        <v>0.22593554099256549</v>
      </c>
      <c r="AG105" s="83">
        <f t="shared" si="148"/>
        <v>0.21463876394293721</v>
      </c>
      <c r="AH105" s="83">
        <f t="shared" si="148"/>
        <v>0.20390682574579033</v>
      </c>
      <c r="AI105" s="83">
        <f t="shared" si="148"/>
        <v>0.19371148445850081</v>
      </c>
      <c r="AJ105" s="83">
        <f t="shared" ref="AJ105:BO105" si="149">+AI105*0.95</f>
        <v>0.18402591023557577</v>
      </c>
      <c r="AK105" s="83">
        <f t="shared" si="149"/>
        <v>0.17482461472379698</v>
      </c>
      <c r="AL105" s="83">
        <f t="shared" si="149"/>
        <v>0.16608338398760714</v>
      </c>
      <c r="AM105" s="83">
        <f t="shared" si="149"/>
        <v>0.15777921478822676</v>
      </c>
      <c r="AN105" s="83">
        <f t="shared" si="149"/>
        <v>0.14989025404881542</v>
      </c>
      <c r="AO105" s="83">
        <f t="shared" si="149"/>
        <v>0.14239574134637464</v>
      </c>
      <c r="AP105" s="83">
        <f t="shared" si="149"/>
        <v>0.13527595427905589</v>
      </c>
      <c r="AQ105" s="83">
        <f t="shared" si="149"/>
        <v>0.12851215656510309</v>
      </c>
      <c r="AR105" s="83">
        <f t="shared" si="149"/>
        <v>0.12208654873684793</v>
      </c>
      <c r="AS105" s="83">
        <f t="shared" si="149"/>
        <v>0.11598222130000553</v>
      </c>
      <c r="AT105" s="83">
        <f t="shared" si="149"/>
        <v>0.11018311023500525</v>
      </c>
      <c r="AU105" s="83">
        <f t="shared" si="149"/>
        <v>0.10467395472325498</v>
      </c>
      <c r="AV105" s="83">
        <f t="shared" si="149"/>
        <v>9.9440256987092232E-2</v>
      </c>
      <c r="AW105" s="83">
        <f t="shared" si="149"/>
        <v>9.446824413773762E-2</v>
      </c>
      <c r="AX105" s="83">
        <f t="shared" si="149"/>
        <v>8.9744831930850741E-2</v>
      </c>
      <c r="AY105" s="83">
        <f t="shared" si="149"/>
        <v>8.52575903343082E-2</v>
      </c>
      <c r="AZ105" s="83">
        <f t="shared" si="149"/>
        <v>8.0994710817592783E-2</v>
      </c>
      <c r="BA105" s="83">
        <f t="shared" si="149"/>
        <v>7.6944975276713137E-2</v>
      </c>
      <c r="BB105" s="83">
        <f t="shared" si="149"/>
        <v>7.3097726512877478E-2</v>
      </c>
      <c r="BC105" s="83">
        <f t="shared" si="149"/>
        <v>6.9442840187233595E-2</v>
      </c>
      <c r="BD105" s="83">
        <f t="shared" si="149"/>
        <v>6.5970698177871906E-2</v>
      </c>
      <c r="BE105" s="83">
        <f t="shared" si="149"/>
        <v>6.2672163268978301E-2</v>
      </c>
      <c r="BF105" s="83">
        <f t="shared" si="149"/>
        <v>5.9538555105529384E-2</v>
      </c>
      <c r="BG105" s="83">
        <f t="shared" si="149"/>
        <v>5.6561627350252913E-2</v>
      </c>
      <c r="BH105" s="83">
        <f t="shared" si="149"/>
        <v>5.3733545982740265E-2</v>
      </c>
      <c r="BI105" s="83">
        <f t="shared" si="149"/>
        <v>5.1046868683603253E-2</v>
      </c>
      <c r="BJ105" s="83">
        <f t="shared" si="149"/>
        <v>4.849452524942309E-2</v>
      </c>
      <c r="BK105" s="83">
        <f t="shared" si="149"/>
        <v>4.6069798986951932E-2</v>
      </c>
      <c r="BL105" s="83">
        <f t="shared" si="149"/>
        <v>4.3766309037604333E-2</v>
      </c>
      <c r="BM105" s="83">
        <f t="shared" si="149"/>
        <v>4.1577993585724116E-2</v>
      </c>
      <c r="BN105" s="83">
        <f t="shared" si="149"/>
        <v>3.949909390643791E-2</v>
      </c>
      <c r="BO105" s="83">
        <f t="shared" si="149"/>
        <v>3.7524139211116012E-2</v>
      </c>
      <c r="BP105" s="83">
        <f t="shared" ref="BP105:BV105" si="150">+BO105*0.95</f>
        <v>3.5647932250560212E-2</v>
      </c>
      <c r="BQ105" s="83">
        <f t="shared" si="150"/>
        <v>3.3865535638032199E-2</v>
      </c>
      <c r="BR105" s="83">
        <f t="shared" si="150"/>
        <v>3.2172258856130585E-2</v>
      </c>
      <c r="BS105" s="83">
        <f t="shared" si="150"/>
        <v>3.0563645913324056E-2</v>
      </c>
      <c r="BT105" s="83">
        <f t="shared" si="150"/>
        <v>2.9035463617657853E-2</v>
      </c>
      <c r="BU105" s="83">
        <f t="shared" si="150"/>
        <v>2.7583690436774957E-2</v>
      </c>
      <c r="BV105" s="83">
        <f t="shared" si="150"/>
        <v>2.620450591493621E-2</v>
      </c>
    </row>
    <row r="106" spans="2:74" s="125" customFormat="1" ht="15.75" hidden="1" customHeight="1" outlineLevel="1" x14ac:dyDescent="0.2">
      <c r="B106" s="126" t="s">
        <v>63</v>
      </c>
      <c r="C106" s="81">
        <v>0.8</v>
      </c>
      <c r="D106" s="82">
        <v>0.8</v>
      </c>
      <c r="E106" s="83">
        <v>0.8</v>
      </c>
      <c r="F106" s="83">
        <v>0.8</v>
      </c>
      <c r="G106" s="83">
        <v>0.8</v>
      </c>
      <c r="H106" s="83">
        <v>0.8</v>
      </c>
      <c r="I106" s="83">
        <v>0.8</v>
      </c>
      <c r="J106" s="83">
        <v>0.8</v>
      </c>
      <c r="K106" s="83">
        <v>0.8</v>
      </c>
      <c r="L106" s="83">
        <v>0.8</v>
      </c>
      <c r="M106" s="83">
        <v>0.8</v>
      </c>
      <c r="N106" s="83">
        <v>0.8</v>
      </c>
      <c r="O106" s="83">
        <v>0.8</v>
      </c>
      <c r="P106" s="83">
        <v>0.8</v>
      </c>
      <c r="Q106" s="83">
        <v>0.8</v>
      </c>
      <c r="R106" s="83">
        <v>0.8</v>
      </c>
      <c r="S106" s="83">
        <v>0.8</v>
      </c>
      <c r="T106" s="83">
        <v>0.8</v>
      </c>
      <c r="U106" s="83">
        <v>0.8</v>
      </c>
      <c r="V106" s="83">
        <v>0.8</v>
      </c>
      <c r="W106" s="83">
        <v>0.8</v>
      </c>
      <c r="X106" s="83">
        <v>0.8</v>
      </c>
      <c r="Y106" s="83">
        <v>0.8</v>
      </c>
      <c r="Z106" s="83">
        <v>0.8</v>
      </c>
      <c r="AA106" s="83">
        <v>0.8</v>
      </c>
      <c r="AB106" s="83">
        <v>0.8</v>
      </c>
      <c r="AC106" s="83">
        <v>0.8</v>
      </c>
      <c r="AD106" s="83">
        <v>0.8</v>
      </c>
      <c r="AE106" s="83">
        <v>0.8</v>
      </c>
      <c r="AF106" s="83">
        <v>0.8</v>
      </c>
      <c r="AG106" s="83">
        <v>0.8</v>
      </c>
      <c r="AH106" s="83">
        <v>0.8</v>
      </c>
      <c r="AI106" s="83">
        <v>0.8</v>
      </c>
      <c r="AJ106" s="83">
        <v>0.8</v>
      </c>
      <c r="AK106" s="83">
        <v>0.8</v>
      </c>
      <c r="AL106" s="83">
        <v>0.8</v>
      </c>
      <c r="AM106" s="83">
        <v>0.8</v>
      </c>
      <c r="AN106" s="83">
        <v>0.8</v>
      </c>
      <c r="AO106" s="83">
        <v>0.8</v>
      </c>
      <c r="AP106" s="83">
        <v>0.8</v>
      </c>
      <c r="AQ106" s="83">
        <v>0.8</v>
      </c>
      <c r="AR106" s="83">
        <v>0.8</v>
      </c>
      <c r="AS106" s="83">
        <v>0.8</v>
      </c>
      <c r="AT106" s="83">
        <v>0.8</v>
      </c>
      <c r="AU106" s="83">
        <v>0.8</v>
      </c>
      <c r="AV106" s="83">
        <v>0.8</v>
      </c>
      <c r="AW106" s="83">
        <v>0.8</v>
      </c>
      <c r="AX106" s="83">
        <v>0.8</v>
      </c>
      <c r="AY106" s="83">
        <v>0.8</v>
      </c>
      <c r="AZ106" s="83">
        <v>0.8</v>
      </c>
      <c r="BA106" s="83">
        <v>0.8</v>
      </c>
      <c r="BB106" s="83">
        <v>0.8</v>
      </c>
      <c r="BC106" s="83">
        <v>0.8</v>
      </c>
      <c r="BD106" s="83">
        <v>0.8</v>
      </c>
      <c r="BE106" s="83">
        <v>0.8</v>
      </c>
      <c r="BF106" s="83">
        <v>0.8</v>
      </c>
      <c r="BG106" s="83">
        <v>0.8</v>
      </c>
      <c r="BH106" s="83">
        <v>0.8</v>
      </c>
      <c r="BI106" s="83">
        <v>0.8</v>
      </c>
      <c r="BJ106" s="83">
        <v>0.8</v>
      </c>
      <c r="BK106" s="83">
        <v>0.8</v>
      </c>
      <c r="BL106" s="83">
        <v>0.8</v>
      </c>
      <c r="BM106" s="83">
        <v>0.8</v>
      </c>
      <c r="BN106" s="83">
        <v>0.8</v>
      </c>
      <c r="BO106" s="83">
        <v>0.8</v>
      </c>
      <c r="BP106" s="83">
        <v>0.8</v>
      </c>
      <c r="BQ106" s="83">
        <v>0.8</v>
      </c>
      <c r="BR106" s="83">
        <v>0.8</v>
      </c>
      <c r="BS106" s="83">
        <v>0.8</v>
      </c>
      <c r="BT106" s="83">
        <v>0.8</v>
      </c>
      <c r="BU106" s="83">
        <v>0.8</v>
      </c>
      <c r="BV106" s="83">
        <v>0.8</v>
      </c>
    </row>
    <row r="107" spans="2:74" s="125" customFormat="1" ht="15.75" hidden="1" customHeight="1" outlineLevel="1" x14ac:dyDescent="0.2">
      <c r="B107" s="126" t="s">
        <v>143</v>
      </c>
      <c r="C107" s="81">
        <v>0</v>
      </c>
      <c r="D107" s="82">
        <v>0</v>
      </c>
      <c r="E107" s="83">
        <v>0</v>
      </c>
      <c r="F107" s="83">
        <v>0</v>
      </c>
      <c r="G107" s="83">
        <v>0</v>
      </c>
      <c r="H107" s="83">
        <v>0</v>
      </c>
      <c r="I107" s="83">
        <v>0</v>
      </c>
      <c r="J107" s="83">
        <v>0</v>
      </c>
      <c r="K107" s="83">
        <v>0</v>
      </c>
      <c r="L107" s="83">
        <v>0</v>
      </c>
      <c r="M107" s="83">
        <v>0</v>
      </c>
      <c r="N107" s="83">
        <v>0</v>
      </c>
      <c r="O107" s="83">
        <v>0</v>
      </c>
      <c r="P107" s="83">
        <v>0</v>
      </c>
      <c r="Q107" s="83">
        <v>0</v>
      </c>
      <c r="R107" s="83">
        <v>0</v>
      </c>
      <c r="S107" s="83">
        <v>0</v>
      </c>
      <c r="T107" s="83">
        <v>0</v>
      </c>
      <c r="U107" s="83">
        <v>0</v>
      </c>
      <c r="V107" s="83">
        <v>0</v>
      </c>
      <c r="W107" s="83">
        <v>0</v>
      </c>
      <c r="X107" s="83">
        <v>0</v>
      </c>
      <c r="Y107" s="83">
        <v>0</v>
      </c>
      <c r="Z107" s="83">
        <v>0</v>
      </c>
      <c r="AA107" s="83">
        <v>0</v>
      </c>
      <c r="AB107" s="83">
        <v>0</v>
      </c>
      <c r="AC107" s="83">
        <v>0</v>
      </c>
      <c r="AD107" s="83">
        <v>0</v>
      </c>
      <c r="AE107" s="83">
        <v>0</v>
      </c>
      <c r="AF107" s="83">
        <v>0</v>
      </c>
      <c r="AG107" s="83">
        <v>0</v>
      </c>
      <c r="AH107" s="83">
        <v>0</v>
      </c>
      <c r="AI107" s="83">
        <v>0</v>
      </c>
      <c r="AJ107" s="83">
        <v>0</v>
      </c>
      <c r="AK107" s="83">
        <v>0</v>
      </c>
      <c r="AL107" s="83">
        <v>0</v>
      </c>
      <c r="AM107" s="83">
        <v>0</v>
      </c>
      <c r="AN107" s="83">
        <v>0</v>
      </c>
      <c r="AO107" s="83">
        <v>0</v>
      </c>
      <c r="AP107" s="83">
        <v>0</v>
      </c>
      <c r="AQ107" s="83">
        <v>0</v>
      </c>
      <c r="AR107" s="83">
        <v>0</v>
      </c>
      <c r="AS107" s="83">
        <v>0</v>
      </c>
      <c r="AT107" s="83">
        <v>0</v>
      </c>
      <c r="AU107" s="83">
        <v>0</v>
      </c>
      <c r="AV107" s="83">
        <v>0</v>
      </c>
      <c r="AW107" s="83">
        <v>0</v>
      </c>
      <c r="AX107" s="83">
        <v>0</v>
      </c>
      <c r="AY107" s="83">
        <v>0</v>
      </c>
      <c r="AZ107" s="83">
        <v>0</v>
      </c>
      <c r="BA107" s="83">
        <v>0</v>
      </c>
      <c r="BB107" s="83">
        <v>0</v>
      </c>
      <c r="BC107" s="83">
        <v>0</v>
      </c>
      <c r="BD107" s="83">
        <v>0</v>
      </c>
      <c r="BE107" s="83">
        <v>0</v>
      </c>
      <c r="BF107" s="83">
        <v>0</v>
      </c>
      <c r="BG107" s="83">
        <v>0</v>
      </c>
      <c r="BH107" s="83">
        <v>0</v>
      </c>
      <c r="BI107" s="83">
        <v>0</v>
      </c>
      <c r="BJ107" s="83">
        <v>0</v>
      </c>
      <c r="BK107" s="83">
        <v>0</v>
      </c>
      <c r="BL107" s="83">
        <v>0</v>
      </c>
      <c r="BM107" s="83">
        <v>0</v>
      </c>
      <c r="BN107" s="83">
        <v>0</v>
      </c>
      <c r="BO107" s="83">
        <v>0</v>
      </c>
      <c r="BP107" s="83">
        <v>0</v>
      </c>
      <c r="BQ107" s="83">
        <v>0</v>
      </c>
      <c r="BR107" s="83">
        <v>0</v>
      </c>
      <c r="BS107" s="83">
        <v>0</v>
      </c>
      <c r="BT107" s="83">
        <v>0</v>
      </c>
      <c r="BU107" s="83">
        <v>0</v>
      </c>
      <c r="BV107" s="83">
        <v>0</v>
      </c>
    </row>
    <row r="108" spans="2:74" s="125" customFormat="1" ht="15.75" hidden="1" customHeight="1" outlineLevel="1" thickBot="1" x14ac:dyDescent="0.25">
      <c r="B108" s="126" t="s">
        <v>65</v>
      </c>
      <c r="C108" s="84">
        <v>0.2</v>
      </c>
      <c r="D108" s="85">
        <v>0.2</v>
      </c>
      <c r="E108" s="86">
        <v>0.2</v>
      </c>
      <c r="F108" s="86">
        <v>0.2</v>
      </c>
      <c r="G108" s="86">
        <v>0.2</v>
      </c>
      <c r="H108" s="86">
        <v>0.2</v>
      </c>
      <c r="I108" s="86">
        <v>0.2</v>
      </c>
      <c r="J108" s="86">
        <v>0.2</v>
      </c>
      <c r="K108" s="86">
        <v>0.2</v>
      </c>
      <c r="L108" s="86">
        <v>0.2</v>
      </c>
      <c r="M108" s="86">
        <v>0.2</v>
      </c>
      <c r="N108" s="86">
        <v>0.2</v>
      </c>
      <c r="O108" s="86">
        <v>0.2</v>
      </c>
      <c r="P108" s="86">
        <v>0.2</v>
      </c>
      <c r="Q108" s="86">
        <v>0.2</v>
      </c>
      <c r="R108" s="86">
        <v>0.2</v>
      </c>
      <c r="S108" s="86">
        <v>0.2</v>
      </c>
      <c r="T108" s="86">
        <v>0.2</v>
      </c>
      <c r="U108" s="86">
        <v>0.2</v>
      </c>
      <c r="V108" s="86">
        <v>0.2</v>
      </c>
      <c r="W108" s="86">
        <v>0.2</v>
      </c>
      <c r="X108" s="86">
        <v>0.2</v>
      </c>
      <c r="Y108" s="86">
        <v>0.2</v>
      </c>
      <c r="Z108" s="86">
        <v>0.2</v>
      </c>
      <c r="AA108" s="86">
        <v>0.2</v>
      </c>
      <c r="AB108" s="86">
        <v>0.2</v>
      </c>
      <c r="AC108" s="86">
        <v>0.2</v>
      </c>
      <c r="AD108" s="86">
        <v>0.2</v>
      </c>
      <c r="AE108" s="86">
        <v>0.2</v>
      </c>
      <c r="AF108" s="86">
        <v>0.2</v>
      </c>
      <c r="AG108" s="86">
        <v>0.2</v>
      </c>
      <c r="AH108" s="86">
        <v>0.2</v>
      </c>
      <c r="AI108" s="86">
        <v>0.2</v>
      </c>
      <c r="AJ108" s="86">
        <v>0.2</v>
      </c>
      <c r="AK108" s="86">
        <v>0.2</v>
      </c>
      <c r="AL108" s="86">
        <v>0.2</v>
      </c>
      <c r="AM108" s="86">
        <v>0.2</v>
      </c>
      <c r="AN108" s="86">
        <v>0.2</v>
      </c>
      <c r="AO108" s="86">
        <v>0.2</v>
      </c>
      <c r="AP108" s="86">
        <v>0.2</v>
      </c>
      <c r="AQ108" s="86">
        <v>0.2</v>
      </c>
      <c r="AR108" s="86">
        <v>0.2</v>
      </c>
      <c r="AS108" s="86">
        <v>0.2</v>
      </c>
      <c r="AT108" s="86">
        <v>0.2</v>
      </c>
      <c r="AU108" s="86">
        <v>0.2</v>
      </c>
      <c r="AV108" s="86">
        <v>0.2</v>
      </c>
      <c r="AW108" s="86">
        <v>0.2</v>
      </c>
      <c r="AX108" s="86">
        <v>0.2</v>
      </c>
      <c r="AY108" s="86">
        <v>0.2</v>
      </c>
      <c r="AZ108" s="86">
        <v>0.2</v>
      </c>
      <c r="BA108" s="86">
        <v>0.2</v>
      </c>
      <c r="BB108" s="86">
        <v>0.2</v>
      </c>
      <c r="BC108" s="86">
        <v>0.2</v>
      </c>
      <c r="BD108" s="86">
        <v>0.2</v>
      </c>
      <c r="BE108" s="86">
        <v>0.2</v>
      </c>
      <c r="BF108" s="86">
        <v>0.2</v>
      </c>
      <c r="BG108" s="86">
        <v>0.2</v>
      </c>
      <c r="BH108" s="86">
        <v>0.2</v>
      </c>
      <c r="BI108" s="86">
        <v>0.2</v>
      </c>
      <c r="BJ108" s="86">
        <v>0.2</v>
      </c>
      <c r="BK108" s="86">
        <v>0.2</v>
      </c>
      <c r="BL108" s="86">
        <v>0.2</v>
      </c>
      <c r="BM108" s="86">
        <v>0.2</v>
      </c>
      <c r="BN108" s="86">
        <v>0.2</v>
      </c>
      <c r="BO108" s="86">
        <v>0.2</v>
      </c>
      <c r="BP108" s="86">
        <v>0.2</v>
      </c>
      <c r="BQ108" s="86">
        <v>0.2</v>
      </c>
      <c r="BR108" s="86">
        <v>0.2</v>
      </c>
      <c r="BS108" s="86">
        <v>0.2</v>
      </c>
      <c r="BT108" s="86">
        <v>0.2</v>
      </c>
      <c r="BU108" s="86">
        <v>0.2</v>
      </c>
      <c r="BV108" s="86">
        <v>0.2</v>
      </c>
    </row>
    <row r="109" spans="2:74" s="125" customFormat="1" ht="15.75" customHeight="1" collapsed="1" x14ac:dyDescent="0.2">
      <c r="B109" s="128" t="s">
        <v>84</v>
      </c>
      <c r="C109" s="156">
        <f t="shared" ref="C109:AH109" si="151">+C102*C$8</f>
        <v>36750</v>
      </c>
      <c r="D109" s="156">
        <f t="shared" si="151"/>
        <v>38122.5</v>
      </c>
      <c r="E109" s="156">
        <f t="shared" si="151"/>
        <v>39571.074999999997</v>
      </c>
      <c r="F109" s="156">
        <f t="shared" si="151"/>
        <v>41100.145406250005</v>
      </c>
      <c r="G109" s="156">
        <f t="shared" si="151"/>
        <v>42714.414925703124</v>
      </c>
      <c r="H109" s="156">
        <f t="shared" si="151"/>
        <v>44418.89097077871</v>
      </c>
      <c r="I109" s="156">
        <f t="shared" si="151"/>
        <v>46218.906708902286</v>
      </c>
      <c r="J109" s="156">
        <f t="shared" si="151"/>
        <v>48120.144901540465</v>
      </c>
      <c r="K109" s="156">
        <f t="shared" si="151"/>
        <v>50128.663690934009</v>
      </c>
      <c r="L109" s="156">
        <f t="shared" si="151"/>
        <v>52250.924507515927</v>
      </c>
      <c r="M109" s="156">
        <f t="shared" si="151"/>
        <v>54493.822287213152</v>
      </c>
      <c r="N109" s="156">
        <f t="shared" si="151"/>
        <v>56864.718205606987</v>
      </c>
      <c r="O109" s="156">
        <f t="shared" si="151"/>
        <v>59371.475155426619</v>
      </c>
      <c r="P109" s="156">
        <f t="shared" si="151"/>
        <v>62022.496215237712</v>
      </c>
      <c r="Q109" s="156">
        <f t="shared" si="151"/>
        <v>64826.766380652494</v>
      </c>
      <c r="R109" s="156">
        <f t="shared" si="151"/>
        <v>67793.897855132047</v>
      </c>
      <c r="S109" s="156">
        <f t="shared" si="151"/>
        <v>70934.179225701431</v>
      </c>
      <c r="T109" s="156">
        <f t="shared" si="151"/>
        <v>74258.628879899945</v>
      </c>
      <c r="U109" s="156">
        <f t="shared" si="151"/>
        <v>77779.053054314296</v>
      </c>
      <c r="V109" s="156">
        <f t="shared" si="151"/>
        <v>81508.108942390376</v>
      </c>
      <c r="W109" s="156">
        <f t="shared" si="151"/>
        <v>85459.373330217917</v>
      </c>
      <c r="X109" s="156">
        <f t="shared" si="151"/>
        <v>89647.417273991654</v>
      </c>
      <c r="Y109" s="156">
        <f t="shared" si="151"/>
        <v>94087.887382270841</v>
      </c>
      <c r="Z109" s="156">
        <f t="shared" si="151"/>
        <v>98797.5943204207</v>
      </c>
      <c r="AA109" s="156">
        <f t="shared" si="151"/>
        <v>103794.60921420544</v>
      </c>
      <c r="AB109" s="156">
        <f t="shared" si="151"/>
        <v>109098.36869493965</v>
      </c>
      <c r="AC109" s="156">
        <f t="shared" si="151"/>
        <v>114729.78940047216</v>
      </c>
      <c r="AD109" s="156">
        <f t="shared" si="151"/>
        <v>120711.39282521243</v>
      </c>
      <c r="AE109" s="156">
        <f t="shared" si="151"/>
        <v>127067.44149911564</v>
      </c>
      <c r="AF109" s="156">
        <f t="shared" si="151"/>
        <v>133824.08757078616</v>
      </c>
      <c r="AG109" s="156">
        <f t="shared" si="151"/>
        <v>141009.53497449253</v>
      </c>
      <c r="AH109" s="156">
        <f t="shared" si="151"/>
        <v>148654.21647583789</v>
      </c>
      <c r="AI109" s="156">
        <f t="shared" ref="AI109:BN109" si="152">+AI102*AI$8</f>
        <v>156790.98701712556</v>
      </c>
      <c r="AJ109" s="156">
        <f t="shared" si="152"/>
        <v>165455.33492222513</v>
      </c>
      <c r="AK109" s="156">
        <f t="shared" si="152"/>
        <v>174685.61267322101</v>
      </c>
      <c r="AL109" s="156">
        <f t="shared" si="152"/>
        <v>184523.2891386727</v>
      </c>
      <c r="AM109" s="156">
        <f t="shared" si="152"/>
        <v>195013.22531743717</v>
      </c>
      <c r="AN109" s="156">
        <f t="shared" si="152"/>
        <v>206203.97586434081</v>
      </c>
      <c r="AO109" s="156">
        <f t="shared" si="152"/>
        <v>218148.11888635842</v>
      </c>
      <c r="AP109" s="156">
        <f t="shared" si="152"/>
        <v>230902.6167423515</v>
      </c>
      <c r="AQ109" s="156">
        <f t="shared" si="152"/>
        <v>244529.2108480265</v>
      </c>
      <c r="AR109" s="156">
        <f t="shared" si="152"/>
        <v>259094.85378301059</v>
      </c>
      <c r="AS109" s="156">
        <f t="shared" si="152"/>
        <v>274672.18232145713</v>
      </c>
      <c r="AT109" s="156">
        <f t="shared" si="152"/>
        <v>291340.03536429798</v>
      </c>
      <c r="AU109" s="156">
        <f t="shared" si="152"/>
        <v>309184.02114336542</v>
      </c>
      <c r="AV109" s="156">
        <f t="shared" si="152"/>
        <v>328297.13849863928</v>
      </c>
      <c r="AW109" s="156">
        <f t="shared" si="152"/>
        <v>348780.45750370796</v>
      </c>
      <c r="AX109" s="156">
        <f t="shared" si="152"/>
        <v>370743.86523543636</v>
      </c>
      <c r="AY109" s="156">
        <f t="shared" si="152"/>
        <v>394306.88305649982</v>
      </c>
      <c r="AZ109" s="156">
        <f t="shared" si="152"/>
        <v>419599.56240902515</v>
      </c>
      <c r="BA109" s="156">
        <f t="shared" si="152"/>
        <v>446763.46680976247</v>
      </c>
      <c r="BB109" s="156">
        <f t="shared" si="152"/>
        <v>475952.74849822366</v>
      </c>
      <c r="BC109" s="156">
        <f t="shared" si="152"/>
        <v>507335.32902594126</v>
      </c>
      <c r="BD109" s="156">
        <f t="shared" si="152"/>
        <v>541094.1939949668</v>
      </c>
      <c r="BE109" s="156">
        <f t="shared" si="152"/>
        <v>577428.81316525035</v>
      </c>
      <c r="BF109" s="156">
        <f t="shared" si="152"/>
        <v>616556.69826274842</v>
      </c>
      <c r="BG109" s="156">
        <f t="shared" si="152"/>
        <v>658715.11204305536</v>
      </c>
      <c r="BH109" s="156">
        <f t="shared" si="152"/>
        <v>704162.94351007091</v>
      </c>
      <c r="BI109" s="156">
        <f t="shared" si="152"/>
        <v>753182.76566788543</v>
      </c>
      <c r="BJ109" s="156">
        <f t="shared" si="152"/>
        <v>806083.09381001757</v>
      </c>
      <c r="BK109" s="156">
        <f t="shared" si="152"/>
        <v>863200.86413811601</v>
      </c>
      <c r="BL109" s="156">
        <f t="shared" si="152"/>
        <v>924904.15446836269</v>
      </c>
      <c r="BM109" s="156">
        <f t="shared" si="152"/>
        <v>991595.17094593402</v>
      </c>
      <c r="BN109" s="156">
        <f t="shared" si="152"/>
        <v>1063713.5270654894</v>
      </c>
      <c r="BO109" s="156">
        <f t="shared" ref="BO109:BV109" si="153">+BO102*BO$8</f>
        <v>1141739.8439103328</v>
      </c>
      <c r="BP109" s="156">
        <f t="shared" si="153"/>
        <v>1226199.703398271</v>
      </c>
      <c r="BQ109" s="156">
        <f t="shared" si="153"/>
        <v>1317667.9894843209</v>
      </c>
      <c r="BR109" s="156">
        <f t="shared" si="153"/>
        <v>1416773.6557479131</v>
      </c>
      <c r="BS109" s="156">
        <f t="shared" si="153"/>
        <v>1524204.9616166323</v>
      </c>
      <c r="BT109" s="156">
        <f t="shared" si="153"/>
        <v>1640715.2236844222</v>
      </c>
      <c r="BU109" s="156">
        <f t="shared" si="153"/>
        <v>1767129.1332077144</v>
      </c>
      <c r="BV109" s="156">
        <f t="shared" si="153"/>
        <v>1904349.695950005</v>
      </c>
    </row>
    <row r="110" spans="2:74" s="125" customFormat="1" ht="15.75" hidden="1" customHeight="1" outlineLevel="1" x14ac:dyDescent="0.2">
      <c r="B110" s="126" t="s">
        <v>60</v>
      </c>
      <c r="C110" s="78">
        <f t="shared" ref="C110:AH110" si="154">+C103*C$8</f>
        <v>10500</v>
      </c>
      <c r="D110" s="79">
        <f t="shared" si="154"/>
        <v>11050</v>
      </c>
      <c r="E110" s="80">
        <f t="shared" si="154"/>
        <v>11630</v>
      </c>
      <c r="F110" s="80">
        <f t="shared" si="154"/>
        <v>12241.75</v>
      </c>
      <c r="G110" s="80">
        <f t="shared" si="154"/>
        <v>12887.112499999999</v>
      </c>
      <c r="H110" s="80">
        <f t="shared" si="154"/>
        <v>13568.070625</v>
      </c>
      <c r="I110" s="80">
        <f t="shared" si="154"/>
        <v>14286.736906250002</v>
      </c>
      <c r="J110" s="80">
        <f t="shared" si="154"/>
        <v>15045.362776562502</v>
      </c>
      <c r="K110" s="80">
        <f t="shared" si="154"/>
        <v>15846.348842890628</v>
      </c>
      <c r="L110" s="80">
        <f t="shared" si="154"/>
        <v>16692.256005285159</v>
      </c>
      <c r="M110" s="80">
        <f t="shared" si="154"/>
        <v>17585.817497824417</v>
      </c>
      <c r="N110" s="80">
        <f t="shared" si="154"/>
        <v>18529.951934218137</v>
      </c>
      <c r="O110" s="80">
        <f t="shared" si="154"/>
        <v>19527.777448581797</v>
      </c>
      <c r="P110" s="80">
        <f t="shared" si="154"/>
        <v>20582.627030428914</v>
      </c>
      <c r="Q110" s="80">
        <f t="shared" si="154"/>
        <v>21698.065162310188</v>
      </c>
      <c r="R110" s="80">
        <f t="shared" si="154"/>
        <v>22877.905878821508</v>
      </c>
      <c r="S110" s="80">
        <f t="shared" si="154"/>
        <v>24126.232376997978</v>
      </c>
      <c r="T110" s="80">
        <f t="shared" si="154"/>
        <v>25447.418320506808</v>
      </c>
      <c r="U110" s="80">
        <f t="shared" si="154"/>
        <v>26846.150993656971</v>
      </c>
      <c r="V110" s="80">
        <f t="shared" si="154"/>
        <v>28327.456476177129</v>
      </c>
      <c r="W110" s="80">
        <f t="shared" si="154"/>
        <v>29896.727026107023</v>
      </c>
      <c r="X110" s="80">
        <f t="shared" si="154"/>
        <v>31559.750876145514</v>
      </c>
      <c r="Y110" s="80">
        <f t="shared" si="154"/>
        <v>33322.744668559244</v>
      </c>
      <c r="Z110" s="80">
        <f t="shared" si="154"/>
        <v>35192.38877545431</v>
      </c>
      <c r="AA110" s="80">
        <f t="shared" si="154"/>
        <v>37175.865775040838</v>
      </c>
      <c r="AB110" s="80">
        <f t="shared" si="154"/>
        <v>39280.902380688065</v>
      </c>
      <c r="AC110" s="80">
        <f t="shared" si="154"/>
        <v>41515.815148307178</v>
      </c>
      <c r="AD110" s="80">
        <f t="shared" si="154"/>
        <v>43889.560319165721</v>
      </c>
      <c r="AE110" s="80">
        <f t="shared" si="154"/>
        <v>46411.788189911509</v>
      </c>
      <c r="AF110" s="80">
        <f t="shared" si="154"/>
        <v>49092.902439673329</v>
      </c>
      <c r="AG110" s="80">
        <f t="shared" si="154"/>
        <v>51944.124885949874</v>
      </c>
      <c r="AH110" s="80">
        <f t="shared" si="154"/>
        <v>54977.566186969532</v>
      </c>
      <c r="AI110" s="80">
        <f t="shared" ref="AI110:BN110" si="155">+AI103*AI$8</f>
        <v>58206.303058712387</v>
      </c>
      <c r="AJ110" s="80">
        <f t="shared" si="155"/>
        <v>61644.462630281829</v>
      </c>
      <c r="AK110" s="80">
        <f t="shared" si="155"/>
        <v>65307.314622293117</v>
      </c>
      <c r="AL110" s="80">
        <f t="shared" si="155"/>
        <v>69211.372099954693</v>
      </c>
      <c r="AM110" s="80">
        <f t="shared" si="155"/>
        <v>73374.501626154044</v>
      </c>
      <c r="AN110" s="80">
        <f t="shared" si="155"/>
        <v>77816.04372078352</v>
      </c>
      <c r="AO110" s="80">
        <f t="shared" si="155"/>
        <v>82556.94462147665</v>
      </c>
      <c r="AP110" s="80">
        <f t="shared" si="155"/>
        <v>87619.900438669836</v>
      </c>
      <c r="AQ110" s="80">
        <f t="shared" si="155"/>
        <v>93029.51490533461</v>
      </c>
      <c r="AR110" s="80">
        <f t="shared" si="155"/>
        <v>98812.472039805754</v>
      </c>
      <c r="AS110" s="80">
        <f t="shared" si="155"/>
        <v>104997.72516992089</v>
      </c>
      <c r="AT110" s="80">
        <f t="shared" si="155"/>
        <v>111616.70390935427</v>
      </c>
      <c r="AU110" s="80">
        <f t="shared" si="155"/>
        <v>118703.54083385304</v>
      </c>
      <c r="AV110" s="80">
        <f t="shared" si="155"/>
        <v>126295.31977747988</v>
      </c>
      <c r="AW110" s="80">
        <f t="shared" si="155"/>
        <v>134432.34785848146</v>
      </c>
      <c r="AX110" s="80">
        <f t="shared" si="155"/>
        <v>143158.45355274586</v>
      </c>
      <c r="AY110" s="80">
        <f t="shared" si="155"/>
        <v>152521.31336185755</v>
      </c>
      <c r="AZ110" s="80">
        <f t="shared" si="155"/>
        <v>162572.80987457227</v>
      </c>
      <c r="BA110" s="80">
        <f t="shared" si="155"/>
        <v>173369.42429738486</v>
      </c>
      <c r="BB110" s="80">
        <f t="shared" si="155"/>
        <v>184972.66683424651</v>
      </c>
      <c r="BC110" s="80">
        <f t="shared" si="155"/>
        <v>197449.5486301505</v>
      </c>
      <c r="BD110" s="80">
        <f t="shared" si="155"/>
        <v>210873.09936126883</v>
      </c>
      <c r="BE110" s="80">
        <f t="shared" si="155"/>
        <v>225322.93495890417</v>
      </c>
      <c r="BF110" s="80">
        <f t="shared" si="155"/>
        <v>240885.88039937842</v>
      </c>
      <c r="BG110" s="80">
        <f t="shared" si="155"/>
        <v>257656.65298112933</v>
      </c>
      <c r="BH110" s="80">
        <f t="shared" si="155"/>
        <v>275738.61204814597</v>
      </c>
      <c r="BI110" s="80">
        <f t="shared" si="155"/>
        <v>295244.58171030949</v>
      </c>
      <c r="BJ110" s="80">
        <f t="shared" si="155"/>
        <v>316297.75376155676</v>
      </c>
      <c r="BK110" s="80">
        <f t="shared" si="155"/>
        <v>339032.6787119396</v>
      </c>
      <c r="BL110" s="80">
        <f t="shared" si="155"/>
        <v>363596.35363607208</v>
      </c>
      <c r="BM110" s="80">
        <f t="shared" si="155"/>
        <v>390149.41640526475</v>
      </c>
      <c r="BN110" s="80">
        <f t="shared" si="155"/>
        <v>418867.45682165597</v>
      </c>
      <c r="BO110" s="80">
        <f t="shared" ref="BO110:BV110" si="156">+BO103*BO$8</f>
        <v>449942.45621847955</v>
      </c>
      <c r="BP110" s="80">
        <f t="shared" si="156"/>
        <v>483584.36824071832</v>
      </c>
      <c r="BQ110" s="80">
        <f t="shared" si="156"/>
        <v>520022.85478520056</v>
      </c>
      <c r="BR110" s="80">
        <f t="shared" si="156"/>
        <v>559509.19247015147</v>
      </c>
      <c r="BS110" s="80">
        <f t="shared" si="156"/>
        <v>602318.366533919</v>
      </c>
      <c r="BT110" s="80">
        <f t="shared" si="156"/>
        <v>648751.37074490101</v>
      </c>
      <c r="BU110" s="80">
        <f t="shared" si="156"/>
        <v>699137.7337548607</v>
      </c>
      <c r="BV110" s="80">
        <f t="shared" si="156"/>
        <v>753838.29436258995</v>
      </c>
    </row>
    <row r="111" spans="2:74" s="125" customFormat="1" ht="15.75" hidden="1" customHeight="1" outlineLevel="1" x14ac:dyDescent="0.2">
      <c r="B111" s="126" t="s">
        <v>61</v>
      </c>
      <c r="C111" s="81">
        <f t="shared" ref="C111:AH111" si="157">+C104*C$8</f>
        <v>5250</v>
      </c>
      <c r="D111" s="82">
        <f t="shared" si="157"/>
        <v>5525</v>
      </c>
      <c r="E111" s="83">
        <f t="shared" si="157"/>
        <v>5815</v>
      </c>
      <c r="F111" s="83">
        <f t="shared" si="157"/>
        <v>6120.875</v>
      </c>
      <c r="G111" s="83">
        <f t="shared" si="157"/>
        <v>6443.5562499999996</v>
      </c>
      <c r="H111" s="83">
        <f t="shared" si="157"/>
        <v>6784.0353125000001</v>
      </c>
      <c r="I111" s="83">
        <f t="shared" si="157"/>
        <v>7143.368453125001</v>
      </c>
      <c r="J111" s="83">
        <f t="shared" si="157"/>
        <v>7522.6813882812512</v>
      </c>
      <c r="K111" s="83">
        <f t="shared" si="157"/>
        <v>7923.1744214453138</v>
      </c>
      <c r="L111" s="83">
        <f t="shared" si="157"/>
        <v>8346.1280026425793</v>
      </c>
      <c r="M111" s="83">
        <f t="shared" si="157"/>
        <v>8792.9087489122085</v>
      </c>
      <c r="N111" s="83">
        <f t="shared" si="157"/>
        <v>9264.9759671090687</v>
      </c>
      <c r="O111" s="83">
        <f t="shared" si="157"/>
        <v>9763.8887242908986</v>
      </c>
      <c r="P111" s="83">
        <f t="shared" si="157"/>
        <v>10291.313515214457</v>
      </c>
      <c r="Q111" s="83">
        <f t="shared" si="157"/>
        <v>10849.032581155094</v>
      </c>
      <c r="R111" s="83">
        <f t="shared" si="157"/>
        <v>11438.952939410754</v>
      </c>
      <c r="S111" s="83">
        <f t="shared" si="157"/>
        <v>12063.116188498989</v>
      </c>
      <c r="T111" s="83">
        <f t="shared" si="157"/>
        <v>12723.709160253404</v>
      </c>
      <c r="U111" s="83">
        <f t="shared" si="157"/>
        <v>13423.075496828485</v>
      </c>
      <c r="V111" s="83">
        <f t="shared" si="157"/>
        <v>14163.728238088564</v>
      </c>
      <c r="W111" s="83">
        <f t="shared" si="157"/>
        <v>14948.363513053511</v>
      </c>
      <c r="X111" s="83">
        <f t="shared" si="157"/>
        <v>15779.875438072757</v>
      </c>
      <c r="Y111" s="83">
        <f t="shared" si="157"/>
        <v>16661.372334279622</v>
      </c>
      <c r="Z111" s="83">
        <f t="shared" si="157"/>
        <v>17596.194387727155</v>
      </c>
      <c r="AA111" s="83">
        <f t="shared" si="157"/>
        <v>18587.932887520419</v>
      </c>
      <c r="AB111" s="83">
        <f t="shared" si="157"/>
        <v>19640.451190344033</v>
      </c>
      <c r="AC111" s="83">
        <f t="shared" si="157"/>
        <v>20757.907574153589</v>
      </c>
      <c r="AD111" s="83">
        <f t="shared" si="157"/>
        <v>21944.780159582861</v>
      </c>
      <c r="AE111" s="83">
        <f t="shared" si="157"/>
        <v>23205.894094955755</v>
      </c>
      <c r="AF111" s="83">
        <f t="shared" si="157"/>
        <v>24546.451219836665</v>
      </c>
      <c r="AG111" s="83">
        <f t="shared" si="157"/>
        <v>25972.062442974937</v>
      </c>
      <c r="AH111" s="83">
        <f t="shared" si="157"/>
        <v>27488.783093484766</v>
      </c>
      <c r="AI111" s="83">
        <f t="shared" ref="AI111:BN111" si="158">+AI104*AI$8</f>
        <v>29103.151529356193</v>
      </c>
      <c r="AJ111" s="83">
        <f t="shared" si="158"/>
        <v>30822.231315140914</v>
      </c>
      <c r="AK111" s="83">
        <f t="shared" si="158"/>
        <v>32653.657311146559</v>
      </c>
      <c r="AL111" s="83">
        <f t="shared" si="158"/>
        <v>34605.686049977347</v>
      </c>
      <c r="AM111" s="83">
        <f t="shared" si="158"/>
        <v>36687.250813077022</v>
      </c>
      <c r="AN111" s="83">
        <f t="shared" si="158"/>
        <v>38908.02186039176</v>
      </c>
      <c r="AO111" s="83">
        <f t="shared" si="158"/>
        <v>41278.472310738325</v>
      </c>
      <c r="AP111" s="83">
        <f t="shared" si="158"/>
        <v>43809.950219334918</v>
      </c>
      <c r="AQ111" s="83">
        <f t="shared" si="158"/>
        <v>46514.757452667305</v>
      </c>
      <c r="AR111" s="83">
        <f t="shared" si="158"/>
        <v>49406.236019902877</v>
      </c>
      <c r="AS111" s="83">
        <f t="shared" si="158"/>
        <v>52498.862584960443</v>
      </c>
      <c r="AT111" s="83">
        <f t="shared" si="158"/>
        <v>55808.351954677135</v>
      </c>
      <c r="AU111" s="83">
        <f t="shared" si="158"/>
        <v>59351.77041692652</v>
      </c>
      <c r="AV111" s="83">
        <f t="shared" si="158"/>
        <v>63147.659888739938</v>
      </c>
      <c r="AW111" s="83">
        <f t="shared" si="158"/>
        <v>67216.173929240729</v>
      </c>
      <c r="AX111" s="83">
        <f t="shared" si="158"/>
        <v>71579.226776372932</v>
      </c>
      <c r="AY111" s="83">
        <f t="shared" si="158"/>
        <v>76260.656680928776</v>
      </c>
      <c r="AZ111" s="83">
        <f t="shared" si="158"/>
        <v>81286.404937286134</v>
      </c>
      <c r="BA111" s="83">
        <f t="shared" si="158"/>
        <v>86684.71214869243</v>
      </c>
      <c r="BB111" s="83">
        <f t="shared" si="158"/>
        <v>92486.333417123256</v>
      </c>
      <c r="BC111" s="83">
        <f t="shared" si="158"/>
        <v>98724.77431507525</v>
      </c>
      <c r="BD111" s="83">
        <f t="shared" si="158"/>
        <v>105436.54968063442</v>
      </c>
      <c r="BE111" s="83">
        <f t="shared" si="158"/>
        <v>112661.46747945208</v>
      </c>
      <c r="BF111" s="83">
        <f t="shared" si="158"/>
        <v>120442.94019968921</v>
      </c>
      <c r="BG111" s="83">
        <f t="shared" si="158"/>
        <v>128828.32649056466</v>
      </c>
      <c r="BH111" s="83">
        <f t="shared" si="158"/>
        <v>137869.30602407298</v>
      </c>
      <c r="BI111" s="83">
        <f t="shared" si="158"/>
        <v>147622.29085515474</v>
      </c>
      <c r="BJ111" s="83">
        <f t="shared" si="158"/>
        <v>158148.87688077838</v>
      </c>
      <c r="BK111" s="83">
        <f t="shared" si="158"/>
        <v>169516.3393559698</v>
      </c>
      <c r="BL111" s="83">
        <f t="shared" si="158"/>
        <v>181798.17681803604</v>
      </c>
      <c r="BM111" s="83">
        <f t="shared" si="158"/>
        <v>195074.70820263238</v>
      </c>
      <c r="BN111" s="83">
        <f t="shared" si="158"/>
        <v>209433.72841082799</v>
      </c>
      <c r="BO111" s="83">
        <f t="shared" ref="BO111:BV111" si="159">+BO104*BO$8</f>
        <v>224971.22810923978</v>
      </c>
      <c r="BP111" s="83">
        <f t="shared" si="159"/>
        <v>241792.18412035916</v>
      </c>
      <c r="BQ111" s="83">
        <f t="shared" si="159"/>
        <v>260011.42739260028</v>
      </c>
      <c r="BR111" s="83">
        <f t="shared" si="159"/>
        <v>279754.59623507573</v>
      </c>
      <c r="BS111" s="83">
        <f t="shared" si="159"/>
        <v>301159.1832669595</v>
      </c>
      <c r="BT111" s="83">
        <f t="shared" si="159"/>
        <v>324375.68537245051</v>
      </c>
      <c r="BU111" s="83">
        <f t="shared" si="159"/>
        <v>349568.86687743035</v>
      </c>
      <c r="BV111" s="83">
        <f t="shared" si="159"/>
        <v>376919.14718129497</v>
      </c>
    </row>
    <row r="112" spans="2:74" s="125" customFormat="1" ht="15.75" hidden="1" customHeight="1" outlineLevel="1" x14ac:dyDescent="0.2">
      <c r="B112" s="126" t="s">
        <v>62</v>
      </c>
      <c r="C112" s="81">
        <f t="shared" ref="C112:AH112" si="160">+C105*C$8</f>
        <v>10500</v>
      </c>
      <c r="D112" s="82">
        <f t="shared" si="160"/>
        <v>10497.5</v>
      </c>
      <c r="E112" s="83">
        <f t="shared" si="160"/>
        <v>10496.074999999999</v>
      </c>
      <c r="F112" s="83">
        <f t="shared" si="160"/>
        <v>10495.770406249998</v>
      </c>
      <c r="G112" s="83">
        <f t="shared" si="160"/>
        <v>10496.633675703122</v>
      </c>
      <c r="H112" s="83">
        <f t="shared" si="160"/>
        <v>10498.714408278709</v>
      </c>
      <c r="I112" s="83">
        <f t="shared" si="160"/>
        <v>10502.064443277275</v>
      </c>
      <c r="J112" s="83">
        <f t="shared" si="160"/>
        <v>10506.737960134209</v>
      </c>
      <c r="K112" s="83">
        <f t="shared" si="160"/>
        <v>10512.791583707432</v>
      </c>
      <c r="L112" s="83">
        <f t="shared" si="160"/>
        <v>10520.284494303032</v>
      </c>
      <c r="M112" s="83">
        <f t="shared" si="160"/>
        <v>10529.278542652113</v>
      </c>
      <c r="N112" s="83">
        <f t="shared" si="160"/>
        <v>10539.838370061636</v>
      </c>
      <c r="O112" s="83">
        <f t="shared" si="160"/>
        <v>10552.031533972116</v>
      </c>
      <c r="P112" s="83">
        <f t="shared" si="160"/>
        <v>10565.928639165424</v>
      </c>
      <c r="Q112" s="83">
        <f t="shared" si="160"/>
        <v>10581.603474877018</v>
      </c>
      <c r="R112" s="83">
        <f t="shared" si="160"/>
        <v>10599.133158078261</v>
      </c>
      <c r="S112" s="83">
        <f t="shared" si="160"/>
        <v>10618.59828320648</v>
      </c>
      <c r="T112" s="83">
        <f t="shared" si="160"/>
        <v>10640.083078632932</v>
      </c>
      <c r="U112" s="83">
        <f t="shared" si="160"/>
        <v>10663.675570171868</v>
      </c>
      <c r="V112" s="83">
        <f t="shared" si="160"/>
        <v>10689.467751947557</v>
      </c>
      <c r="W112" s="83">
        <f t="shared" si="160"/>
        <v>10717.555764950355</v>
      </c>
      <c r="X112" s="83">
        <f t="shared" si="160"/>
        <v>10748.040083627868</v>
      </c>
      <c r="Y112" s="83">
        <f t="shared" si="160"/>
        <v>10781.025710872731</v>
      </c>
      <c r="Z112" s="83">
        <f t="shared" si="160"/>
        <v>10816.622381784911</v>
      </c>
      <c r="AA112" s="83">
        <f t="shared" si="160"/>
        <v>10854.94477660333</v>
      </c>
      <c r="AB112" s="83">
        <f t="shared" si="160"/>
        <v>10896.112743219483</v>
      </c>
      <c r="AC112" s="83">
        <f t="shared" si="160"/>
        <v>10940.25152970419</v>
      </c>
      <c r="AD112" s="83">
        <f t="shared" si="160"/>
        <v>10987.492027298109</v>
      </c>
      <c r="AE112" s="83">
        <f t="shared" si="160"/>
        <v>11037.971024336863</v>
      </c>
      <c r="AF112" s="83">
        <f t="shared" si="160"/>
        <v>11091.831471602833</v>
      </c>
      <c r="AG112" s="83">
        <f t="shared" si="160"/>
        <v>11149.222759617845</v>
      </c>
      <c r="AH112" s="83">
        <f t="shared" si="160"/>
        <v>11210.301008414051</v>
      </c>
      <c r="AI112" s="83">
        <f t="shared" ref="AI112:BN112" si="161">+AI105*AI$8</f>
        <v>11275.229370344552</v>
      </c>
      <c r="AJ112" s="83">
        <f t="shared" si="161"/>
        <v>11344.178346520548</v>
      </c>
      <c r="AK112" s="83">
        <f t="shared" si="161"/>
        <v>11417.326117488188</v>
      </c>
      <c r="AL112" s="83">
        <f t="shared" si="161"/>
        <v>11494.858888785935</v>
      </c>
      <c r="AM112" s="83">
        <f t="shared" si="161"/>
        <v>11576.971252052053</v>
      </c>
      <c r="AN112" s="83">
        <f t="shared" si="161"/>
        <v>11663.866562381971</v>
      </c>
      <c r="AO112" s="83">
        <f t="shared" si="161"/>
        <v>11755.757332666764</v>
      </c>
      <c r="AP112" s="83">
        <f t="shared" si="161"/>
        <v>11852.865645676929</v>
      </c>
      <c r="AQ112" s="83">
        <f t="shared" si="161"/>
        <v>11955.423584689954</v>
      </c>
      <c r="AR112" s="83">
        <f t="shared" si="161"/>
        <v>12063.673683496168</v>
      </c>
      <c r="AS112" s="83">
        <f t="shared" si="161"/>
        <v>12177.869396654925</v>
      </c>
      <c r="AT112" s="83">
        <f t="shared" si="161"/>
        <v>12298.275590912323</v>
      </c>
      <c r="AU112" s="83">
        <f t="shared" si="161"/>
        <v>12425.169058732783</v>
      </c>
      <c r="AV112" s="83">
        <f t="shared" si="161"/>
        <v>12558.839054939592</v>
      </c>
      <c r="AW112" s="83">
        <f t="shared" si="161"/>
        <v>12699.587857504295</v>
      </c>
      <c r="AX112" s="83">
        <f t="shared" si="161"/>
        <v>12847.73135357168</v>
      </c>
      <c r="AY112" s="83">
        <f t="shared" si="161"/>
        <v>13003.599651855899</v>
      </c>
      <c r="AZ112" s="83">
        <f t="shared" si="161"/>
        <v>13167.537722594474</v>
      </c>
      <c r="BA112" s="83">
        <f t="shared" si="161"/>
        <v>13339.906066300267</v>
      </c>
      <c r="BB112" s="83">
        <f t="shared" si="161"/>
        <v>13521.081412607355</v>
      </c>
      <c r="BC112" s="83">
        <f t="shared" si="161"/>
        <v>13711.457450564949</v>
      </c>
      <c r="BD112" s="83">
        <f t="shared" si="161"/>
        <v>13911.44559179466</v>
      </c>
      <c r="BE112" s="83">
        <f t="shared" si="161"/>
        <v>14121.475767989821</v>
      </c>
      <c r="BF112" s="83">
        <f t="shared" si="161"/>
        <v>14341.997264302352</v>
      </c>
      <c r="BG112" s="83">
        <f t="shared" si="161"/>
        <v>14573.479590232069</v>
      </c>
      <c r="BH112" s="83">
        <f t="shared" si="161"/>
        <v>14816.413389706029</v>
      </c>
      <c r="BI112" s="83">
        <f t="shared" si="161"/>
        <v>15071.311392111538</v>
      </c>
      <c r="BJ112" s="83">
        <f t="shared" si="161"/>
        <v>15338.709406125621</v>
      </c>
      <c r="BK112" s="83">
        <f t="shared" si="161"/>
        <v>15619.167358266915</v>
      </c>
      <c r="BL112" s="83">
        <f t="shared" si="161"/>
        <v>15913.270378182402</v>
      </c>
      <c r="BM112" s="83">
        <f t="shared" si="161"/>
        <v>16221.629932772104</v>
      </c>
      <c r="BN112" s="83">
        <f t="shared" si="161"/>
        <v>16544.885011349415</v>
      </c>
      <c r="BO112" s="83">
        <f t="shared" ref="BO112:BV112" si="162">+BO105*BO$8</f>
        <v>16883.703364133697</v>
      </c>
      <c r="BP112" s="83">
        <f t="shared" si="162"/>
        <v>17238.782796475087</v>
      </c>
      <c r="BQ112" s="83">
        <f t="shared" si="162"/>
        <v>17610.852521319452</v>
      </c>
      <c r="BR112" s="83">
        <f t="shared" si="162"/>
        <v>18000.674572534303</v>
      </c>
      <c r="BS112" s="83">
        <f t="shared" si="162"/>
        <v>18409.045281834435</v>
      </c>
      <c r="BT112" s="83">
        <f t="shared" si="162"/>
        <v>18836.796822169235</v>
      </c>
      <c r="BU112" s="83">
        <f t="shared" si="162"/>
        <v>19284.798820562468</v>
      </c>
      <c r="BV112" s="83">
        <f t="shared" si="162"/>
        <v>19753.960043529911</v>
      </c>
    </row>
    <row r="113" spans="2:74" s="125" customFormat="1" ht="15.75" hidden="1" customHeight="1" outlineLevel="1" x14ac:dyDescent="0.2">
      <c r="B113" s="126" t="s">
        <v>63</v>
      </c>
      <c r="C113" s="81">
        <f t="shared" ref="C113:AH113" si="163">+C106*C$8</f>
        <v>8400</v>
      </c>
      <c r="D113" s="82">
        <f t="shared" si="163"/>
        <v>8840</v>
      </c>
      <c r="E113" s="83">
        <f t="shared" si="163"/>
        <v>9304</v>
      </c>
      <c r="F113" s="83">
        <f t="shared" si="163"/>
        <v>9793.4</v>
      </c>
      <c r="G113" s="83">
        <f t="shared" si="163"/>
        <v>10309.69</v>
      </c>
      <c r="H113" s="83">
        <f t="shared" si="163"/>
        <v>10854.4565</v>
      </c>
      <c r="I113" s="83">
        <f t="shared" si="163"/>
        <v>11429.389525000002</v>
      </c>
      <c r="J113" s="83">
        <f t="shared" si="163"/>
        <v>12036.290221250003</v>
      </c>
      <c r="K113" s="83">
        <f t="shared" si="163"/>
        <v>12677.079074312504</v>
      </c>
      <c r="L113" s="83">
        <f t="shared" si="163"/>
        <v>13353.804804228128</v>
      </c>
      <c r="M113" s="83">
        <f t="shared" si="163"/>
        <v>14068.653998259535</v>
      </c>
      <c r="N113" s="83">
        <f t="shared" si="163"/>
        <v>14823.961547374511</v>
      </c>
      <c r="O113" s="83">
        <f t="shared" si="163"/>
        <v>15622.221958865439</v>
      </c>
      <c r="P113" s="83">
        <f t="shared" si="163"/>
        <v>16466.101624343133</v>
      </c>
      <c r="Q113" s="83">
        <f t="shared" si="163"/>
        <v>17358.452129848152</v>
      </c>
      <c r="R113" s="83">
        <f t="shared" si="163"/>
        <v>18302.324703057206</v>
      </c>
      <c r="S113" s="83">
        <f t="shared" si="163"/>
        <v>19300.985901598382</v>
      </c>
      <c r="T113" s="83">
        <f t="shared" si="163"/>
        <v>20357.934656405447</v>
      </c>
      <c r="U113" s="83">
        <f t="shared" si="163"/>
        <v>21476.92079492558</v>
      </c>
      <c r="V113" s="83">
        <f t="shared" si="163"/>
        <v>22661.965180941705</v>
      </c>
      <c r="W113" s="83">
        <f t="shared" si="163"/>
        <v>23917.381620885619</v>
      </c>
      <c r="X113" s="83">
        <f t="shared" si="163"/>
        <v>25247.800700916414</v>
      </c>
      <c r="Y113" s="83">
        <f t="shared" si="163"/>
        <v>26658.195734847395</v>
      </c>
      <c r="Z113" s="83">
        <f t="shared" si="163"/>
        <v>28153.911020363448</v>
      </c>
      <c r="AA113" s="83">
        <f t="shared" si="163"/>
        <v>29740.692620032671</v>
      </c>
      <c r="AB113" s="83">
        <f t="shared" si="163"/>
        <v>31424.721904550453</v>
      </c>
      <c r="AC113" s="83">
        <f t="shared" si="163"/>
        <v>33212.652118645747</v>
      </c>
      <c r="AD113" s="83">
        <f t="shared" si="163"/>
        <v>35111.648255332577</v>
      </c>
      <c r="AE113" s="83">
        <f t="shared" si="163"/>
        <v>37129.43055192921</v>
      </c>
      <c r="AF113" s="83">
        <f t="shared" si="163"/>
        <v>39274.321951738668</v>
      </c>
      <c r="AG113" s="83">
        <f t="shared" si="163"/>
        <v>41555.299908759902</v>
      </c>
      <c r="AH113" s="83">
        <f t="shared" si="163"/>
        <v>43982.052949575627</v>
      </c>
      <c r="AI113" s="83">
        <f t="shared" ref="AI113:BN113" si="164">+AI106*AI$8</f>
        <v>46565.042446969914</v>
      </c>
      <c r="AJ113" s="83">
        <f t="shared" si="164"/>
        <v>49315.570104225466</v>
      </c>
      <c r="AK113" s="83">
        <f t="shared" si="164"/>
        <v>52245.8516978345</v>
      </c>
      <c r="AL113" s="83">
        <f t="shared" si="164"/>
        <v>55369.097679963757</v>
      </c>
      <c r="AM113" s="83">
        <f t="shared" si="164"/>
        <v>58699.601300923241</v>
      </c>
      <c r="AN113" s="83">
        <f t="shared" si="164"/>
        <v>62252.834976626822</v>
      </c>
      <c r="AO113" s="83">
        <f t="shared" si="164"/>
        <v>66045.55569718132</v>
      </c>
      <c r="AP113" s="83">
        <f t="shared" si="164"/>
        <v>70095.920350935878</v>
      </c>
      <c r="AQ113" s="83">
        <f t="shared" si="164"/>
        <v>74423.611924267694</v>
      </c>
      <c r="AR113" s="83">
        <f t="shared" si="164"/>
        <v>79049.977631844609</v>
      </c>
      <c r="AS113" s="83">
        <f t="shared" si="164"/>
        <v>83998.180135936709</v>
      </c>
      <c r="AT113" s="83">
        <f t="shared" si="164"/>
        <v>89293.363127483419</v>
      </c>
      <c r="AU113" s="83">
        <f t="shared" si="164"/>
        <v>94962.832667082432</v>
      </c>
      <c r="AV113" s="83">
        <f t="shared" si="164"/>
        <v>101036.25582198391</v>
      </c>
      <c r="AW113" s="83">
        <f t="shared" si="164"/>
        <v>107545.87828678517</v>
      </c>
      <c r="AX113" s="83">
        <f t="shared" si="164"/>
        <v>114526.76284219669</v>
      </c>
      <c r="AY113" s="83">
        <f t="shared" si="164"/>
        <v>122017.05068948604</v>
      </c>
      <c r="AZ113" s="83">
        <f t="shared" si="164"/>
        <v>130058.24789965781</v>
      </c>
      <c r="BA113" s="83">
        <f t="shared" si="164"/>
        <v>138695.53943790789</v>
      </c>
      <c r="BB113" s="83">
        <f t="shared" si="164"/>
        <v>147978.13346739722</v>
      </c>
      <c r="BC113" s="83">
        <f t="shared" si="164"/>
        <v>157959.63890412042</v>
      </c>
      <c r="BD113" s="83">
        <f t="shared" si="164"/>
        <v>168698.47948901507</v>
      </c>
      <c r="BE113" s="83">
        <f t="shared" si="164"/>
        <v>180258.34796712335</v>
      </c>
      <c r="BF113" s="83">
        <f t="shared" si="164"/>
        <v>192708.70431950275</v>
      </c>
      <c r="BG113" s="83">
        <f t="shared" si="164"/>
        <v>206125.32238490347</v>
      </c>
      <c r="BH113" s="83">
        <f t="shared" si="164"/>
        <v>220590.88963851679</v>
      </c>
      <c r="BI113" s="83">
        <f t="shared" si="164"/>
        <v>236195.6653682476</v>
      </c>
      <c r="BJ113" s="83">
        <f t="shared" si="164"/>
        <v>253038.20300924542</v>
      </c>
      <c r="BK113" s="83">
        <f t="shared" si="164"/>
        <v>271226.14296955167</v>
      </c>
      <c r="BL113" s="83">
        <f t="shared" si="164"/>
        <v>290877.08290885767</v>
      </c>
      <c r="BM113" s="83">
        <f t="shared" si="164"/>
        <v>312119.53312421183</v>
      </c>
      <c r="BN113" s="83">
        <f t="shared" si="164"/>
        <v>335093.96545732481</v>
      </c>
      <c r="BO113" s="83">
        <f t="shared" ref="BO113:BV113" si="165">+BO106*BO$8</f>
        <v>359953.96497478365</v>
      </c>
      <c r="BP113" s="83">
        <f t="shared" si="165"/>
        <v>386867.49459257466</v>
      </c>
      <c r="BQ113" s="83">
        <f t="shared" si="165"/>
        <v>416018.28382816049</v>
      </c>
      <c r="BR113" s="83">
        <f t="shared" si="165"/>
        <v>447607.35397612117</v>
      </c>
      <c r="BS113" s="83">
        <f t="shared" si="165"/>
        <v>481854.69322713523</v>
      </c>
      <c r="BT113" s="83">
        <f t="shared" si="165"/>
        <v>519001.09659592086</v>
      </c>
      <c r="BU113" s="83">
        <f t="shared" si="165"/>
        <v>559310.18700388854</v>
      </c>
      <c r="BV113" s="83">
        <f t="shared" si="165"/>
        <v>603070.63549007196</v>
      </c>
    </row>
    <row r="114" spans="2:74" s="125" customFormat="1" ht="15.75" hidden="1" customHeight="1" outlineLevel="1" x14ac:dyDescent="0.2">
      <c r="B114" s="126" t="s">
        <v>64</v>
      </c>
      <c r="C114" s="81">
        <f t="shared" ref="C114:AH114" si="166">+C107*C$8</f>
        <v>0</v>
      </c>
      <c r="D114" s="82">
        <f t="shared" si="166"/>
        <v>0</v>
      </c>
      <c r="E114" s="83">
        <f t="shared" si="166"/>
        <v>0</v>
      </c>
      <c r="F114" s="83">
        <f t="shared" si="166"/>
        <v>0</v>
      </c>
      <c r="G114" s="83">
        <f t="shared" si="166"/>
        <v>0</v>
      </c>
      <c r="H114" s="83">
        <f t="shared" si="166"/>
        <v>0</v>
      </c>
      <c r="I114" s="83">
        <f t="shared" si="166"/>
        <v>0</v>
      </c>
      <c r="J114" s="83">
        <f t="shared" si="166"/>
        <v>0</v>
      </c>
      <c r="K114" s="83">
        <f t="shared" si="166"/>
        <v>0</v>
      </c>
      <c r="L114" s="83">
        <f t="shared" si="166"/>
        <v>0</v>
      </c>
      <c r="M114" s="83">
        <f t="shared" si="166"/>
        <v>0</v>
      </c>
      <c r="N114" s="83">
        <f t="shared" si="166"/>
        <v>0</v>
      </c>
      <c r="O114" s="83">
        <f t="shared" si="166"/>
        <v>0</v>
      </c>
      <c r="P114" s="83">
        <f t="shared" si="166"/>
        <v>0</v>
      </c>
      <c r="Q114" s="83">
        <f t="shared" si="166"/>
        <v>0</v>
      </c>
      <c r="R114" s="83">
        <f t="shared" si="166"/>
        <v>0</v>
      </c>
      <c r="S114" s="83">
        <f t="shared" si="166"/>
        <v>0</v>
      </c>
      <c r="T114" s="83">
        <f t="shared" si="166"/>
        <v>0</v>
      </c>
      <c r="U114" s="83">
        <f t="shared" si="166"/>
        <v>0</v>
      </c>
      <c r="V114" s="83">
        <f t="shared" si="166"/>
        <v>0</v>
      </c>
      <c r="W114" s="83">
        <f t="shared" si="166"/>
        <v>0</v>
      </c>
      <c r="X114" s="83">
        <f t="shared" si="166"/>
        <v>0</v>
      </c>
      <c r="Y114" s="83">
        <f t="shared" si="166"/>
        <v>0</v>
      </c>
      <c r="Z114" s="83">
        <f t="shared" si="166"/>
        <v>0</v>
      </c>
      <c r="AA114" s="83">
        <f t="shared" si="166"/>
        <v>0</v>
      </c>
      <c r="AB114" s="83">
        <f t="shared" si="166"/>
        <v>0</v>
      </c>
      <c r="AC114" s="83">
        <f t="shared" si="166"/>
        <v>0</v>
      </c>
      <c r="AD114" s="83">
        <f t="shared" si="166"/>
        <v>0</v>
      </c>
      <c r="AE114" s="83">
        <f t="shared" si="166"/>
        <v>0</v>
      </c>
      <c r="AF114" s="83">
        <f t="shared" si="166"/>
        <v>0</v>
      </c>
      <c r="AG114" s="83">
        <f t="shared" si="166"/>
        <v>0</v>
      </c>
      <c r="AH114" s="83">
        <f t="shared" si="166"/>
        <v>0</v>
      </c>
      <c r="AI114" s="83">
        <f t="shared" ref="AI114:BN114" si="167">+AI107*AI$8</f>
        <v>0</v>
      </c>
      <c r="AJ114" s="83">
        <f t="shared" si="167"/>
        <v>0</v>
      </c>
      <c r="AK114" s="83">
        <f t="shared" si="167"/>
        <v>0</v>
      </c>
      <c r="AL114" s="83">
        <f t="shared" si="167"/>
        <v>0</v>
      </c>
      <c r="AM114" s="83">
        <f t="shared" si="167"/>
        <v>0</v>
      </c>
      <c r="AN114" s="83">
        <f t="shared" si="167"/>
        <v>0</v>
      </c>
      <c r="AO114" s="83">
        <f t="shared" si="167"/>
        <v>0</v>
      </c>
      <c r="AP114" s="83">
        <f t="shared" si="167"/>
        <v>0</v>
      </c>
      <c r="AQ114" s="83">
        <f t="shared" si="167"/>
        <v>0</v>
      </c>
      <c r="AR114" s="83">
        <f t="shared" si="167"/>
        <v>0</v>
      </c>
      <c r="AS114" s="83">
        <f t="shared" si="167"/>
        <v>0</v>
      </c>
      <c r="AT114" s="83">
        <f t="shared" si="167"/>
        <v>0</v>
      </c>
      <c r="AU114" s="83">
        <f t="shared" si="167"/>
        <v>0</v>
      </c>
      <c r="AV114" s="83">
        <f t="shared" si="167"/>
        <v>0</v>
      </c>
      <c r="AW114" s="83">
        <f t="shared" si="167"/>
        <v>0</v>
      </c>
      <c r="AX114" s="83">
        <f t="shared" si="167"/>
        <v>0</v>
      </c>
      <c r="AY114" s="83">
        <f t="shared" si="167"/>
        <v>0</v>
      </c>
      <c r="AZ114" s="83">
        <f t="shared" si="167"/>
        <v>0</v>
      </c>
      <c r="BA114" s="83">
        <f t="shared" si="167"/>
        <v>0</v>
      </c>
      <c r="BB114" s="83">
        <f t="shared" si="167"/>
        <v>0</v>
      </c>
      <c r="BC114" s="83">
        <f t="shared" si="167"/>
        <v>0</v>
      </c>
      <c r="BD114" s="83">
        <f t="shared" si="167"/>
        <v>0</v>
      </c>
      <c r="BE114" s="83">
        <f t="shared" si="167"/>
        <v>0</v>
      </c>
      <c r="BF114" s="83">
        <f t="shared" si="167"/>
        <v>0</v>
      </c>
      <c r="BG114" s="83">
        <f t="shared" si="167"/>
        <v>0</v>
      </c>
      <c r="BH114" s="83">
        <f t="shared" si="167"/>
        <v>0</v>
      </c>
      <c r="BI114" s="83">
        <f t="shared" si="167"/>
        <v>0</v>
      </c>
      <c r="BJ114" s="83">
        <f t="shared" si="167"/>
        <v>0</v>
      </c>
      <c r="BK114" s="83">
        <f t="shared" si="167"/>
        <v>0</v>
      </c>
      <c r="BL114" s="83">
        <f t="shared" si="167"/>
        <v>0</v>
      </c>
      <c r="BM114" s="83">
        <f t="shared" si="167"/>
        <v>0</v>
      </c>
      <c r="BN114" s="83">
        <f t="shared" si="167"/>
        <v>0</v>
      </c>
      <c r="BO114" s="83">
        <f t="shared" ref="BO114:BV114" si="168">+BO107*BO$8</f>
        <v>0</v>
      </c>
      <c r="BP114" s="83">
        <f t="shared" si="168"/>
        <v>0</v>
      </c>
      <c r="BQ114" s="83">
        <f t="shared" si="168"/>
        <v>0</v>
      </c>
      <c r="BR114" s="83">
        <f t="shared" si="168"/>
        <v>0</v>
      </c>
      <c r="BS114" s="83">
        <f t="shared" si="168"/>
        <v>0</v>
      </c>
      <c r="BT114" s="83">
        <f t="shared" si="168"/>
        <v>0</v>
      </c>
      <c r="BU114" s="83">
        <f t="shared" si="168"/>
        <v>0</v>
      </c>
      <c r="BV114" s="83">
        <f t="shared" si="168"/>
        <v>0</v>
      </c>
    </row>
    <row r="115" spans="2:74" s="125" customFormat="1" ht="15.75" hidden="1" customHeight="1" outlineLevel="1" thickBot="1" x14ac:dyDescent="0.25">
      <c r="B115" s="126" t="s">
        <v>65</v>
      </c>
      <c r="C115" s="84">
        <f t="shared" ref="C115:AH115" si="169">+C108*C$8</f>
        <v>2100</v>
      </c>
      <c r="D115" s="85">
        <f t="shared" si="169"/>
        <v>2210</v>
      </c>
      <c r="E115" s="86">
        <f t="shared" si="169"/>
        <v>2326</v>
      </c>
      <c r="F115" s="86">
        <f t="shared" si="169"/>
        <v>2448.35</v>
      </c>
      <c r="G115" s="86">
        <f t="shared" si="169"/>
        <v>2577.4225000000001</v>
      </c>
      <c r="H115" s="86">
        <f t="shared" si="169"/>
        <v>2713.6141250000001</v>
      </c>
      <c r="I115" s="86">
        <f t="shared" si="169"/>
        <v>2857.3473812500006</v>
      </c>
      <c r="J115" s="86">
        <f t="shared" si="169"/>
        <v>3009.0725553125008</v>
      </c>
      <c r="K115" s="86">
        <f t="shared" si="169"/>
        <v>3169.2697685781259</v>
      </c>
      <c r="L115" s="86">
        <f t="shared" si="169"/>
        <v>3338.451201057032</v>
      </c>
      <c r="M115" s="86">
        <f t="shared" si="169"/>
        <v>3517.1634995648838</v>
      </c>
      <c r="N115" s="86">
        <f t="shared" si="169"/>
        <v>3705.9903868436277</v>
      </c>
      <c r="O115" s="86">
        <f t="shared" si="169"/>
        <v>3905.5554897163597</v>
      </c>
      <c r="P115" s="86">
        <f t="shared" si="169"/>
        <v>4116.5254060857833</v>
      </c>
      <c r="Q115" s="86">
        <f t="shared" si="169"/>
        <v>4339.6130324620381</v>
      </c>
      <c r="R115" s="86">
        <f t="shared" si="169"/>
        <v>4575.5811757643014</v>
      </c>
      <c r="S115" s="86">
        <f t="shared" si="169"/>
        <v>4825.2464753995955</v>
      </c>
      <c r="T115" s="86">
        <f t="shared" si="169"/>
        <v>5089.4836641013617</v>
      </c>
      <c r="U115" s="86">
        <f t="shared" si="169"/>
        <v>5369.2301987313949</v>
      </c>
      <c r="V115" s="86">
        <f t="shared" si="169"/>
        <v>5665.4912952354262</v>
      </c>
      <c r="W115" s="86">
        <f t="shared" si="169"/>
        <v>5979.3454052214047</v>
      </c>
      <c r="X115" s="86">
        <f t="shared" si="169"/>
        <v>6311.9501752291035</v>
      </c>
      <c r="Y115" s="86">
        <f t="shared" si="169"/>
        <v>6664.5489337118488</v>
      </c>
      <c r="Z115" s="86">
        <f t="shared" si="169"/>
        <v>7038.477755090862</v>
      </c>
      <c r="AA115" s="86">
        <f t="shared" si="169"/>
        <v>7435.1731550081677</v>
      </c>
      <c r="AB115" s="86">
        <f t="shared" si="169"/>
        <v>7856.1804761376134</v>
      </c>
      <c r="AC115" s="86">
        <f t="shared" si="169"/>
        <v>8303.1630296614367</v>
      </c>
      <c r="AD115" s="86">
        <f t="shared" si="169"/>
        <v>8777.9120638331442</v>
      </c>
      <c r="AE115" s="86">
        <f t="shared" si="169"/>
        <v>9282.3576379823025</v>
      </c>
      <c r="AF115" s="86">
        <f t="shared" si="169"/>
        <v>9818.580487934667</v>
      </c>
      <c r="AG115" s="86">
        <f t="shared" si="169"/>
        <v>10388.824977189975</v>
      </c>
      <c r="AH115" s="86">
        <f t="shared" si="169"/>
        <v>10995.513237393907</v>
      </c>
      <c r="AI115" s="86">
        <f t="shared" ref="AI115:BN115" si="170">+AI108*AI$8</f>
        <v>11641.260611742478</v>
      </c>
      <c r="AJ115" s="86">
        <f t="shared" si="170"/>
        <v>12328.892526056366</v>
      </c>
      <c r="AK115" s="86">
        <f t="shared" si="170"/>
        <v>13061.462924458625</v>
      </c>
      <c r="AL115" s="86">
        <f t="shared" si="170"/>
        <v>13842.274419990939</v>
      </c>
      <c r="AM115" s="86">
        <f t="shared" si="170"/>
        <v>14674.90032523081</v>
      </c>
      <c r="AN115" s="86">
        <f t="shared" si="170"/>
        <v>15563.208744156706</v>
      </c>
      <c r="AO115" s="86">
        <f t="shared" si="170"/>
        <v>16511.38892429533</v>
      </c>
      <c r="AP115" s="86">
        <f t="shared" si="170"/>
        <v>17523.980087733969</v>
      </c>
      <c r="AQ115" s="86">
        <f t="shared" si="170"/>
        <v>18605.902981066924</v>
      </c>
      <c r="AR115" s="86">
        <f t="shared" si="170"/>
        <v>19762.494407961152</v>
      </c>
      <c r="AS115" s="86">
        <f t="shared" si="170"/>
        <v>20999.545033984177</v>
      </c>
      <c r="AT115" s="86">
        <f t="shared" si="170"/>
        <v>22323.340781870855</v>
      </c>
      <c r="AU115" s="86">
        <f t="shared" si="170"/>
        <v>23740.708166770608</v>
      </c>
      <c r="AV115" s="86">
        <f t="shared" si="170"/>
        <v>25259.063955495978</v>
      </c>
      <c r="AW115" s="86">
        <f t="shared" si="170"/>
        <v>26886.469571696292</v>
      </c>
      <c r="AX115" s="86">
        <f t="shared" si="170"/>
        <v>28631.690710549174</v>
      </c>
      <c r="AY115" s="86">
        <f t="shared" si="170"/>
        <v>30504.262672371511</v>
      </c>
      <c r="AZ115" s="86">
        <f t="shared" si="170"/>
        <v>32514.561974914453</v>
      </c>
      <c r="BA115" s="86">
        <f t="shared" si="170"/>
        <v>34673.884859476973</v>
      </c>
      <c r="BB115" s="86">
        <f t="shared" si="170"/>
        <v>36994.533366849304</v>
      </c>
      <c r="BC115" s="86">
        <f t="shared" si="170"/>
        <v>39489.909726030106</v>
      </c>
      <c r="BD115" s="86">
        <f t="shared" si="170"/>
        <v>42174.619872253767</v>
      </c>
      <c r="BE115" s="86">
        <f t="shared" si="170"/>
        <v>45064.586991780838</v>
      </c>
      <c r="BF115" s="86">
        <f t="shared" si="170"/>
        <v>48177.176079875688</v>
      </c>
      <c r="BG115" s="86">
        <f t="shared" si="170"/>
        <v>51531.330596225867</v>
      </c>
      <c r="BH115" s="86">
        <f t="shared" si="170"/>
        <v>55147.722409629198</v>
      </c>
      <c r="BI115" s="86">
        <f t="shared" si="170"/>
        <v>59048.916342061901</v>
      </c>
      <c r="BJ115" s="86">
        <f t="shared" si="170"/>
        <v>63259.550752311356</v>
      </c>
      <c r="BK115" s="86">
        <f t="shared" si="170"/>
        <v>67806.535742387918</v>
      </c>
      <c r="BL115" s="86">
        <f t="shared" si="170"/>
        <v>72719.270727214418</v>
      </c>
      <c r="BM115" s="86">
        <f t="shared" si="170"/>
        <v>78029.883281052957</v>
      </c>
      <c r="BN115" s="86">
        <f t="shared" si="170"/>
        <v>83773.491364331203</v>
      </c>
      <c r="BO115" s="86">
        <f t="shared" ref="BO115:BV115" si="171">+BO108*BO$8</f>
        <v>89988.491243695913</v>
      </c>
      <c r="BP115" s="86">
        <f t="shared" si="171"/>
        <v>96716.873648143664</v>
      </c>
      <c r="BQ115" s="86">
        <f t="shared" si="171"/>
        <v>104004.57095704012</v>
      </c>
      <c r="BR115" s="86">
        <f t="shared" si="171"/>
        <v>111901.83849403029</v>
      </c>
      <c r="BS115" s="86">
        <f t="shared" si="171"/>
        <v>120463.67330678381</v>
      </c>
      <c r="BT115" s="86">
        <f t="shared" si="171"/>
        <v>129750.27414898021</v>
      </c>
      <c r="BU115" s="86">
        <f t="shared" si="171"/>
        <v>139827.54675097213</v>
      </c>
      <c r="BV115" s="86">
        <f t="shared" si="171"/>
        <v>150767.65887251799</v>
      </c>
    </row>
    <row r="116" spans="2:74" s="125" customFormat="1" ht="15.75" customHeight="1" collapsed="1" thickBot="1" x14ac:dyDescent="0.25">
      <c r="B116" s="154" t="s">
        <v>86</v>
      </c>
      <c r="C116" s="157">
        <f t="shared" ref="C116:AH116" si="172">+C91-C109</f>
        <v>15925</v>
      </c>
      <c r="D116" s="157">
        <f t="shared" si="172"/>
        <v>17386.25</v>
      </c>
      <c r="E116" s="157">
        <f t="shared" si="172"/>
        <v>18933.112500000003</v>
      </c>
      <c r="F116" s="157">
        <f t="shared" si="172"/>
        <v>20571.251468749993</v>
      </c>
      <c r="G116" s="157">
        <f t="shared" si="172"/>
        <v>22306.751793046868</v>
      </c>
      <c r="H116" s="157">
        <f t="shared" si="172"/>
        <v>24146.154083908783</v>
      </c>
      <c r="I116" s="157">
        <f t="shared" si="172"/>
        <v>26096.492598519602</v>
      </c>
      <c r="J116" s="157">
        <f t="shared" si="172"/>
        <v>28165.336571252512</v>
      </c>
      <c r="K116" s="157">
        <f t="shared" si="172"/>
        <v>30360.835275498619</v>
      </c>
      <c r="L116" s="157">
        <f t="shared" si="172"/>
        <v>32691.767169238345</v>
      </c>
      <c r="M116" s="157">
        <f t="shared" si="172"/>
        <v>32055.102559458835</v>
      </c>
      <c r="N116" s="157">
        <f t="shared" si="172"/>
        <v>37798.516875144589</v>
      </c>
      <c r="O116" s="157">
        <f t="shared" si="172"/>
        <v>40595.545020584548</v>
      </c>
      <c r="P116" s="157">
        <f t="shared" si="172"/>
        <v>43570.560644918238</v>
      </c>
      <c r="Q116" s="157">
        <f t="shared" si="172"/>
        <v>46736.397565389881</v>
      </c>
      <c r="R116" s="157">
        <f t="shared" si="172"/>
        <v>50106.923955378923</v>
      </c>
      <c r="S116" s="157">
        <f t="shared" si="172"/>
        <v>53697.133309218218</v>
      </c>
      <c r="T116" s="157">
        <f t="shared" si="172"/>
        <v>57523.243879037153</v>
      </c>
      <c r="U116" s="157">
        <f t="shared" si="172"/>
        <v>61602.80739956825</v>
      </c>
      <c r="V116" s="157">
        <f t="shared" si="172"/>
        <v>65954.82799688472</v>
      </c>
      <c r="W116" s="157">
        <f t="shared" si="172"/>
        <v>70599.892264989277</v>
      </c>
      <c r="X116" s="157">
        <f t="shared" si="172"/>
        <v>75560.311590840982</v>
      </c>
      <c r="Y116" s="157">
        <f t="shared" si="172"/>
        <v>71091.947988234271</v>
      </c>
      <c r="Z116" s="157">
        <f t="shared" si="172"/>
        <v>86526.034229088313</v>
      </c>
      <c r="AA116" s="157">
        <f t="shared" si="172"/>
        <v>92586.061249289516</v>
      </c>
      <c r="AB116" s="157">
        <f t="shared" si="172"/>
        <v>99071.281826891558</v>
      </c>
      <c r="AC116" s="157">
        <f t="shared" si="172"/>
        <v>106015.28483612832</v>
      </c>
      <c r="AD116" s="157">
        <f t="shared" si="172"/>
        <v>113454.57043076352</v>
      </c>
      <c r="AE116" s="157">
        <f t="shared" si="172"/>
        <v>121428.81875795915</v>
      </c>
      <c r="AF116" s="157">
        <f t="shared" si="172"/>
        <v>129981.18442127228</v>
      </c>
      <c r="AG116" s="157">
        <f t="shared" si="172"/>
        <v>139158.61921151183</v>
      </c>
      <c r="AH116" s="157">
        <f t="shared" si="172"/>
        <v>149012.22587324408</v>
      </c>
      <c r="AI116" s="157">
        <f t="shared" ref="AI116:BN116" si="173">+AI91-AI109</f>
        <v>159597.64594856548</v>
      </c>
      <c r="AJ116" s="157">
        <f t="shared" si="173"/>
        <v>170975.48504082105</v>
      </c>
      <c r="AK116" s="157">
        <f t="shared" si="173"/>
        <v>183211.77917195504</v>
      </c>
      <c r="AL116" s="157">
        <f t="shared" si="173"/>
        <v>196378.50627113756</v>
      </c>
      <c r="AM116" s="157">
        <f t="shared" si="173"/>
        <v>210554.14723247642</v>
      </c>
      <c r="AN116" s="157">
        <f t="shared" si="173"/>
        <v>225824.30141964267</v>
      </c>
      <c r="AO116" s="157">
        <f t="shared" si="173"/>
        <v>242282.36197905583</v>
      </c>
      <c r="AP116" s="157">
        <f t="shared" si="173"/>
        <v>260030.25685528829</v>
      </c>
      <c r="AQ116" s="157">
        <f t="shared" si="173"/>
        <v>279179.26198734553</v>
      </c>
      <c r="AR116" s="157">
        <f t="shared" si="173"/>
        <v>299850.89380776521</v>
      </c>
      <c r="AS116" s="157">
        <f t="shared" si="173"/>
        <v>322177.88887385634</v>
      </c>
      <c r="AT116" s="157">
        <f t="shared" si="173"/>
        <v>346305.27923827973</v>
      </c>
      <c r="AU116" s="157">
        <f t="shared" si="173"/>
        <v>372391.57302158989</v>
      </c>
      <c r="AV116" s="157">
        <f t="shared" si="173"/>
        <v>400610.05059003696</v>
      </c>
      <c r="AW116" s="157">
        <f t="shared" si="173"/>
        <v>431150.18777642283</v>
      </c>
      <c r="AX116" s="157">
        <f t="shared" si="173"/>
        <v>464219.21871942375</v>
      </c>
      <c r="AY116" s="157">
        <f t="shared" si="173"/>
        <v>500043.85214789835</v>
      </c>
      <c r="AZ116" s="157">
        <f t="shared" si="173"/>
        <v>538872.15631256741</v>
      </c>
      <c r="BA116" s="157">
        <f t="shared" si="173"/>
        <v>580975.6292805816</v>
      </c>
      <c r="BB116" s="157">
        <f t="shared" si="173"/>
        <v>626651.47297257697</v>
      </c>
      <c r="BC116" s="157">
        <f t="shared" si="173"/>
        <v>676225.09115193272</v>
      </c>
      <c r="BD116" s="157">
        <f t="shared" si="173"/>
        <v>730052.83358868724</v>
      </c>
      <c r="BE116" s="157">
        <f t="shared" si="173"/>
        <v>788525.01083416154</v>
      </c>
      <c r="BF116" s="157">
        <f t="shared" si="173"/>
        <v>852069.20647686662</v>
      </c>
      <c r="BG116" s="157">
        <f t="shared" si="173"/>
        <v>921153.91642779612</v>
      </c>
      <c r="BH116" s="157">
        <f t="shared" si="173"/>
        <v>996292.5477280044</v>
      </c>
      <c r="BI116" s="157">
        <f t="shared" si="173"/>
        <v>1078047.8126101433</v>
      </c>
      <c r="BJ116" s="157">
        <f t="shared" si="173"/>
        <v>1167036.5571077671</v>
      </c>
      <c r="BK116" s="157">
        <f t="shared" si="173"/>
        <v>1263935.0674239979</v>
      </c>
      <c r="BL116" s="157">
        <f t="shared" si="173"/>
        <v>1369484.9015801414</v>
      </c>
      <c r="BM116" s="157">
        <f t="shared" si="173"/>
        <v>1484499.2986041075</v>
      </c>
      <c r="BN116" s="157">
        <f t="shared" si="173"/>
        <v>1609870.2227310776</v>
      </c>
      <c r="BO116" s="157">
        <f t="shared" ref="BO116:BV116" si="174">+BO91-BO109</f>
        <v>1746576.105821989</v>
      </c>
      <c r="BP116" s="157">
        <f t="shared" si="174"/>
        <v>1895690.357511186</v>
      </c>
      <c r="BQ116" s="157">
        <f t="shared" si="174"/>
        <v>2058390.7195301782</v>
      </c>
      <c r="BR116" s="157">
        <f t="shared" si="174"/>
        <v>2235969.5482828384</v>
      </c>
      <c r="BS116" s="157">
        <f t="shared" si="174"/>
        <v>2429845.1181377368</v>
      </c>
      <c r="BT116" s="157">
        <f t="shared" si="174"/>
        <v>2641574.0471319542</v>
      </c>
      <c r="BU116" s="157">
        <f t="shared" si="174"/>
        <v>2872864.956931198</v>
      </c>
      <c r="BV116" s="157">
        <f t="shared" si="174"/>
        <v>3125593.4900557417</v>
      </c>
    </row>
    <row r="117" spans="2:74" s="125" customFormat="1" ht="15.75" customHeight="1" thickTop="1" x14ac:dyDescent="0.2">
      <c r="B117" s="129" t="s">
        <v>69</v>
      </c>
      <c r="C117" s="158">
        <f t="shared" ref="C117:AH117" si="175">+IFERROR(C116/C91,0)</f>
        <v>0.30232558139534882</v>
      </c>
      <c r="D117" s="158">
        <f t="shared" si="175"/>
        <v>0.31321638480419756</v>
      </c>
      <c r="E117" s="158">
        <f t="shared" si="175"/>
        <v>0.32361978362659943</v>
      </c>
      <c r="F117" s="158">
        <f t="shared" si="175"/>
        <v>0.33356227540046285</v>
      </c>
      <c r="G117" s="158">
        <f t="shared" si="175"/>
        <v>0.34306907917440255</v>
      </c>
      <c r="H117" s="158">
        <f t="shared" si="175"/>
        <v>0.35216419772859198</v>
      </c>
      <c r="I117" s="158">
        <f t="shared" si="175"/>
        <v>0.36087047639162051</v>
      </c>
      <c r="J117" s="158">
        <f t="shared" si="175"/>
        <v>0.36920965860715721</v>
      </c>
      <c r="K117" s="158">
        <f t="shared" si="175"/>
        <v>0.37720243839709222</v>
      </c>
      <c r="L117" s="158">
        <f t="shared" si="175"/>
        <v>0.38486850986127735</v>
      </c>
      <c r="M117" s="158">
        <f t="shared" si="175"/>
        <v>0.37036973730461575</v>
      </c>
      <c r="N117" s="158">
        <f t="shared" si="175"/>
        <v>0.399294581924027</v>
      </c>
      <c r="O117" s="158">
        <f t="shared" si="175"/>
        <v>0.40608937776787069</v>
      </c>
      <c r="P117" s="158">
        <f t="shared" si="175"/>
        <v>0.41262713610632268</v>
      </c>
      <c r="Q117" s="158">
        <f t="shared" si="175"/>
        <v>0.41892319930971106</v>
      </c>
      <c r="R117" s="158">
        <f t="shared" si="175"/>
        <v>0.42499215175879157</v>
      </c>
      <c r="S117" s="158">
        <f t="shared" si="175"/>
        <v>0.43084785209313398</v>
      </c>
      <c r="T117" s="158">
        <f t="shared" si="175"/>
        <v>0.43650346344873958</v>
      </c>
      <c r="U117" s="158">
        <f t="shared" si="175"/>
        <v>0.44197148179085216</v>
      </c>
      <c r="V117" s="158">
        <f t="shared" si="175"/>
        <v>0.44726376244659205</v>
      </c>
      <c r="W117" s="158">
        <f t="shared" si="175"/>
        <v>0.45239154494110029</v>
      </c>
      <c r="X117" s="158">
        <f t="shared" si="175"/>
        <v>0.45736547624029061</v>
      </c>
      <c r="Y117" s="158">
        <f t="shared" si="175"/>
        <v>0.43039120258699937</v>
      </c>
      <c r="Z117" s="158">
        <f t="shared" si="175"/>
        <v>0.46689153944540307</v>
      </c>
      <c r="AA117" s="158">
        <f t="shared" si="175"/>
        <v>0.4714621914202104</v>
      </c>
      <c r="AB117" s="158">
        <f t="shared" si="175"/>
        <v>0.47591606931434866</v>
      </c>
      <c r="AC117" s="158">
        <f t="shared" si="175"/>
        <v>0.48026115736787994</v>
      </c>
      <c r="AD117" s="158">
        <f t="shared" si="175"/>
        <v>0.48450495901807</v>
      </c>
      <c r="AE117" s="158">
        <f t="shared" si="175"/>
        <v>0.4886545118720837</v>
      </c>
      <c r="AF117" s="158">
        <f t="shared" si="175"/>
        <v>0.49271640191172988</v>
      </c>
      <c r="AG117" s="158">
        <f t="shared" si="175"/>
        <v>0.49669677703313869</v>
      </c>
      <c r="AH117" s="158">
        <f t="shared" si="175"/>
        <v>0.50060136002328803</v>
      </c>
      <c r="AI117" s="158">
        <f t="shared" ref="AI117:BN117" si="176">+IFERROR(AI116/AI91,0)</f>
        <v>0.50443546107382475</v>
      </c>
      <c r="AJ117" s="158">
        <f t="shared" si="176"/>
        <v>0.50820398993053351</v>
      </c>
      <c r="AK117" s="158">
        <f t="shared" si="176"/>
        <v>0.51191146777401275</v>
      </c>
      <c r="AL117" s="158">
        <f t="shared" si="176"/>
        <v>0.51556203892358909</v>
      </c>
      <c r="AM117" s="158">
        <f t="shared" si="176"/>
        <v>0.51915948245211296</v>
      </c>
      <c r="AN117" s="158">
        <f t="shared" si="176"/>
        <v>0.52270722379406298</v>
      </c>
      <c r="AO117" s="158">
        <f t="shared" si="176"/>
        <v>0.52620834642325942</v>
      </c>
      <c r="AP117" s="158">
        <f t="shared" si="176"/>
        <v>0.5296656036694839</v>
      </c>
      <c r="AQ117" s="158">
        <f t="shared" si="176"/>
        <v>0.5330814307354268</v>
      </c>
      <c r="AR117" s="158">
        <f t="shared" si="176"/>
        <v>0.53645795696668719</v>
      </c>
      <c r="AS117" s="158">
        <f t="shared" si="176"/>
        <v>0.53979701841809236</v>
      </c>
      <c r="AT117" s="158">
        <f t="shared" si="176"/>
        <v>0.54310017074950179</v>
      </c>
      <c r="AU117" s="158">
        <f t="shared" si="176"/>
        <v>0.54636870247361513</v>
      </c>
      <c r="AV117" s="158">
        <f t="shared" si="176"/>
        <v>0.54960364856725286</v>
      </c>
      <c r="AW117" s="158">
        <f t="shared" si="176"/>
        <v>0.55280580444632343</v>
      </c>
      <c r="AX117" s="158">
        <f t="shared" si="176"/>
        <v>0.55597574029335217</v>
      </c>
      <c r="AY117" s="158">
        <f t="shared" si="176"/>
        <v>0.5591138157152814</v>
      </c>
      <c r="AZ117" s="158">
        <f t="shared" si="176"/>
        <v>0.56222019469840367</v>
      </c>
      <c r="BA117" s="158">
        <f t="shared" si="176"/>
        <v>0.56529486081700109</v>
      </c>
      <c r="BB117" s="158">
        <f t="shared" si="176"/>
        <v>0.56833763264271342</v>
      </c>
      <c r="BC117" s="158">
        <f t="shared" si="176"/>
        <v>0.57134817929303916</v>
      </c>
      <c r="BD117" s="158">
        <f t="shared" si="176"/>
        <v>0.5743260360498641</v>
      </c>
      <c r="BE117" s="158">
        <f t="shared" si="176"/>
        <v>0.57727061997265661</v>
      </c>
      <c r="BF117" s="158">
        <f t="shared" si="176"/>
        <v>0.58018124542610261</v>
      </c>
      <c r="BG117" s="158">
        <f t="shared" si="176"/>
        <v>0.58305713943856285</v>
      </c>
      <c r="BH117" s="158">
        <f t="shared" si="176"/>
        <v>0.58589745680589334</v>
      </c>
      <c r="BI117" s="158">
        <f t="shared" si="176"/>
        <v>0.58870129485488931</v>
      </c>
      <c r="BJ117" s="158">
        <f t="shared" si="176"/>
        <v>0.59146770778190116</v>
      </c>
      <c r="BK117" s="158">
        <f t="shared" si="176"/>
        <v>0.5941957204849605</v>
      </c>
      <c r="BL117" s="158">
        <f t="shared" si="176"/>
        <v>0.59688434181198868</v>
      </c>
      <c r="BM117" s="158">
        <f t="shared" si="176"/>
        <v>0.59953257715319408</v>
      </c>
      <c r="BN117" s="158">
        <f t="shared" si="176"/>
        <v>0.60213944031249167</v>
      </c>
      <c r="BO117" s="158">
        <f t="shared" ref="BO117:BV117" si="177">+IFERROR(BO116/BO91,0)</f>
        <v>0.60470396460049847</v>
      </c>
      <c r="BP117" s="158">
        <f t="shared" si="177"/>
        <v>0.60722521310021427</v>
      </c>
      <c r="BQ117" s="158">
        <f t="shared" si="177"/>
        <v>0.60970228806567184</v>
      </c>
      <c r="BR117" s="158">
        <f t="shared" si="177"/>
        <v>0.61213433942344397</v>
      </c>
      <c r="BS117" s="158">
        <f t="shared" si="177"/>
        <v>0.61452057235670665</v>
      </c>
      <c r="BT117" s="158">
        <f t="shared" si="177"/>
        <v>0.61686025396139665</v>
      </c>
      <c r="BU117" s="158">
        <f t="shared" si="177"/>
        <v>0.61915271897365498</v>
      </c>
      <c r="BV117" s="158">
        <f t="shared" si="177"/>
        <v>0.62139737457705957</v>
      </c>
    </row>
    <row r="118" spans="2:74" s="125" customFormat="1" ht="15.75" customHeight="1" x14ac:dyDescent="0.2">
      <c r="B118" s="124"/>
      <c r="C118" s="159"/>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159"/>
      <c r="AB118" s="159"/>
      <c r="AC118" s="159"/>
      <c r="AD118" s="159"/>
      <c r="AE118" s="159"/>
      <c r="AF118" s="159"/>
      <c r="AG118" s="159"/>
      <c r="AH118" s="159"/>
      <c r="AI118" s="159"/>
      <c r="AJ118" s="159"/>
      <c r="AK118" s="159"/>
      <c r="AL118" s="159"/>
      <c r="AM118" s="159"/>
      <c r="AN118" s="159"/>
      <c r="AO118" s="159"/>
      <c r="AP118" s="159"/>
      <c r="AQ118" s="159"/>
      <c r="AR118" s="159"/>
      <c r="AS118" s="159"/>
      <c r="AT118" s="159"/>
      <c r="AU118" s="159"/>
      <c r="AV118" s="159"/>
      <c r="AW118" s="159"/>
      <c r="AX118" s="159"/>
      <c r="AY118" s="159"/>
      <c r="AZ118" s="159"/>
      <c r="BA118" s="159"/>
      <c r="BB118" s="159"/>
      <c r="BC118" s="159"/>
      <c r="BD118" s="159"/>
      <c r="BE118" s="159"/>
      <c r="BF118" s="159"/>
      <c r="BG118" s="159"/>
      <c r="BH118" s="159"/>
      <c r="BI118" s="159"/>
      <c r="BJ118" s="159"/>
      <c r="BK118" s="159"/>
      <c r="BL118" s="159"/>
      <c r="BM118" s="159"/>
      <c r="BN118" s="159"/>
      <c r="BO118" s="159"/>
      <c r="BP118" s="159"/>
      <c r="BQ118" s="159"/>
      <c r="BR118" s="159"/>
      <c r="BS118" s="159"/>
      <c r="BT118" s="159"/>
      <c r="BU118" s="159"/>
      <c r="BV118" s="159"/>
    </row>
    <row r="119" spans="2:74" s="125" customFormat="1" ht="15.75" customHeight="1" x14ac:dyDescent="0.2">
      <c r="B119" s="128" t="s">
        <v>70</v>
      </c>
      <c r="C119" s="106">
        <f t="shared" ref="C119:AH119" si="178">+SUM(C120:C129)</f>
        <v>14600</v>
      </c>
      <c r="D119" s="106">
        <f t="shared" si="178"/>
        <v>14600</v>
      </c>
      <c r="E119" s="106">
        <f t="shared" si="178"/>
        <v>14600</v>
      </c>
      <c r="F119" s="106">
        <f t="shared" si="178"/>
        <v>14600</v>
      </c>
      <c r="G119" s="106">
        <f t="shared" si="178"/>
        <v>14600</v>
      </c>
      <c r="H119" s="106">
        <f t="shared" si="178"/>
        <v>14600</v>
      </c>
      <c r="I119" s="106">
        <f t="shared" si="178"/>
        <v>14600</v>
      </c>
      <c r="J119" s="106">
        <f t="shared" si="178"/>
        <v>14600</v>
      </c>
      <c r="K119" s="106">
        <f t="shared" si="178"/>
        <v>14600</v>
      </c>
      <c r="L119" s="106">
        <f t="shared" si="178"/>
        <v>14600</v>
      </c>
      <c r="M119" s="106">
        <f t="shared" si="178"/>
        <v>14600</v>
      </c>
      <c r="N119" s="106">
        <f t="shared" si="178"/>
        <v>14600</v>
      </c>
      <c r="O119" s="106">
        <f t="shared" si="178"/>
        <v>14600</v>
      </c>
      <c r="P119" s="106">
        <f t="shared" si="178"/>
        <v>14600</v>
      </c>
      <c r="Q119" s="106">
        <f t="shared" si="178"/>
        <v>14600</v>
      </c>
      <c r="R119" s="106">
        <f t="shared" si="178"/>
        <v>14600</v>
      </c>
      <c r="S119" s="106">
        <f t="shared" si="178"/>
        <v>14600</v>
      </c>
      <c r="T119" s="106">
        <f t="shared" si="178"/>
        <v>14600</v>
      </c>
      <c r="U119" s="106">
        <f t="shared" si="178"/>
        <v>14600</v>
      </c>
      <c r="V119" s="106">
        <f t="shared" si="178"/>
        <v>14600</v>
      </c>
      <c r="W119" s="106">
        <f t="shared" si="178"/>
        <v>14600</v>
      </c>
      <c r="X119" s="106">
        <f t="shared" si="178"/>
        <v>14600</v>
      </c>
      <c r="Y119" s="106">
        <f t="shared" si="178"/>
        <v>14600</v>
      </c>
      <c r="Z119" s="106">
        <f t="shared" si="178"/>
        <v>14600</v>
      </c>
      <c r="AA119" s="106">
        <f t="shared" si="178"/>
        <v>14600</v>
      </c>
      <c r="AB119" s="106">
        <f t="shared" si="178"/>
        <v>14600</v>
      </c>
      <c r="AC119" s="106">
        <f t="shared" si="178"/>
        <v>14600</v>
      </c>
      <c r="AD119" s="106">
        <f t="shared" si="178"/>
        <v>14600</v>
      </c>
      <c r="AE119" s="106">
        <f t="shared" si="178"/>
        <v>14600</v>
      </c>
      <c r="AF119" s="106">
        <f t="shared" si="178"/>
        <v>14600</v>
      </c>
      <c r="AG119" s="106">
        <f t="shared" si="178"/>
        <v>14600</v>
      </c>
      <c r="AH119" s="106">
        <f t="shared" si="178"/>
        <v>14600</v>
      </c>
      <c r="AI119" s="106">
        <f t="shared" ref="AI119:BN119" si="179">+SUM(AI120:AI129)</f>
        <v>14600</v>
      </c>
      <c r="AJ119" s="106">
        <f t="shared" si="179"/>
        <v>14600</v>
      </c>
      <c r="AK119" s="106">
        <f t="shared" si="179"/>
        <v>14600</v>
      </c>
      <c r="AL119" s="106">
        <f t="shared" si="179"/>
        <v>14600</v>
      </c>
      <c r="AM119" s="106">
        <f t="shared" si="179"/>
        <v>14600</v>
      </c>
      <c r="AN119" s="106">
        <f t="shared" si="179"/>
        <v>14600</v>
      </c>
      <c r="AO119" s="106">
        <f t="shared" si="179"/>
        <v>14600</v>
      </c>
      <c r="AP119" s="106">
        <f t="shared" si="179"/>
        <v>14600</v>
      </c>
      <c r="AQ119" s="106">
        <f t="shared" si="179"/>
        <v>14600</v>
      </c>
      <c r="AR119" s="106">
        <f t="shared" si="179"/>
        <v>14600</v>
      </c>
      <c r="AS119" s="106">
        <f t="shared" si="179"/>
        <v>14600</v>
      </c>
      <c r="AT119" s="106">
        <f t="shared" si="179"/>
        <v>14600</v>
      </c>
      <c r="AU119" s="106">
        <f t="shared" si="179"/>
        <v>14600</v>
      </c>
      <c r="AV119" s="106">
        <f t="shared" si="179"/>
        <v>14600</v>
      </c>
      <c r="AW119" s="106">
        <f t="shared" si="179"/>
        <v>14600</v>
      </c>
      <c r="AX119" s="106">
        <f t="shared" si="179"/>
        <v>14600</v>
      </c>
      <c r="AY119" s="106">
        <f t="shared" si="179"/>
        <v>14600</v>
      </c>
      <c r="AZ119" s="106">
        <f t="shared" si="179"/>
        <v>14600</v>
      </c>
      <c r="BA119" s="106">
        <f t="shared" si="179"/>
        <v>14600</v>
      </c>
      <c r="BB119" s="106">
        <f t="shared" si="179"/>
        <v>14600</v>
      </c>
      <c r="BC119" s="106">
        <f t="shared" si="179"/>
        <v>14600</v>
      </c>
      <c r="BD119" s="106">
        <f t="shared" si="179"/>
        <v>14600</v>
      </c>
      <c r="BE119" s="106">
        <f t="shared" si="179"/>
        <v>14600</v>
      </c>
      <c r="BF119" s="106">
        <f t="shared" si="179"/>
        <v>14600</v>
      </c>
      <c r="BG119" s="106">
        <f t="shared" si="179"/>
        <v>14600</v>
      </c>
      <c r="BH119" s="106">
        <f t="shared" si="179"/>
        <v>14600</v>
      </c>
      <c r="BI119" s="106">
        <f t="shared" si="179"/>
        <v>14600</v>
      </c>
      <c r="BJ119" s="106">
        <f t="shared" si="179"/>
        <v>14600</v>
      </c>
      <c r="BK119" s="106">
        <f t="shared" si="179"/>
        <v>14600</v>
      </c>
      <c r="BL119" s="106">
        <f t="shared" si="179"/>
        <v>14600</v>
      </c>
      <c r="BM119" s="106">
        <f t="shared" si="179"/>
        <v>14600</v>
      </c>
      <c r="BN119" s="106">
        <f t="shared" si="179"/>
        <v>14600</v>
      </c>
      <c r="BO119" s="106">
        <f t="shared" ref="BO119:BV119" si="180">+SUM(BO120:BO129)</f>
        <v>14600</v>
      </c>
      <c r="BP119" s="106">
        <f t="shared" si="180"/>
        <v>14600</v>
      </c>
      <c r="BQ119" s="106">
        <f t="shared" si="180"/>
        <v>14600</v>
      </c>
      <c r="BR119" s="106">
        <f t="shared" si="180"/>
        <v>14600</v>
      </c>
      <c r="BS119" s="106">
        <f t="shared" si="180"/>
        <v>14600</v>
      </c>
      <c r="BT119" s="106">
        <f t="shared" si="180"/>
        <v>14600</v>
      </c>
      <c r="BU119" s="106">
        <f t="shared" si="180"/>
        <v>14600</v>
      </c>
      <c r="BV119" s="106">
        <f t="shared" si="180"/>
        <v>14600</v>
      </c>
    </row>
    <row r="120" spans="2:74" s="125" customFormat="1" ht="15.75" hidden="1" customHeight="1" outlineLevel="1" x14ac:dyDescent="0.2">
      <c r="B120" s="160" t="s">
        <v>144</v>
      </c>
      <c r="C120" s="169">
        <v>8000</v>
      </c>
      <c r="D120" s="169">
        <v>8000</v>
      </c>
      <c r="E120" s="169">
        <v>8000</v>
      </c>
      <c r="F120" s="169">
        <v>8000</v>
      </c>
      <c r="G120" s="169">
        <v>8000</v>
      </c>
      <c r="H120" s="169">
        <v>8000</v>
      </c>
      <c r="I120" s="169">
        <v>8000</v>
      </c>
      <c r="J120" s="169">
        <v>8000</v>
      </c>
      <c r="K120" s="169">
        <v>8000</v>
      </c>
      <c r="L120" s="169">
        <v>8000</v>
      </c>
      <c r="M120" s="169">
        <v>8000</v>
      </c>
      <c r="N120" s="169">
        <v>8000</v>
      </c>
      <c r="O120" s="169">
        <v>8000</v>
      </c>
      <c r="P120" s="169">
        <v>8000</v>
      </c>
      <c r="Q120" s="169">
        <v>8000</v>
      </c>
      <c r="R120" s="169">
        <v>8000</v>
      </c>
      <c r="S120" s="169">
        <v>8000</v>
      </c>
      <c r="T120" s="169">
        <v>8000</v>
      </c>
      <c r="U120" s="169">
        <v>8000</v>
      </c>
      <c r="V120" s="169">
        <v>8000</v>
      </c>
      <c r="W120" s="169">
        <v>8000</v>
      </c>
      <c r="X120" s="169">
        <v>8000</v>
      </c>
      <c r="Y120" s="169">
        <v>8000</v>
      </c>
      <c r="Z120" s="169">
        <v>8000</v>
      </c>
      <c r="AA120" s="169">
        <v>8000</v>
      </c>
      <c r="AB120" s="169">
        <v>8000</v>
      </c>
      <c r="AC120" s="169">
        <v>8000</v>
      </c>
      <c r="AD120" s="169">
        <v>8000</v>
      </c>
      <c r="AE120" s="169">
        <v>8000</v>
      </c>
      <c r="AF120" s="169">
        <v>8000</v>
      </c>
      <c r="AG120" s="169">
        <v>8000</v>
      </c>
      <c r="AH120" s="169">
        <v>8000</v>
      </c>
      <c r="AI120" s="169">
        <v>8000</v>
      </c>
      <c r="AJ120" s="169">
        <v>8000</v>
      </c>
      <c r="AK120" s="169">
        <v>8000</v>
      </c>
      <c r="AL120" s="169">
        <v>8000</v>
      </c>
      <c r="AM120" s="169">
        <v>8000</v>
      </c>
      <c r="AN120" s="169">
        <v>8000</v>
      </c>
      <c r="AO120" s="169">
        <v>8000</v>
      </c>
      <c r="AP120" s="169">
        <v>8000</v>
      </c>
      <c r="AQ120" s="169">
        <v>8000</v>
      </c>
      <c r="AR120" s="169">
        <v>8000</v>
      </c>
      <c r="AS120" s="169">
        <v>8000</v>
      </c>
      <c r="AT120" s="169">
        <v>8000</v>
      </c>
      <c r="AU120" s="169">
        <v>8000</v>
      </c>
      <c r="AV120" s="169">
        <v>8000</v>
      </c>
      <c r="AW120" s="169">
        <v>8000</v>
      </c>
      <c r="AX120" s="169">
        <v>8000</v>
      </c>
      <c r="AY120" s="169">
        <v>8000</v>
      </c>
      <c r="AZ120" s="169">
        <v>8000</v>
      </c>
      <c r="BA120" s="169">
        <v>8000</v>
      </c>
      <c r="BB120" s="169">
        <v>8000</v>
      </c>
      <c r="BC120" s="169">
        <v>8000</v>
      </c>
      <c r="BD120" s="169">
        <v>8000</v>
      </c>
      <c r="BE120" s="169">
        <v>8000</v>
      </c>
      <c r="BF120" s="169">
        <v>8000</v>
      </c>
      <c r="BG120" s="169">
        <v>8000</v>
      </c>
      <c r="BH120" s="169">
        <v>8000</v>
      </c>
      <c r="BI120" s="169">
        <v>8000</v>
      </c>
      <c r="BJ120" s="169">
        <v>8000</v>
      </c>
      <c r="BK120" s="169">
        <v>8000</v>
      </c>
      <c r="BL120" s="169">
        <v>8000</v>
      </c>
      <c r="BM120" s="169">
        <v>8000</v>
      </c>
      <c r="BN120" s="169">
        <v>8000</v>
      </c>
      <c r="BO120" s="169">
        <v>8000</v>
      </c>
      <c r="BP120" s="169">
        <v>8000</v>
      </c>
      <c r="BQ120" s="169">
        <v>8000</v>
      </c>
      <c r="BR120" s="169">
        <v>8000</v>
      </c>
      <c r="BS120" s="169">
        <v>8000</v>
      </c>
      <c r="BT120" s="169">
        <v>8000</v>
      </c>
      <c r="BU120" s="169">
        <v>8000</v>
      </c>
      <c r="BV120" s="169">
        <v>8000</v>
      </c>
    </row>
    <row r="121" spans="2:74" s="125" customFormat="1" ht="15.75" hidden="1" customHeight="1" outlineLevel="1" x14ac:dyDescent="0.2">
      <c r="B121" s="160" t="s">
        <v>158</v>
      </c>
      <c r="C121" s="169">
        <v>6600</v>
      </c>
      <c r="D121" s="169">
        <v>6600</v>
      </c>
      <c r="E121" s="169">
        <v>6600</v>
      </c>
      <c r="F121" s="169">
        <v>6600</v>
      </c>
      <c r="G121" s="169">
        <v>6600</v>
      </c>
      <c r="H121" s="169">
        <v>6600</v>
      </c>
      <c r="I121" s="169">
        <v>6600</v>
      </c>
      <c r="J121" s="169">
        <v>6600</v>
      </c>
      <c r="K121" s="169">
        <v>6600</v>
      </c>
      <c r="L121" s="169">
        <v>6600</v>
      </c>
      <c r="M121" s="169">
        <v>6600</v>
      </c>
      <c r="N121" s="169">
        <v>6600</v>
      </c>
      <c r="O121" s="169">
        <v>6600</v>
      </c>
      <c r="P121" s="169">
        <v>6600</v>
      </c>
      <c r="Q121" s="169">
        <v>6600</v>
      </c>
      <c r="R121" s="169">
        <v>6600</v>
      </c>
      <c r="S121" s="169">
        <v>6600</v>
      </c>
      <c r="T121" s="169">
        <v>6600</v>
      </c>
      <c r="U121" s="169">
        <v>6600</v>
      </c>
      <c r="V121" s="169">
        <v>6600</v>
      </c>
      <c r="W121" s="169">
        <v>6600</v>
      </c>
      <c r="X121" s="169">
        <v>6600</v>
      </c>
      <c r="Y121" s="169">
        <v>6600</v>
      </c>
      <c r="Z121" s="169">
        <v>6600</v>
      </c>
      <c r="AA121" s="169">
        <v>6600</v>
      </c>
      <c r="AB121" s="169">
        <v>6600</v>
      </c>
      <c r="AC121" s="169">
        <v>6600</v>
      </c>
      <c r="AD121" s="169">
        <v>6600</v>
      </c>
      <c r="AE121" s="169">
        <v>6600</v>
      </c>
      <c r="AF121" s="169">
        <v>6600</v>
      </c>
      <c r="AG121" s="169">
        <v>6600</v>
      </c>
      <c r="AH121" s="169">
        <v>6600</v>
      </c>
      <c r="AI121" s="169">
        <v>6600</v>
      </c>
      <c r="AJ121" s="169">
        <v>6600</v>
      </c>
      <c r="AK121" s="169">
        <v>6600</v>
      </c>
      <c r="AL121" s="169">
        <v>6600</v>
      </c>
      <c r="AM121" s="169">
        <v>6600</v>
      </c>
      <c r="AN121" s="169">
        <v>6600</v>
      </c>
      <c r="AO121" s="169">
        <v>6600</v>
      </c>
      <c r="AP121" s="169">
        <v>6600</v>
      </c>
      <c r="AQ121" s="169">
        <v>6600</v>
      </c>
      <c r="AR121" s="169">
        <v>6600</v>
      </c>
      <c r="AS121" s="169">
        <v>6600</v>
      </c>
      <c r="AT121" s="169">
        <v>6600</v>
      </c>
      <c r="AU121" s="169">
        <v>6600</v>
      </c>
      <c r="AV121" s="169">
        <v>6600</v>
      </c>
      <c r="AW121" s="169">
        <v>6600</v>
      </c>
      <c r="AX121" s="169">
        <v>6600</v>
      </c>
      <c r="AY121" s="169">
        <v>6600</v>
      </c>
      <c r="AZ121" s="169">
        <v>6600</v>
      </c>
      <c r="BA121" s="169">
        <v>6600</v>
      </c>
      <c r="BB121" s="169">
        <v>6600</v>
      </c>
      <c r="BC121" s="169">
        <v>6600</v>
      </c>
      <c r="BD121" s="169">
        <v>6600</v>
      </c>
      <c r="BE121" s="169">
        <v>6600</v>
      </c>
      <c r="BF121" s="169">
        <v>6600</v>
      </c>
      <c r="BG121" s="169">
        <v>6600</v>
      </c>
      <c r="BH121" s="169">
        <v>6600</v>
      </c>
      <c r="BI121" s="169">
        <v>6600</v>
      </c>
      <c r="BJ121" s="169">
        <v>6600</v>
      </c>
      <c r="BK121" s="169">
        <v>6600</v>
      </c>
      <c r="BL121" s="169">
        <v>6600</v>
      </c>
      <c r="BM121" s="169">
        <v>6600</v>
      </c>
      <c r="BN121" s="169">
        <v>6600</v>
      </c>
      <c r="BO121" s="169">
        <v>6600</v>
      </c>
      <c r="BP121" s="169">
        <v>6600</v>
      </c>
      <c r="BQ121" s="169">
        <v>6600</v>
      </c>
      <c r="BR121" s="169">
        <v>6600</v>
      </c>
      <c r="BS121" s="169">
        <v>6600</v>
      </c>
      <c r="BT121" s="169">
        <v>6600</v>
      </c>
      <c r="BU121" s="169">
        <v>6600</v>
      </c>
      <c r="BV121" s="169">
        <v>6600</v>
      </c>
    </row>
    <row r="122" spans="2:74" s="125" customFormat="1" ht="15.75" hidden="1" customHeight="1" outlineLevel="1" x14ac:dyDescent="0.2">
      <c r="B122" s="160" t="s">
        <v>88</v>
      </c>
      <c r="C122" s="169">
        <v>0</v>
      </c>
      <c r="D122" s="169">
        <v>0</v>
      </c>
      <c r="E122" s="169">
        <v>0</v>
      </c>
      <c r="F122" s="169">
        <v>0</v>
      </c>
      <c r="G122" s="169">
        <v>0</v>
      </c>
      <c r="H122" s="169">
        <v>0</v>
      </c>
      <c r="I122" s="169">
        <v>0</v>
      </c>
      <c r="J122" s="169">
        <v>0</v>
      </c>
      <c r="K122" s="169">
        <v>0</v>
      </c>
      <c r="L122" s="169">
        <v>0</v>
      </c>
      <c r="M122" s="169">
        <v>0</v>
      </c>
      <c r="N122" s="169">
        <v>0</v>
      </c>
      <c r="O122" s="169">
        <v>0</v>
      </c>
      <c r="P122" s="169">
        <v>0</v>
      </c>
      <c r="Q122" s="169">
        <v>0</v>
      </c>
      <c r="R122" s="169">
        <v>0</v>
      </c>
      <c r="S122" s="169">
        <v>0</v>
      </c>
      <c r="T122" s="169">
        <v>0</v>
      </c>
      <c r="U122" s="169">
        <v>0</v>
      </c>
      <c r="V122" s="169">
        <v>0</v>
      </c>
      <c r="W122" s="169">
        <v>0</v>
      </c>
      <c r="X122" s="169">
        <v>0</v>
      </c>
      <c r="Y122" s="169">
        <v>0</v>
      </c>
      <c r="Z122" s="169">
        <v>0</v>
      </c>
      <c r="AA122" s="169">
        <v>0</v>
      </c>
      <c r="AB122" s="169">
        <v>0</v>
      </c>
      <c r="AC122" s="169">
        <v>0</v>
      </c>
      <c r="AD122" s="169">
        <v>0</v>
      </c>
      <c r="AE122" s="169">
        <v>0</v>
      </c>
      <c r="AF122" s="169">
        <v>0</v>
      </c>
      <c r="AG122" s="169">
        <v>0</v>
      </c>
      <c r="AH122" s="169">
        <v>0</v>
      </c>
      <c r="AI122" s="169">
        <v>0</v>
      </c>
      <c r="AJ122" s="169">
        <v>0</v>
      </c>
      <c r="AK122" s="169">
        <v>0</v>
      </c>
      <c r="AL122" s="169">
        <v>0</v>
      </c>
      <c r="AM122" s="169">
        <v>0</v>
      </c>
      <c r="AN122" s="169">
        <v>0</v>
      </c>
      <c r="AO122" s="169">
        <v>0</v>
      </c>
      <c r="AP122" s="169">
        <v>0</v>
      </c>
      <c r="AQ122" s="169">
        <v>0</v>
      </c>
      <c r="AR122" s="169">
        <v>0</v>
      </c>
      <c r="AS122" s="169">
        <v>0</v>
      </c>
      <c r="AT122" s="169">
        <v>0</v>
      </c>
      <c r="AU122" s="169">
        <v>0</v>
      </c>
      <c r="AV122" s="169">
        <v>0</v>
      </c>
      <c r="AW122" s="169">
        <v>0</v>
      </c>
      <c r="AX122" s="169">
        <v>0</v>
      </c>
      <c r="AY122" s="169">
        <v>0</v>
      </c>
      <c r="AZ122" s="169">
        <v>0</v>
      </c>
      <c r="BA122" s="169">
        <v>0</v>
      </c>
      <c r="BB122" s="169">
        <v>0</v>
      </c>
      <c r="BC122" s="169">
        <v>0</v>
      </c>
      <c r="BD122" s="169">
        <v>0</v>
      </c>
      <c r="BE122" s="169">
        <v>0</v>
      </c>
      <c r="BF122" s="169">
        <v>0</v>
      </c>
      <c r="BG122" s="169">
        <v>0</v>
      </c>
      <c r="BH122" s="169">
        <v>0</v>
      </c>
      <c r="BI122" s="169">
        <v>0</v>
      </c>
      <c r="BJ122" s="169">
        <v>0</v>
      </c>
      <c r="BK122" s="169">
        <v>0</v>
      </c>
      <c r="BL122" s="169">
        <v>0</v>
      </c>
      <c r="BM122" s="169">
        <v>0</v>
      </c>
      <c r="BN122" s="169">
        <v>0</v>
      </c>
      <c r="BO122" s="169">
        <v>0</v>
      </c>
      <c r="BP122" s="169">
        <v>0</v>
      </c>
      <c r="BQ122" s="169">
        <v>0</v>
      </c>
      <c r="BR122" s="169">
        <v>0</v>
      </c>
      <c r="BS122" s="169">
        <v>0</v>
      </c>
      <c r="BT122" s="169">
        <v>0</v>
      </c>
      <c r="BU122" s="169">
        <v>0</v>
      </c>
      <c r="BV122" s="169">
        <v>0</v>
      </c>
    </row>
    <row r="123" spans="2:74" s="125" customFormat="1" ht="15.75" hidden="1" customHeight="1" outlineLevel="1" x14ac:dyDescent="0.2">
      <c r="B123" s="160" t="s">
        <v>89</v>
      </c>
      <c r="C123" s="169">
        <v>0</v>
      </c>
      <c r="D123" s="169">
        <v>0</v>
      </c>
      <c r="E123" s="169">
        <v>0</v>
      </c>
      <c r="F123" s="169">
        <v>0</v>
      </c>
      <c r="G123" s="169">
        <v>0</v>
      </c>
      <c r="H123" s="169">
        <v>0</v>
      </c>
      <c r="I123" s="169">
        <v>0</v>
      </c>
      <c r="J123" s="169">
        <v>0</v>
      </c>
      <c r="K123" s="169">
        <v>0</v>
      </c>
      <c r="L123" s="169">
        <v>0</v>
      </c>
      <c r="M123" s="169">
        <v>0</v>
      </c>
      <c r="N123" s="169">
        <v>0</v>
      </c>
      <c r="O123" s="169">
        <v>0</v>
      </c>
      <c r="P123" s="169">
        <v>0</v>
      </c>
      <c r="Q123" s="169">
        <v>0</v>
      </c>
      <c r="R123" s="169">
        <v>0</v>
      </c>
      <c r="S123" s="169">
        <v>0</v>
      </c>
      <c r="T123" s="169">
        <v>0</v>
      </c>
      <c r="U123" s="169">
        <v>0</v>
      </c>
      <c r="V123" s="169">
        <v>0</v>
      </c>
      <c r="W123" s="169">
        <v>0</v>
      </c>
      <c r="X123" s="169">
        <v>0</v>
      </c>
      <c r="Y123" s="169">
        <v>0</v>
      </c>
      <c r="Z123" s="169">
        <v>0</v>
      </c>
      <c r="AA123" s="169">
        <v>0</v>
      </c>
      <c r="AB123" s="169">
        <v>0</v>
      </c>
      <c r="AC123" s="169">
        <v>0</v>
      </c>
      <c r="AD123" s="169">
        <v>0</v>
      </c>
      <c r="AE123" s="169">
        <v>0</v>
      </c>
      <c r="AF123" s="169">
        <v>0</v>
      </c>
      <c r="AG123" s="169">
        <v>0</v>
      </c>
      <c r="AH123" s="169">
        <v>0</v>
      </c>
      <c r="AI123" s="169">
        <v>0</v>
      </c>
      <c r="AJ123" s="169">
        <v>0</v>
      </c>
      <c r="AK123" s="169">
        <v>0</v>
      </c>
      <c r="AL123" s="169">
        <v>0</v>
      </c>
      <c r="AM123" s="169">
        <v>0</v>
      </c>
      <c r="AN123" s="169">
        <v>0</v>
      </c>
      <c r="AO123" s="169">
        <v>0</v>
      </c>
      <c r="AP123" s="169">
        <v>0</v>
      </c>
      <c r="AQ123" s="169">
        <v>0</v>
      </c>
      <c r="AR123" s="169">
        <v>0</v>
      </c>
      <c r="AS123" s="169">
        <v>0</v>
      </c>
      <c r="AT123" s="169">
        <v>0</v>
      </c>
      <c r="AU123" s="169">
        <v>0</v>
      </c>
      <c r="AV123" s="169">
        <v>0</v>
      </c>
      <c r="AW123" s="169">
        <v>0</v>
      </c>
      <c r="AX123" s="169">
        <v>0</v>
      </c>
      <c r="AY123" s="169">
        <v>0</v>
      </c>
      <c r="AZ123" s="169">
        <v>0</v>
      </c>
      <c r="BA123" s="169">
        <v>0</v>
      </c>
      <c r="BB123" s="169">
        <v>0</v>
      </c>
      <c r="BC123" s="169">
        <v>0</v>
      </c>
      <c r="BD123" s="169">
        <v>0</v>
      </c>
      <c r="BE123" s="169">
        <v>0</v>
      </c>
      <c r="BF123" s="169">
        <v>0</v>
      </c>
      <c r="BG123" s="169">
        <v>0</v>
      </c>
      <c r="BH123" s="169">
        <v>0</v>
      </c>
      <c r="BI123" s="169">
        <v>0</v>
      </c>
      <c r="BJ123" s="169">
        <v>0</v>
      </c>
      <c r="BK123" s="169">
        <v>0</v>
      </c>
      <c r="BL123" s="169">
        <v>0</v>
      </c>
      <c r="BM123" s="169">
        <v>0</v>
      </c>
      <c r="BN123" s="169">
        <v>0</v>
      </c>
      <c r="BO123" s="169">
        <v>0</v>
      </c>
      <c r="BP123" s="169">
        <v>0</v>
      </c>
      <c r="BQ123" s="169">
        <v>0</v>
      </c>
      <c r="BR123" s="169">
        <v>0</v>
      </c>
      <c r="BS123" s="169">
        <v>0</v>
      </c>
      <c r="BT123" s="169">
        <v>0</v>
      </c>
      <c r="BU123" s="169">
        <v>0</v>
      </c>
      <c r="BV123" s="169">
        <v>0</v>
      </c>
    </row>
    <row r="124" spans="2:74" s="125" customFormat="1" ht="15.75" hidden="1" customHeight="1" outlineLevel="1" x14ac:dyDescent="0.2">
      <c r="B124" s="160" t="s">
        <v>90</v>
      </c>
      <c r="C124" s="169">
        <v>0</v>
      </c>
      <c r="D124" s="169">
        <v>0</v>
      </c>
      <c r="E124" s="169">
        <v>0</v>
      </c>
      <c r="F124" s="169">
        <v>0</v>
      </c>
      <c r="G124" s="169">
        <v>0</v>
      </c>
      <c r="H124" s="169">
        <v>0</v>
      </c>
      <c r="I124" s="169">
        <v>0</v>
      </c>
      <c r="J124" s="169">
        <v>0</v>
      </c>
      <c r="K124" s="169">
        <v>0</v>
      </c>
      <c r="L124" s="169">
        <v>0</v>
      </c>
      <c r="M124" s="169">
        <v>0</v>
      </c>
      <c r="N124" s="169">
        <v>0</v>
      </c>
      <c r="O124" s="169">
        <v>0</v>
      </c>
      <c r="P124" s="169">
        <v>0</v>
      </c>
      <c r="Q124" s="169">
        <v>0</v>
      </c>
      <c r="R124" s="169">
        <v>0</v>
      </c>
      <c r="S124" s="169">
        <v>0</v>
      </c>
      <c r="T124" s="169">
        <v>0</v>
      </c>
      <c r="U124" s="169">
        <v>0</v>
      </c>
      <c r="V124" s="169">
        <v>0</v>
      </c>
      <c r="W124" s="169">
        <v>0</v>
      </c>
      <c r="X124" s="169">
        <v>0</v>
      </c>
      <c r="Y124" s="169">
        <v>0</v>
      </c>
      <c r="Z124" s="169">
        <v>0</v>
      </c>
      <c r="AA124" s="169">
        <v>0</v>
      </c>
      <c r="AB124" s="169">
        <v>0</v>
      </c>
      <c r="AC124" s="169">
        <v>0</v>
      </c>
      <c r="AD124" s="169">
        <v>0</v>
      </c>
      <c r="AE124" s="169">
        <v>0</v>
      </c>
      <c r="AF124" s="169">
        <v>0</v>
      </c>
      <c r="AG124" s="169">
        <v>0</v>
      </c>
      <c r="AH124" s="169">
        <v>0</v>
      </c>
      <c r="AI124" s="169">
        <v>0</v>
      </c>
      <c r="AJ124" s="169">
        <v>0</v>
      </c>
      <c r="AK124" s="169">
        <v>0</v>
      </c>
      <c r="AL124" s="169">
        <v>0</v>
      </c>
      <c r="AM124" s="169">
        <v>0</v>
      </c>
      <c r="AN124" s="169">
        <v>0</v>
      </c>
      <c r="AO124" s="169">
        <v>0</v>
      </c>
      <c r="AP124" s="169">
        <v>0</v>
      </c>
      <c r="AQ124" s="169">
        <v>0</v>
      </c>
      <c r="AR124" s="169">
        <v>0</v>
      </c>
      <c r="AS124" s="169">
        <v>0</v>
      </c>
      <c r="AT124" s="169">
        <v>0</v>
      </c>
      <c r="AU124" s="169">
        <v>0</v>
      </c>
      <c r="AV124" s="169">
        <v>0</v>
      </c>
      <c r="AW124" s="169">
        <v>0</v>
      </c>
      <c r="AX124" s="169">
        <v>0</v>
      </c>
      <c r="AY124" s="169">
        <v>0</v>
      </c>
      <c r="AZ124" s="169">
        <v>0</v>
      </c>
      <c r="BA124" s="169">
        <v>0</v>
      </c>
      <c r="BB124" s="169">
        <v>0</v>
      </c>
      <c r="BC124" s="169">
        <v>0</v>
      </c>
      <c r="BD124" s="169">
        <v>0</v>
      </c>
      <c r="BE124" s="169">
        <v>0</v>
      </c>
      <c r="BF124" s="169">
        <v>0</v>
      </c>
      <c r="BG124" s="169">
        <v>0</v>
      </c>
      <c r="BH124" s="169">
        <v>0</v>
      </c>
      <c r="BI124" s="169">
        <v>0</v>
      </c>
      <c r="BJ124" s="169">
        <v>0</v>
      </c>
      <c r="BK124" s="169">
        <v>0</v>
      </c>
      <c r="BL124" s="169">
        <v>0</v>
      </c>
      <c r="BM124" s="169">
        <v>0</v>
      </c>
      <c r="BN124" s="169">
        <v>0</v>
      </c>
      <c r="BO124" s="169">
        <v>0</v>
      </c>
      <c r="BP124" s="169">
        <v>0</v>
      </c>
      <c r="BQ124" s="169">
        <v>0</v>
      </c>
      <c r="BR124" s="169">
        <v>0</v>
      </c>
      <c r="BS124" s="169">
        <v>0</v>
      </c>
      <c r="BT124" s="169">
        <v>0</v>
      </c>
      <c r="BU124" s="169">
        <v>0</v>
      </c>
      <c r="BV124" s="169">
        <v>0</v>
      </c>
    </row>
    <row r="125" spans="2:74" s="125" customFormat="1" ht="15.75" hidden="1" customHeight="1" outlineLevel="1" x14ac:dyDescent="0.2">
      <c r="B125" s="160" t="s">
        <v>91</v>
      </c>
      <c r="C125" s="169">
        <v>0</v>
      </c>
      <c r="D125" s="169">
        <v>0</v>
      </c>
      <c r="E125" s="169">
        <v>0</v>
      </c>
      <c r="F125" s="169">
        <v>0</v>
      </c>
      <c r="G125" s="169">
        <v>0</v>
      </c>
      <c r="H125" s="169">
        <v>0</v>
      </c>
      <c r="I125" s="169">
        <v>0</v>
      </c>
      <c r="J125" s="169">
        <v>0</v>
      </c>
      <c r="K125" s="169">
        <v>0</v>
      </c>
      <c r="L125" s="169">
        <v>0</v>
      </c>
      <c r="M125" s="169">
        <v>0</v>
      </c>
      <c r="N125" s="169">
        <v>0</v>
      </c>
      <c r="O125" s="169">
        <v>0</v>
      </c>
      <c r="P125" s="169">
        <v>0</v>
      </c>
      <c r="Q125" s="169">
        <v>0</v>
      </c>
      <c r="R125" s="169">
        <v>0</v>
      </c>
      <c r="S125" s="169">
        <v>0</v>
      </c>
      <c r="T125" s="169">
        <v>0</v>
      </c>
      <c r="U125" s="169">
        <v>0</v>
      </c>
      <c r="V125" s="169">
        <v>0</v>
      </c>
      <c r="W125" s="169">
        <v>0</v>
      </c>
      <c r="X125" s="169">
        <v>0</v>
      </c>
      <c r="Y125" s="169">
        <v>0</v>
      </c>
      <c r="Z125" s="169">
        <v>0</v>
      </c>
      <c r="AA125" s="169">
        <v>0</v>
      </c>
      <c r="AB125" s="169">
        <v>0</v>
      </c>
      <c r="AC125" s="169">
        <v>0</v>
      </c>
      <c r="AD125" s="169">
        <v>0</v>
      </c>
      <c r="AE125" s="169">
        <v>0</v>
      </c>
      <c r="AF125" s="169">
        <v>0</v>
      </c>
      <c r="AG125" s="169">
        <v>0</v>
      </c>
      <c r="AH125" s="169">
        <v>0</v>
      </c>
      <c r="AI125" s="169">
        <v>0</v>
      </c>
      <c r="AJ125" s="169">
        <v>0</v>
      </c>
      <c r="AK125" s="169">
        <v>0</v>
      </c>
      <c r="AL125" s="169">
        <v>0</v>
      </c>
      <c r="AM125" s="169">
        <v>0</v>
      </c>
      <c r="AN125" s="169">
        <v>0</v>
      </c>
      <c r="AO125" s="169">
        <v>0</v>
      </c>
      <c r="AP125" s="169">
        <v>0</v>
      </c>
      <c r="AQ125" s="169">
        <v>0</v>
      </c>
      <c r="AR125" s="169">
        <v>0</v>
      </c>
      <c r="AS125" s="169">
        <v>0</v>
      </c>
      <c r="AT125" s="169">
        <v>0</v>
      </c>
      <c r="AU125" s="169">
        <v>0</v>
      </c>
      <c r="AV125" s="169">
        <v>0</v>
      </c>
      <c r="AW125" s="169">
        <v>0</v>
      </c>
      <c r="AX125" s="169">
        <v>0</v>
      </c>
      <c r="AY125" s="169">
        <v>0</v>
      </c>
      <c r="AZ125" s="169">
        <v>0</v>
      </c>
      <c r="BA125" s="169">
        <v>0</v>
      </c>
      <c r="BB125" s="169">
        <v>0</v>
      </c>
      <c r="BC125" s="169">
        <v>0</v>
      </c>
      <c r="BD125" s="169">
        <v>0</v>
      </c>
      <c r="BE125" s="169">
        <v>0</v>
      </c>
      <c r="BF125" s="169">
        <v>0</v>
      </c>
      <c r="BG125" s="169">
        <v>0</v>
      </c>
      <c r="BH125" s="169">
        <v>0</v>
      </c>
      <c r="BI125" s="169">
        <v>0</v>
      </c>
      <c r="BJ125" s="169">
        <v>0</v>
      </c>
      <c r="BK125" s="169">
        <v>0</v>
      </c>
      <c r="BL125" s="169">
        <v>0</v>
      </c>
      <c r="BM125" s="169">
        <v>0</v>
      </c>
      <c r="BN125" s="169">
        <v>0</v>
      </c>
      <c r="BO125" s="169">
        <v>0</v>
      </c>
      <c r="BP125" s="169">
        <v>0</v>
      </c>
      <c r="BQ125" s="169">
        <v>0</v>
      </c>
      <c r="BR125" s="169">
        <v>0</v>
      </c>
      <c r="BS125" s="169">
        <v>0</v>
      </c>
      <c r="BT125" s="169">
        <v>0</v>
      </c>
      <c r="BU125" s="169">
        <v>0</v>
      </c>
      <c r="BV125" s="169">
        <v>0</v>
      </c>
    </row>
    <row r="126" spans="2:74" s="125" customFormat="1" ht="15.75" hidden="1" customHeight="1" outlineLevel="1" x14ac:dyDescent="0.2">
      <c r="B126" s="160" t="s">
        <v>92</v>
      </c>
      <c r="C126" s="169">
        <v>0</v>
      </c>
      <c r="D126" s="169">
        <v>0</v>
      </c>
      <c r="E126" s="169">
        <v>0</v>
      </c>
      <c r="F126" s="169">
        <v>0</v>
      </c>
      <c r="G126" s="169">
        <v>0</v>
      </c>
      <c r="H126" s="169">
        <v>0</v>
      </c>
      <c r="I126" s="169">
        <v>0</v>
      </c>
      <c r="J126" s="169">
        <v>0</v>
      </c>
      <c r="K126" s="169">
        <v>0</v>
      </c>
      <c r="L126" s="169">
        <v>0</v>
      </c>
      <c r="M126" s="169">
        <v>0</v>
      </c>
      <c r="N126" s="169">
        <v>0</v>
      </c>
      <c r="O126" s="169">
        <v>0</v>
      </c>
      <c r="P126" s="169">
        <v>0</v>
      </c>
      <c r="Q126" s="169">
        <v>0</v>
      </c>
      <c r="R126" s="169">
        <v>0</v>
      </c>
      <c r="S126" s="169">
        <v>0</v>
      </c>
      <c r="T126" s="169">
        <v>0</v>
      </c>
      <c r="U126" s="169">
        <v>0</v>
      </c>
      <c r="V126" s="169">
        <v>0</v>
      </c>
      <c r="W126" s="169">
        <v>0</v>
      </c>
      <c r="X126" s="169">
        <v>0</v>
      </c>
      <c r="Y126" s="169">
        <v>0</v>
      </c>
      <c r="Z126" s="169">
        <v>0</v>
      </c>
      <c r="AA126" s="169">
        <v>0</v>
      </c>
      <c r="AB126" s="169">
        <v>0</v>
      </c>
      <c r="AC126" s="169">
        <v>0</v>
      </c>
      <c r="AD126" s="169">
        <v>0</v>
      </c>
      <c r="AE126" s="169">
        <v>0</v>
      </c>
      <c r="AF126" s="169">
        <v>0</v>
      </c>
      <c r="AG126" s="169">
        <v>0</v>
      </c>
      <c r="AH126" s="169">
        <v>0</v>
      </c>
      <c r="AI126" s="169">
        <v>0</v>
      </c>
      <c r="AJ126" s="169">
        <v>0</v>
      </c>
      <c r="AK126" s="169">
        <v>0</v>
      </c>
      <c r="AL126" s="169">
        <v>0</v>
      </c>
      <c r="AM126" s="169">
        <v>0</v>
      </c>
      <c r="AN126" s="169">
        <v>0</v>
      </c>
      <c r="AO126" s="169">
        <v>0</v>
      </c>
      <c r="AP126" s="169">
        <v>0</v>
      </c>
      <c r="AQ126" s="169">
        <v>0</v>
      </c>
      <c r="AR126" s="169">
        <v>0</v>
      </c>
      <c r="AS126" s="169">
        <v>0</v>
      </c>
      <c r="AT126" s="169">
        <v>0</v>
      </c>
      <c r="AU126" s="169">
        <v>0</v>
      </c>
      <c r="AV126" s="169">
        <v>0</v>
      </c>
      <c r="AW126" s="169">
        <v>0</v>
      </c>
      <c r="AX126" s="169">
        <v>0</v>
      </c>
      <c r="AY126" s="169">
        <v>0</v>
      </c>
      <c r="AZ126" s="169">
        <v>0</v>
      </c>
      <c r="BA126" s="169">
        <v>0</v>
      </c>
      <c r="BB126" s="169">
        <v>0</v>
      </c>
      <c r="BC126" s="169">
        <v>0</v>
      </c>
      <c r="BD126" s="169">
        <v>0</v>
      </c>
      <c r="BE126" s="169">
        <v>0</v>
      </c>
      <c r="BF126" s="169">
        <v>0</v>
      </c>
      <c r="BG126" s="169">
        <v>0</v>
      </c>
      <c r="BH126" s="169">
        <v>0</v>
      </c>
      <c r="BI126" s="169">
        <v>0</v>
      </c>
      <c r="BJ126" s="169">
        <v>0</v>
      </c>
      <c r="BK126" s="169">
        <v>0</v>
      </c>
      <c r="BL126" s="169">
        <v>0</v>
      </c>
      <c r="BM126" s="169">
        <v>0</v>
      </c>
      <c r="BN126" s="169">
        <v>0</v>
      </c>
      <c r="BO126" s="169">
        <v>0</v>
      </c>
      <c r="BP126" s="169">
        <v>0</v>
      </c>
      <c r="BQ126" s="169">
        <v>0</v>
      </c>
      <c r="BR126" s="169">
        <v>0</v>
      </c>
      <c r="BS126" s="169">
        <v>0</v>
      </c>
      <c r="BT126" s="169">
        <v>0</v>
      </c>
      <c r="BU126" s="169">
        <v>0</v>
      </c>
      <c r="BV126" s="169">
        <v>0</v>
      </c>
    </row>
    <row r="127" spans="2:74" s="125" customFormat="1" ht="15.75" hidden="1" customHeight="1" outlineLevel="1" x14ac:dyDescent="0.2">
      <c r="B127" s="160" t="s">
        <v>93</v>
      </c>
      <c r="C127" s="169">
        <v>0</v>
      </c>
      <c r="D127" s="169">
        <v>0</v>
      </c>
      <c r="E127" s="169">
        <v>0</v>
      </c>
      <c r="F127" s="169">
        <v>0</v>
      </c>
      <c r="G127" s="169">
        <v>0</v>
      </c>
      <c r="H127" s="169">
        <v>0</v>
      </c>
      <c r="I127" s="169">
        <v>0</v>
      </c>
      <c r="J127" s="169">
        <v>0</v>
      </c>
      <c r="K127" s="169">
        <v>0</v>
      </c>
      <c r="L127" s="169">
        <v>0</v>
      </c>
      <c r="M127" s="169">
        <v>0</v>
      </c>
      <c r="N127" s="169">
        <v>0</v>
      </c>
      <c r="O127" s="169">
        <v>0</v>
      </c>
      <c r="P127" s="169">
        <v>0</v>
      </c>
      <c r="Q127" s="169">
        <v>0</v>
      </c>
      <c r="R127" s="169">
        <v>0</v>
      </c>
      <c r="S127" s="169">
        <v>0</v>
      </c>
      <c r="T127" s="169">
        <v>0</v>
      </c>
      <c r="U127" s="169">
        <v>0</v>
      </c>
      <c r="V127" s="169">
        <v>0</v>
      </c>
      <c r="W127" s="169">
        <v>0</v>
      </c>
      <c r="X127" s="169">
        <v>0</v>
      </c>
      <c r="Y127" s="169">
        <v>0</v>
      </c>
      <c r="Z127" s="169">
        <v>0</v>
      </c>
      <c r="AA127" s="169">
        <v>0</v>
      </c>
      <c r="AB127" s="169">
        <v>0</v>
      </c>
      <c r="AC127" s="169">
        <v>0</v>
      </c>
      <c r="AD127" s="169">
        <v>0</v>
      </c>
      <c r="AE127" s="169">
        <v>0</v>
      </c>
      <c r="AF127" s="169">
        <v>0</v>
      </c>
      <c r="AG127" s="169">
        <v>0</v>
      </c>
      <c r="AH127" s="169">
        <v>0</v>
      </c>
      <c r="AI127" s="169">
        <v>0</v>
      </c>
      <c r="AJ127" s="169">
        <v>0</v>
      </c>
      <c r="AK127" s="169">
        <v>0</v>
      </c>
      <c r="AL127" s="169">
        <v>0</v>
      </c>
      <c r="AM127" s="169">
        <v>0</v>
      </c>
      <c r="AN127" s="169">
        <v>0</v>
      </c>
      <c r="AO127" s="169">
        <v>0</v>
      </c>
      <c r="AP127" s="169">
        <v>0</v>
      </c>
      <c r="AQ127" s="169">
        <v>0</v>
      </c>
      <c r="AR127" s="169">
        <v>0</v>
      </c>
      <c r="AS127" s="169">
        <v>0</v>
      </c>
      <c r="AT127" s="169">
        <v>0</v>
      </c>
      <c r="AU127" s="169">
        <v>0</v>
      </c>
      <c r="AV127" s="169">
        <v>0</v>
      </c>
      <c r="AW127" s="169">
        <v>0</v>
      </c>
      <c r="AX127" s="169">
        <v>0</v>
      </c>
      <c r="AY127" s="169">
        <v>0</v>
      </c>
      <c r="AZ127" s="169">
        <v>0</v>
      </c>
      <c r="BA127" s="169">
        <v>0</v>
      </c>
      <c r="BB127" s="169">
        <v>0</v>
      </c>
      <c r="BC127" s="169">
        <v>0</v>
      </c>
      <c r="BD127" s="169">
        <v>0</v>
      </c>
      <c r="BE127" s="169">
        <v>0</v>
      </c>
      <c r="BF127" s="169">
        <v>0</v>
      </c>
      <c r="BG127" s="169">
        <v>0</v>
      </c>
      <c r="BH127" s="169">
        <v>0</v>
      </c>
      <c r="BI127" s="169">
        <v>0</v>
      </c>
      <c r="BJ127" s="169">
        <v>0</v>
      </c>
      <c r="BK127" s="169">
        <v>0</v>
      </c>
      <c r="BL127" s="169">
        <v>0</v>
      </c>
      <c r="BM127" s="169">
        <v>0</v>
      </c>
      <c r="BN127" s="169">
        <v>0</v>
      </c>
      <c r="BO127" s="169">
        <v>0</v>
      </c>
      <c r="BP127" s="169">
        <v>0</v>
      </c>
      <c r="BQ127" s="169">
        <v>0</v>
      </c>
      <c r="BR127" s="169">
        <v>0</v>
      </c>
      <c r="BS127" s="169">
        <v>0</v>
      </c>
      <c r="BT127" s="169">
        <v>0</v>
      </c>
      <c r="BU127" s="169">
        <v>0</v>
      </c>
      <c r="BV127" s="169">
        <v>0</v>
      </c>
    </row>
    <row r="128" spans="2:74" s="125" customFormat="1" ht="15.75" hidden="1" customHeight="1" outlineLevel="1" x14ac:dyDescent="0.2">
      <c r="B128" s="160" t="s">
        <v>94</v>
      </c>
      <c r="C128" s="169">
        <v>0</v>
      </c>
      <c r="D128" s="169">
        <v>0</v>
      </c>
      <c r="E128" s="169">
        <v>0</v>
      </c>
      <c r="F128" s="169">
        <v>0</v>
      </c>
      <c r="G128" s="169">
        <v>0</v>
      </c>
      <c r="H128" s="169">
        <v>0</v>
      </c>
      <c r="I128" s="169">
        <v>0</v>
      </c>
      <c r="J128" s="169">
        <v>0</v>
      </c>
      <c r="K128" s="169">
        <v>0</v>
      </c>
      <c r="L128" s="169">
        <v>0</v>
      </c>
      <c r="M128" s="169">
        <v>0</v>
      </c>
      <c r="N128" s="169">
        <v>0</v>
      </c>
      <c r="O128" s="169">
        <v>0</v>
      </c>
      <c r="P128" s="169">
        <v>0</v>
      </c>
      <c r="Q128" s="169">
        <v>0</v>
      </c>
      <c r="R128" s="169">
        <v>0</v>
      </c>
      <c r="S128" s="169">
        <v>0</v>
      </c>
      <c r="T128" s="169">
        <v>0</v>
      </c>
      <c r="U128" s="169">
        <v>0</v>
      </c>
      <c r="V128" s="169">
        <v>0</v>
      </c>
      <c r="W128" s="169">
        <v>0</v>
      </c>
      <c r="X128" s="169">
        <v>0</v>
      </c>
      <c r="Y128" s="169">
        <v>0</v>
      </c>
      <c r="Z128" s="169">
        <v>0</v>
      </c>
      <c r="AA128" s="169">
        <v>0</v>
      </c>
      <c r="AB128" s="169">
        <v>0</v>
      </c>
      <c r="AC128" s="169">
        <v>0</v>
      </c>
      <c r="AD128" s="169">
        <v>0</v>
      </c>
      <c r="AE128" s="169">
        <v>0</v>
      </c>
      <c r="AF128" s="169">
        <v>0</v>
      </c>
      <c r="AG128" s="169">
        <v>0</v>
      </c>
      <c r="AH128" s="169">
        <v>0</v>
      </c>
      <c r="AI128" s="169">
        <v>0</v>
      </c>
      <c r="AJ128" s="169">
        <v>0</v>
      </c>
      <c r="AK128" s="169">
        <v>0</v>
      </c>
      <c r="AL128" s="169">
        <v>0</v>
      </c>
      <c r="AM128" s="169">
        <v>0</v>
      </c>
      <c r="AN128" s="169">
        <v>0</v>
      </c>
      <c r="AO128" s="169">
        <v>0</v>
      </c>
      <c r="AP128" s="169">
        <v>0</v>
      </c>
      <c r="AQ128" s="169">
        <v>0</v>
      </c>
      <c r="AR128" s="169">
        <v>0</v>
      </c>
      <c r="AS128" s="169">
        <v>0</v>
      </c>
      <c r="AT128" s="169">
        <v>0</v>
      </c>
      <c r="AU128" s="169">
        <v>0</v>
      </c>
      <c r="AV128" s="169">
        <v>0</v>
      </c>
      <c r="AW128" s="169">
        <v>0</v>
      </c>
      <c r="AX128" s="169">
        <v>0</v>
      </c>
      <c r="AY128" s="169">
        <v>0</v>
      </c>
      <c r="AZ128" s="169">
        <v>0</v>
      </c>
      <c r="BA128" s="169">
        <v>0</v>
      </c>
      <c r="BB128" s="169">
        <v>0</v>
      </c>
      <c r="BC128" s="169">
        <v>0</v>
      </c>
      <c r="BD128" s="169">
        <v>0</v>
      </c>
      <c r="BE128" s="169">
        <v>0</v>
      </c>
      <c r="BF128" s="169">
        <v>0</v>
      </c>
      <c r="BG128" s="169">
        <v>0</v>
      </c>
      <c r="BH128" s="169">
        <v>0</v>
      </c>
      <c r="BI128" s="169">
        <v>0</v>
      </c>
      <c r="BJ128" s="169">
        <v>0</v>
      </c>
      <c r="BK128" s="169">
        <v>0</v>
      </c>
      <c r="BL128" s="169">
        <v>0</v>
      </c>
      <c r="BM128" s="169">
        <v>0</v>
      </c>
      <c r="BN128" s="169">
        <v>0</v>
      </c>
      <c r="BO128" s="169">
        <v>0</v>
      </c>
      <c r="BP128" s="169">
        <v>0</v>
      </c>
      <c r="BQ128" s="169">
        <v>0</v>
      </c>
      <c r="BR128" s="169">
        <v>0</v>
      </c>
      <c r="BS128" s="169">
        <v>0</v>
      </c>
      <c r="BT128" s="169">
        <v>0</v>
      </c>
      <c r="BU128" s="169">
        <v>0</v>
      </c>
      <c r="BV128" s="169">
        <v>0</v>
      </c>
    </row>
    <row r="129" spans="2:74" s="125" customFormat="1" ht="15.75" hidden="1" customHeight="1" outlineLevel="1" x14ac:dyDescent="0.2">
      <c r="B129" s="160" t="s">
        <v>95</v>
      </c>
      <c r="C129" s="169">
        <v>0</v>
      </c>
      <c r="D129" s="169">
        <v>0</v>
      </c>
      <c r="E129" s="169">
        <v>0</v>
      </c>
      <c r="F129" s="169">
        <v>0</v>
      </c>
      <c r="G129" s="169">
        <v>0</v>
      </c>
      <c r="H129" s="169">
        <v>0</v>
      </c>
      <c r="I129" s="169">
        <v>0</v>
      </c>
      <c r="J129" s="169">
        <v>0</v>
      </c>
      <c r="K129" s="169">
        <v>0</v>
      </c>
      <c r="L129" s="169">
        <v>0</v>
      </c>
      <c r="M129" s="169">
        <v>0</v>
      </c>
      <c r="N129" s="169">
        <v>0</v>
      </c>
      <c r="O129" s="169">
        <v>0</v>
      </c>
      <c r="P129" s="169">
        <v>0</v>
      </c>
      <c r="Q129" s="169">
        <v>0</v>
      </c>
      <c r="R129" s="169">
        <v>0</v>
      </c>
      <c r="S129" s="169">
        <v>0</v>
      </c>
      <c r="T129" s="169">
        <v>0</v>
      </c>
      <c r="U129" s="169">
        <v>0</v>
      </c>
      <c r="V129" s="169">
        <v>0</v>
      </c>
      <c r="W129" s="169">
        <v>0</v>
      </c>
      <c r="X129" s="169">
        <v>0</v>
      </c>
      <c r="Y129" s="169">
        <v>0</v>
      </c>
      <c r="Z129" s="169">
        <v>0</v>
      </c>
      <c r="AA129" s="169">
        <v>0</v>
      </c>
      <c r="AB129" s="169">
        <v>0</v>
      </c>
      <c r="AC129" s="169">
        <v>0</v>
      </c>
      <c r="AD129" s="169">
        <v>0</v>
      </c>
      <c r="AE129" s="169">
        <v>0</v>
      </c>
      <c r="AF129" s="169">
        <v>0</v>
      </c>
      <c r="AG129" s="169">
        <v>0</v>
      </c>
      <c r="AH129" s="169">
        <v>0</v>
      </c>
      <c r="AI129" s="169">
        <v>0</v>
      </c>
      <c r="AJ129" s="169">
        <v>0</v>
      </c>
      <c r="AK129" s="169">
        <v>0</v>
      </c>
      <c r="AL129" s="169">
        <v>0</v>
      </c>
      <c r="AM129" s="169">
        <v>0</v>
      </c>
      <c r="AN129" s="169">
        <v>0</v>
      </c>
      <c r="AO129" s="169">
        <v>0</v>
      </c>
      <c r="AP129" s="169">
        <v>0</v>
      </c>
      <c r="AQ129" s="169">
        <v>0</v>
      </c>
      <c r="AR129" s="169">
        <v>0</v>
      </c>
      <c r="AS129" s="169">
        <v>0</v>
      </c>
      <c r="AT129" s="169">
        <v>0</v>
      </c>
      <c r="AU129" s="169">
        <v>0</v>
      </c>
      <c r="AV129" s="169">
        <v>0</v>
      </c>
      <c r="AW129" s="169">
        <v>0</v>
      </c>
      <c r="AX129" s="169">
        <v>0</v>
      </c>
      <c r="AY129" s="169">
        <v>0</v>
      </c>
      <c r="AZ129" s="169">
        <v>0</v>
      </c>
      <c r="BA129" s="169">
        <v>0</v>
      </c>
      <c r="BB129" s="169">
        <v>0</v>
      </c>
      <c r="BC129" s="169">
        <v>0</v>
      </c>
      <c r="BD129" s="169">
        <v>0</v>
      </c>
      <c r="BE129" s="169">
        <v>0</v>
      </c>
      <c r="BF129" s="169">
        <v>0</v>
      </c>
      <c r="BG129" s="169">
        <v>0</v>
      </c>
      <c r="BH129" s="169">
        <v>0</v>
      </c>
      <c r="BI129" s="169">
        <v>0</v>
      </c>
      <c r="BJ129" s="169">
        <v>0</v>
      </c>
      <c r="BK129" s="169">
        <v>0</v>
      </c>
      <c r="BL129" s="169">
        <v>0</v>
      </c>
      <c r="BM129" s="169">
        <v>0</v>
      </c>
      <c r="BN129" s="169">
        <v>0</v>
      </c>
      <c r="BO129" s="169">
        <v>0</v>
      </c>
      <c r="BP129" s="169">
        <v>0</v>
      </c>
      <c r="BQ129" s="169">
        <v>0</v>
      </c>
      <c r="BR129" s="169">
        <v>0</v>
      </c>
      <c r="BS129" s="169">
        <v>0</v>
      </c>
      <c r="BT129" s="169">
        <v>0</v>
      </c>
      <c r="BU129" s="169">
        <v>0</v>
      </c>
      <c r="BV129" s="169">
        <v>0</v>
      </c>
    </row>
    <row r="130" spans="2:74" s="125" customFormat="1" ht="15.75" customHeight="1" collapsed="1" x14ac:dyDescent="0.2">
      <c r="B130" s="128" t="s">
        <v>71</v>
      </c>
      <c r="C130" s="106">
        <f t="shared" ref="C130:AH130" si="181">+SUM(C131:C140)</f>
        <v>10900</v>
      </c>
      <c r="D130" s="106">
        <f t="shared" si="181"/>
        <v>10900</v>
      </c>
      <c r="E130" s="106">
        <f t="shared" si="181"/>
        <v>10900</v>
      </c>
      <c r="F130" s="106">
        <f t="shared" si="181"/>
        <v>10900</v>
      </c>
      <c r="G130" s="106">
        <f t="shared" si="181"/>
        <v>10900</v>
      </c>
      <c r="H130" s="106">
        <f t="shared" si="181"/>
        <v>10900</v>
      </c>
      <c r="I130" s="106">
        <f t="shared" si="181"/>
        <v>10900</v>
      </c>
      <c r="J130" s="106">
        <f t="shared" si="181"/>
        <v>10900</v>
      </c>
      <c r="K130" s="106">
        <f t="shared" si="181"/>
        <v>10900</v>
      </c>
      <c r="L130" s="106">
        <f t="shared" si="181"/>
        <v>10900</v>
      </c>
      <c r="M130" s="106">
        <f t="shared" si="181"/>
        <v>10900</v>
      </c>
      <c r="N130" s="106">
        <f t="shared" si="181"/>
        <v>10900</v>
      </c>
      <c r="O130" s="106">
        <f t="shared" si="181"/>
        <v>10900</v>
      </c>
      <c r="P130" s="106">
        <f t="shared" si="181"/>
        <v>10900</v>
      </c>
      <c r="Q130" s="106">
        <f t="shared" si="181"/>
        <v>10900</v>
      </c>
      <c r="R130" s="106">
        <f t="shared" si="181"/>
        <v>10900</v>
      </c>
      <c r="S130" s="106">
        <f t="shared" si="181"/>
        <v>10900</v>
      </c>
      <c r="T130" s="106">
        <f t="shared" si="181"/>
        <v>10900</v>
      </c>
      <c r="U130" s="106">
        <f t="shared" si="181"/>
        <v>10900</v>
      </c>
      <c r="V130" s="106">
        <f t="shared" si="181"/>
        <v>10900</v>
      </c>
      <c r="W130" s="106">
        <f t="shared" si="181"/>
        <v>10900</v>
      </c>
      <c r="X130" s="106">
        <f t="shared" si="181"/>
        <v>10900</v>
      </c>
      <c r="Y130" s="106">
        <f t="shared" si="181"/>
        <v>10900</v>
      </c>
      <c r="Z130" s="106">
        <f t="shared" si="181"/>
        <v>10900</v>
      </c>
      <c r="AA130" s="106">
        <f t="shared" si="181"/>
        <v>10900</v>
      </c>
      <c r="AB130" s="106">
        <f t="shared" si="181"/>
        <v>10900</v>
      </c>
      <c r="AC130" s="106">
        <f t="shared" si="181"/>
        <v>10900</v>
      </c>
      <c r="AD130" s="106">
        <f t="shared" si="181"/>
        <v>10900</v>
      </c>
      <c r="AE130" s="106">
        <f t="shared" si="181"/>
        <v>10900</v>
      </c>
      <c r="AF130" s="106">
        <f t="shared" si="181"/>
        <v>10900</v>
      </c>
      <c r="AG130" s="106">
        <f t="shared" si="181"/>
        <v>10900</v>
      </c>
      <c r="AH130" s="106">
        <f t="shared" si="181"/>
        <v>10900</v>
      </c>
      <c r="AI130" s="106">
        <f t="shared" ref="AI130:BN130" si="182">+SUM(AI131:AI140)</f>
        <v>10900</v>
      </c>
      <c r="AJ130" s="106">
        <f t="shared" si="182"/>
        <v>10900</v>
      </c>
      <c r="AK130" s="106">
        <f t="shared" si="182"/>
        <v>10900</v>
      </c>
      <c r="AL130" s="106">
        <f t="shared" si="182"/>
        <v>10900</v>
      </c>
      <c r="AM130" s="106">
        <f t="shared" si="182"/>
        <v>10900</v>
      </c>
      <c r="AN130" s="106">
        <f t="shared" si="182"/>
        <v>10900</v>
      </c>
      <c r="AO130" s="106">
        <f t="shared" si="182"/>
        <v>10900</v>
      </c>
      <c r="AP130" s="106">
        <f t="shared" si="182"/>
        <v>10900</v>
      </c>
      <c r="AQ130" s="106">
        <f t="shared" si="182"/>
        <v>10900</v>
      </c>
      <c r="AR130" s="106">
        <f t="shared" si="182"/>
        <v>10900</v>
      </c>
      <c r="AS130" s="106">
        <f t="shared" si="182"/>
        <v>10900</v>
      </c>
      <c r="AT130" s="106">
        <f t="shared" si="182"/>
        <v>10900</v>
      </c>
      <c r="AU130" s="106">
        <f t="shared" si="182"/>
        <v>10900</v>
      </c>
      <c r="AV130" s="106">
        <f t="shared" si="182"/>
        <v>10900</v>
      </c>
      <c r="AW130" s="106">
        <f t="shared" si="182"/>
        <v>10900</v>
      </c>
      <c r="AX130" s="106">
        <f t="shared" si="182"/>
        <v>10900</v>
      </c>
      <c r="AY130" s="106">
        <f t="shared" si="182"/>
        <v>10900</v>
      </c>
      <c r="AZ130" s="106">
        <f t="shared" si="182"/>
        <v>10900</v>
      </c>
      <c r="BA130" s="106">
        <f t="shared" si="182"/>
        <v>10900</v>
      </c>
      <c r="BB130" s="106">
        <f t="shared" si="182"/>
        <v>10900</v>
      </c>
      <c r="BC130" s="106">
        <f t="shared" si="182"/>
        <v>10900</v>
      </c>
      <c r="BD130" s="106">
        <f t="shared" si="182"/>
        <v>10900</v>
      </c>
      <c r="BE130" s="106">
        <f t="shared" si="182"/>
        <v>10900</v>
      </c>
      <c r="BF130" s="106">
        <f t="shared" si="182"/>
        <v>10900</v>
      </c>
      <c r="BG130" s="106">
        <f t="shared" si="182"/>
        <v>10900</v>
      </c>
      <c r="BH130" s="106">
        <f t="shared" si="182"/>
        <v>10900</v>
      </c>
      <c r="BI130" s="106">
        <f t="shared" si="182"/>
        <v>10900</v>
      </c>
      <c r="BJ130" s="106">
        <f t="shared" si="182"/>
        <v>10900</v>
      </c>
      <c r="BK130" s="106">
        <f t="shared" si="182"/>
        <v>10900</v>
      </c>
      <c r="BL130" s="106">
        <f t="shared" si="182"/>
        <v>10900</v>
      </c>
      <c r="BM130" s="106">
        <f t="shared" si="182"/>
        <v>10900</v>
      </c>
      <c r="BN130" s="106">
        <f t="shared" si="182"/>
        <v>10900</v>
      </c>
      <c r="BO130" s="106">
        <f t="shared" ref="BO130:BV130" si="183">+SUM(BO131:BO140)</f>
        <v>10900</v>
      </c>
      <c r="BP130" s="106">
        <f t="shared" si="183"/>
        <v>10900</v>
      </c>
      <c r="BQ130" s="106">
        <f t="shared" si="183"/>
        <v>10900</v>
      </c>
      <c r="BR130" s="106">
        <f t="shared" si="183"/>
        <v>10900</v>
      </c>
      <c r="BS130" s="106">
        <f t="shared" si="183"/>
        <v>10900</v>
      </c>
      <c r="BT130" s="106">
        <f t="shared" si="183"/>
        <v>10900</v>
      </c>
      <c r="BU130" s="106">
        <f t="shared" si="183"/>
        <v>10900</v>
      </c>
      <c r="BV130" s="106">
        <f t="shared" si="183"/>
        <v>10900</v>
      </c>
    </row>
    <row r="131" spans="2:74" s="125" customFormat="1" ht="15.75" hidden="1" customHeight="1" outlineLevel="1" x14ac:dyDescent="0.2">
      <c r="B131" s="160" t="s">
        <v>145</v>
      </c>
      <c r="C131" s="169">
        <v>5000</v>
      </c>
      <c r="D131" s="169">
        <v>5000</v>
      </c>
      <c r="E131" s="169">
        <v>5000</v>
      </c>
      <c r="F131" s="169">
        <v>5000</v>
      </c>
      <c r="G131" s="169">
        <v>5000</v>
      </c>
      <c r="H131" s="169">
        <v>5000</v>
      </c>
      <c r="I131" s="169">
        <v>5000</v>
      </c>
      <c r="J131" s="169">
        <v>5000</v>
      </c>
      <c r="K131" s="169">
        <v>5000</v>
      </c>
      <c r="L131" s="169">
        <v>5000</v>
      </c>
      <c r="M131" s="169">
        <v>5000</v>
      </c>
      <c r="N131" s="169">
        <v>5000</v>
      </c>
      <c r="O131" s="169">
        <v>5000</v>
      </c>
      <c r="P131" s="169">
        <v>5000</v>
      </c>
      <c r="Q131" s="169">
        <v>5000</v>
      </c>
      <c r="R131" s="169">
        <v>5000</v>
      </c>
      <c r="S131" s="169">
        <v>5000</v>
      </c>
      <c r="T131" s="169">
        <v>5000</v>
      </c>
      <c r="U131" s="169">
        <v>5000</v>
      </c>
      <c r="V131" s="169">
        <v>5000</v>
      </c>
      <c r="W131" s="169">
        <v>5000</v>
      </c>
      <c r="X131" s="169">
        <v>5000</v>
      </c>
      <c r="Y131" s="169">
        <v>5000</v>
      </c>
      <c r="Z131" s="169">
        <v>5000</v>
      </c>
      <c r="AA131" s="169">
        <v>5000</v>
      </c>
      <c r="AB131" s="169">
        <v>5000</v>
      </c>
      <c r="AC131" s="169">
        <v>5000</v>
      </c>
      <c r="AD131" s="169">
        <v>5000</v>
      </c>
      <c r="AE131" s="169">
        <v>5000</v>
      </c>
      <c r="AF131" s="169">
        <v>5000</v>
      </c>
      <c r="AG131" s="169">
        <v>5000</v>
      </c>
      <c r="AH131" s="169">
        <v>5000</v>
      </c>
      <c r="AI131" s="169">
        <v>5000</v>
      </c>
      <c r="AJ131" s="169">
        <v>5000</v>
      </c>
      <c r="AK131" s="169">
        <v>5000</v>
      </c>
      <c r="AL131" s="169">
        <v>5000</v>
      </c>
      <c r="AM131" s="169">
        <v>5000</v>
      </c>
      <c r="AN131" s="169">
        <v>5000</v>
      </c>
      <c r="AO131" s="169">
        <v>5000</v>
      </c>
      <c r="AP131" s="169">
        <v>5000</v>
      </c>
      <c r="AQ131" s="169">
        <v>5000</v>
      </c>
      <c r="AR131" s="169">
        <v>5000</v>
      </c>
      <c r="AS131" s="169">
        <v>5000</v>
      </c>
      <c r="AT131" s="169">
        <v>5000</v>
      </c>
      <c r="AU131" s="169">
        <v>5000</v>
      </c>
      <c r="AV131" s="169">
        <v>5000</v>
      </c>
      <c r="AW131" s="169">
        <v>5000</v>
      </c>
      <c r="AX131" s="169">
        <v>5000</v>
      </c>
      <c r="AY131" s="169">
        <v>5000</v>
      </c>
      <c r="AZ131" s="169">
        <v>5000</v>
      </c>
      <c r="BA131" s="169">
        <v>5000</v>
      </c>
      <c r="BB131" s="169">
        <v>5000</v>
      </c>
      <c r="BC131" s="169">
        <v>5000</v>
      </c>
      <c r="BD131" s="169">
        <v>5000</v>
      </c>
      <c r="BE131" s="169">
        <v>5000</v>
      </c>
      <c r="BF131" s="169">
        <v>5000</v>
      </c>
      <c r="BG131" s="169">
        <v>5000</v>
      </c>
      <c r="BH131" s="169">
        <v>5000</v>
      </c>
      <c r="BI131" s="169">
        <v>5000</v>
      </c>
      <c r="BJ131" s="169">
        <v>5000</v>
      </c>
      <c r="BK131" s="169">
        <v>5000</v>
      </c>
      <c r="BL131" s="169">
        <v>5000</v>
      </c>
      <c r="BM131" s="169">
        <v>5000</v>
      </c>
      <c r="BN131" s="169">
        <v>5000</v>
      </c>
      <c r="BO131" s="169">
        <v>5000</v>
      </c>
      <c r="BP131" s="169">
        <v>5000</v>
      </c>
      <c r="BQ131" s="169">
        <v>5000</v>
      </c>
      <c r="BR131" s="169">
        <v>5000</v>
      </c>
      <c r="BS131" s="169">
        <v>5000</v>
      </c>
      <c r="BT131" s="169">
        <v>5000</v>
      </c>
      <c r="BU131" s="169">
        <v>5000</v>
      </c>
      <c r="BV131" s="169">
        <v>5000</v>
      </c>
    </row>
    <row r="132" spans="2:74" s="125" customFormat="1" ht="15.75" hidden="1" customHeight="1" outlineLevel="1" x14ac:dyDescent="0.2">
      <c r="B132" s="160" t="s">
        <v>151</v>
      </c>
      <c r="C132" s="169">
        <v>5900</v>
      </c>
      <c r="D132" s="169">
        <v>5900</v>
      </c>
      <c r="E132" s="169">
        <v>5900</v>
      </c>
      <c r="F132" s="169">
        <v>5900</v>
      </c>
      <c r="G132" s="169">
        <v>5900</v>
      </c>
      <c r="H132" s="169">
        <v>5900</v>
      </c>
      <c r="I132" s="169">
        <v>5900</v>
      </c>
      <c r="J132" s="169">
        <v>5900</v>
      </c>
      <c r="K132" s="169">
        <v>5900</v>
      </c>
      <c r="L132" s="169">
        <v>5900</v>
      </c>
      <c r="M132" s="169">
        <v>5900</v>
      </c>
      <c r="N132" s="169">
        <v>5900</v>
      </c>
      <c r="O132" s="169">
        <v>5900</v>
      </c>
      <c r="P132" s="169">
        <v>5900</v>
      </c>
      <c r="Q132" s="169">
        <v>5900</v>
      </c>
      <c r="R132" s="169">
        <v>5900</v>
      </c>
      <c r="S132" s="169">
        <v>5900</v>
      </c>
      <c r="T132" s="169">
        <v>5900</v>
      </c>
      <c r="U132" s="169">
        <v>5900</v>
      </c>
      <c r="V132" s="169">
        <v>5900</v>
      </c>
      <c r="W132" s="169">
        <v>5900</v>
      </c>
      <c r="X132" s="169">
        <v>5900</v>
      </c>
      <c r="Y132" s="169">
        <v>5900</v>
      </c>
      <c r="Z132" s="169">
        <v>5900</v>
      </c>
      <c r="AA132" s="169">
        <v>5900</v>
      </c>
      <c r="AB132" s="169">
        <v>5900</v>
      </c>
      <c r="AC132" s="169">
        <v>5900</v>
      </c>
      <c r="AD132" s="169">
        <v>5900</v>
      </c>
      <c r="AE132" s="169">
        <v>5900</v>
      </c>
      <c r="AF132" s="169">
        <v>5900</v>
      </c>
      <c r="AG132" s="169">
        <v>5900</v>
      </c>
      <c r="AH132" s="169">
        <v>5900</v>
      </c>
      <c r="AI132" s="169">
        <v>5900</v>
      </c>
      <c r="AJ132" s="169">
        <v>5900</v>
      </c>
      <c r="AK132" s="169">
        <v>5900</v>
      </c>
      <c r="AL132" s="169">
        <v>5900</v>
      </c>
      <c r="AM132" s="169">
        <v>5900</v>
      </c>
      <c r="AN132" s="169">
        <v>5900</v>
      </c>
      <c r="AO132" s="169">
        <v>5900</v>
      </c>
      <c r="AP132" s="169">
        <v>5900</v>
      </c>
      <c r="AQ132" s="169">
        <v>5900</v>
      </c>
      <c r="AR132" s="169">
        <v>5900</v>
      </c>
      <c r="AS132" s="169">
        <v>5900</v>
      </c>
      <c r="AT132" s="169">
        <v>5900</v>
      </c>
      <c r="AU132" s="169">
        <v>5900</v>
      </c>
      <c r="AV132" s="169">
        <v>5900</v>
      </c>
      <c r="AW132" s="169">
        <v>5900</v>
      </c>
      <c r="AX132" s="169">
        <v>5900</v>
      </c>
      <c r="AY132" s="169">
        <v>5900</v>
      </c>
      <c r="AZ132" s="169">
        <v>5900</v>
      </c>
      <c r="BA132" s="169">
        <v>5900</v>
      </c>
      <c r="BB132" s="169">
        <v>5900</v>
      </c>
      <c r="BC132" s="169">
        <v>5900</v>
      </c>
      <c r="BD132" s="169">
        <v>5900</v>
      </c>
      <c r="BE132" s="169">
        <v>5900</v>
      </c>
      <c r="BF132" s="169">
        <v>5900</v>
      </c>
      <c r="BG132" s="169">
        <v>5900</v>
      </c>
      <c r="BH132" s="169">
        <v>5900</v>
      </c>
      <c r="BI132" s="169">
        <v>5900</v>
      </c>
      <c r="BJ132" s="169">
        <v>5900</v>
      </c>
      <c r="BK132" s="169">
        <v>5900</v>
      </c>
      <c r="BL132" s="169">
        <v>5900</v>
      </c>
      <c r="BM132" s="169">
        <v>5900</v>
      </c>
      <c r="BN132" s="169">
        <v>5900</v>
      </c>
      <c r="BO132" s="169">
        <v>5900</v>
      </c>
      <c r="BP132" s="169">
        <v>5900</v>
      </c>
      <c r="BQ132" s="169">
        <v>5900</v>
      </c>
      <c r="BR132" s="169">
        <v>5900</v>
      </c>
      <c r="BS132" s="169">
        <v>5900</v>
      </c>
      <c r="BT132" s="169">
        <v>5900</v>
      </c>
      <c r="BU132" s="169">
        <v>5900</v>
      </c>
      <c r="BV132" s="169">
        <v>5900</v>
      </c>
    </row>
    <row r="133" spans="2:74" s="125" customFormat="1" ht="15.75" hidden="1" customHeight="1" outlineLevel="1" x14ac:dyDescent="0.2">
      <c r="B133" s="160" t="s">
        <v>96</v>
      </c>
      <c r="C133" s="169">
        <v>0</v>
      </c>
      <c r="D133" s="169">
        <v>0</v>
      </c>
      <c r="E133" s="169">
        <v>0</v>
      </c>
      <c r="F133" s="169">
        <v>0</v>
      </c>
      <c r="G133" s="169">
        <v>0</v>
      </c>
      <c r="H133" s="169">
        <v>0</v>
      </c>
      <c r="I133" s="169">
        <v>0</v>
      </c>
      <c r="J133" s="169">
        <v>0</v>
      </c>
      <c r="K133" s="169">
        <v>0</v>
      </c>
      <c r="L133" s="169">
        <v>0</v>
      </c>
      <c r="M133" s="169">
        <v>0</v>
      </c>
      <c r="N133" s="169">
        <v>0</v>
      </c>
      <c r="O133" s="169">
        <v>0</v>
      </c>
      <c r="P133" s="169">
        <v>0</v>
      </c>
      <c r="Q133" s="169">
        <v>0</v>
      </c>
      <c r="R133" s="169">
        <v>0</v>
      </c>
      <c r="S133" s="169">
        <v>0</v>
      </c>
      <c r="T133" s="169">
        <v>0</v>
      </c>
      <c r="U133" s="169">
        <v>0</v>
      </c>
      <c r="V133" s="169">
        <v>0</v>
      </c>
      <c r="W133" s="169">
        <v>0</v>
      </c>
      <c r="X133" s="169">
        <v>0</v>
      </c>
      <c r="Y133" s="169">
        <v>0</v>
      </c>
      <c r="Z133" s="169">
        <v>0</v>
      </c>
      <c r="AA133" s="169">
        <v>0</v>
      </c>
      <c r="AB133" s="169">
        <v>0</v>
      </c>
      <c r="AC133" s="169">
        <v>0</v>
      </c>
      <c r="AD133" s="169">
        <v>0</v>
      </c>
      <c r="AE133" s="169">
        <v>0</v>
      </c>
      <c r="AF133" s="169">
        <v>0</v>
      </c>
      <c r="AG133" s="169">
        <v>0</v>
      </c>
      <c r="AH133" s="169">
        <v>0</v>
      </c>
      <c r="AI133" s="169">
        <v>0</v>
      </c>
      <c r="AJ133" s="169">
        <v>0</v>
      </c>
      <c r="AK133" s="169">
        <v>0</v>
      </c>
      <c r="AL133" s="169">
        <v>0</v>
      </c>
      <c r="AM133" s="169">
        <v>0</v>
      </c>
      <c r="AN133" s="169">
        <v>0</v>
      </c>
      <c r="AO133" s="169">
        <v>0</v>
      </c>
      <c r="AP133" s="169">
        <v>0</v>
      </c>
      <c r="AQ133" s="169">
        <v>0</v>
      </c>
      <c r="AR133" s="169">
        <v>0</v>
      </c>
      <c r="AS133" s="169">
        <v>0</v>
      </c>
      <c r="AT133" s="169">
        <v>0</v>
      </c>
      <c r="AU133" s="169">
        <v>0</v>
      </c>
      <c r="AV133" s="169">
        <v>0</v>
      </c>
      <c r="AW133" s="169">
        <v>0</v>
      </c>
      <c r="AX133" s="169">
        <v>0</v>
      </c>
      <c r="AY133" s="169">
        <v>0</v>
      </c>
      <c r="AZ133" s="169">
        <v>0</v>
      </c>
      <c r="BA133" s="169">
        <v>0</v>
      </c>
      <c r="BB133" s="169">
        <v>0</v>
      </c>
      <c r="BC133" s="169">
        <v>0</v>
      </c>
      <c r="BD133" s="169">
        <v>0</v>
      </c>
      <c r="BE133" s="169">
        <v>0</v>
      </c>
      <c r="BF133" s="169">
        <v>0</v>
      </c>
      <c r="BG133" s="169">
        <v>0</v>
      </c>
      <c r="BH133" s="169">
        <v>0</v>
      </c>
      <c r="BI133" s="169">
        <v>0</v>
      </c>
      <c r="BJ133" s="169">
        <v>0</v>
      </c>
      <c r="BK133" s="169">
        <v>0</v>
      </c>
      <c r="BL133" s="169">
        <v>0</v>
      </c>
      <c r="BM133" s="169">
        <v>0</v>
      </c>
      <c r="BN133" s="169">
        <v>0</v>
      </c>
      <c r="BO133" s="169">
        <v>0</v>
      </c>
      <c r="BP133" s="169">
        <v>0</v>
      </c>
      <c r="BQ133" s="169">
        <v>0</v>
      </c>
      <c r="BR133" s="169">
        <v>0</v>
      </c>
      <c r="BS133" s="169">
        <v>0</v>
      </c>
      <c r="BT133" s="169">
        <v>0</v>
      </c>
      <c r="BU133" s="169">
        <v>0</v>
      </c>
      <c r="BV133" s="169">
        <v>0</v>
      </c>
    </row>
    <row r="134" spans="2:74" s="125" customFormat="1" ht="15.75" hidden="1" customHeight="1" outlineLevel="1" x14ac:dyDescent="0.2">
      <c r="B134" s="160" t="s">
        <v>97</v>
      </c>
      <c r="C134" s="169">
        <v>0</v>
      </c>
      <c r="D134" s="169">
        <v>0</v>
      </c>
      <c r="E134" s="169">
        <v>0</v>
      </c>
      <c r="F134" s="169">
        <v>0</v>
      </c>
      <c r="G134" s="169">
        <v>0</v>
      </c>
      <c r="H134" s="169">
        <v>0</v>
      </c>
      <c r="I134" s="169">
        <v>0</v>
      </c>
      <c r="J134" s="169">
        <v>0</v>
      </c>
      <c r="K134" s="169">
        <v>0</v>
      </c>
      <c r="L134" s="169">
        <v>0</v>
      </c>
      <c r="M134" s="169">
        <v>0</v>
      </c>
      <c r="N134" s="169">
        <v>0</v>
      </c>
      <c r="O134" s="169">
        <v>0</v>
      </c>
      <c r="P134" s="169">
        <v>0</v>
      </c>
      <c r="Q134" s="169">
        <v>0</v>
      </c>
      <c r="R134" s="169">
        <v>0</v>
      </c>
      <c r="S134" s="169">
        <v>0</v>
      </c>
      <c r="T134" s="169">
        <v>0</v>
      </c>
      <c r="U134" s="169">
        <v>0</v>
      </c>
      <c r="V134" s="169">
        <v>0</v>
      </c>
      <c r="W134" s="169">
        <v>0</v>
      </c>
      <c r="X134" s="169">
        <v>0</v>
      </c>
      <c r="Y134" s="169">
        <v>0</v>
      </c>
      <c r="Z134" s="169">
        <v>0</v>
      </c>
      <c r="AA134" s="169">
        <v>0</v>
      </c>
      <c r="AB134" s="169">
        <v>0</v>
      </c>
      <c r="AC134" s="169">
        <v>0</v>
      </c>
      <c r="AD134" s="169">
        <v>0</v>
      </c>
      <c r="AE134" s="169">
        <v>0</v>
      </c>
      <c r="AF134" s="169">
        <v>0</v>
      </c>
      <c r="AG134" s="169">
        <v>0</v>
      </c>
      <c r="AH134" s="169">
        <v>0</v>
      </c>
      <c r="AI134" s="169">
        <v>0</v>
      </c>
      <c r="AJ134" s="169">
        <v>0</v>
      </c>
      <c r="AK134" s="169">
        <v>0</v>
      </c>
      <c r="AL134" s="169">
        <v>0</v>
      </c>
      <c r="AM134" s="169">
        <v>0</v>
      </c>
      <c r="AN134" s="169">
        <v>0</v>
      </c>
      <c r="AO134" s="169">
        <v>0</v>
      </c>
      <c r="AP134" s="169">
        <v>0</v>
      </c>
      <c r="AQ134" s="169">
        <v>0</v>
      </c>
      <c r="AR134" s="169">
        <v>0</v>
      </c>
      <c r="AS134" s="169">
        <v>0</v>
      </c>
      <c r="AT134" s="169">
        <v>0</v>
      </c>
      <c r="AU134" s="169">
        <v>0</v>
      </c>
      <c r="AV134" s="169">
        <v>0</v>
      </c>
      <c r="AW134" s="169">
        <v>0</v>
      </c>
      <c r="AX134" s="169">
        <v>0</v>
      </c>
      <c r="AY134" s="169">
        <v>0</v>
      </c>
      <c r="AZ134" s="169">
        <v>0</v>
      </c>
      <c r="BA134" s="169">
        <v>0</v>
      </c>
      <c r="BB134" s="169">
        <v>0</v>
      </c>
      <c r="BC134" s="169">
        <v>0</v>
      </c>
      <c r="BD134" s="169">
        <v>0</v>
      </c>
      <c r="BE134" s="169">
        <v>0</v>
      </c>
      <c r="BF134" s="169">
        <v>0</v>
      </c>
      <c r="BG134" s="169">
        <v>0</v>
      </c>
      <c r="BH134" s="169">
        <v>0</v>
      </c>
      <c r="BI134" s="169">
        <v>0</v>
      </c>
      <c r="BJ134" s="169">
        <v>0</v>
      </c>
      <c r="BK134" s="169">
        <v>0</v>
      </c>
      <c r="BL134" s="169">
        <v>0</v>
      </c>
      <c r="BM134" s="169">
        <v>0</v>
      </c>
      <c r="BN134" s="169">
        <v>0</v>
      </c>
      <c r="BO134" s="169">
        <v>0</v>
      </c>
      <c r="BP134" s="169">
        <v>0</v>
      </c>
      <c r="BQ134" s="169">
        <v>0</v>
      </c>
      <c r="BR134" s="169">
        <v>0</v>
      </c>
      <c r="BS134" s="169">
        <v>0</v>
      </c>
      <c r="BT134" s="169">
        <v>0</v>
      </c>
      <c r="BU134" s="169">
        <v>0</v>
      </c>
      <c r="BV134" s="169">
        <v>0</v>
      </c>
    </row>
    <row r="135" spans="2:74" s="125" customFormat="1" ht="15.75" hidden="1" customHeight="1" outlineLevel="1" x14ac:dyDescent="0.2">
      <c r="B135" s="160" t="s">
        <v>98</v>
      </c>
      <c r="C135" s="169">
        <v>0</v>
      </c>
      <c r="D135" s="169">
        <v>0</v>
      </c>
      <c r="E135" s="169">
        <v>0</v>
      </c>
      <c r="F135" s="169">
        <v>0</v>
      </c>
      <c r="G135" s="169">
        <v>0</v>
      </c>
      <c r="H135" s="169">
        <v>0</v>
      </c>
      <c r="I135" s="169">
        <v>0</v>
      </c>
      <c r="J135" s="169">
        <v>0</v>
      </c>
      <c r="K135" s="169">
        <v>0</v>
      </c>
      <c r="L135" s="169">
        <v>0</v>
      </c>
      <c r="M135" s="169">
        <v>0</v>
      </c>
      <c r="N135" s="169">
        <v>0</v>
      </c>
      <c r="O135" s="169">
        <v>0</v>
      </c>
      <c r="P135" s="169">
        <v>0</v>
      </c>
      <c r="Q135" s="169">
        <v>0</v>
      </c>
      <c r="R135" s="169">
        <v>0</v>
      </c>
      <c r="S135" s="169">
        <v>0</v>
      </c>
      <c r="T135" s="169">
        <v>0</v>
      </c>
      <c r="U135" s="169">
        <v>0</v>
      </c>
      <c r="V135" s="169">
        <v>0</v>
      </c>
      <c r="W135" s="169">
        <v>0</v>
      </c>
      <c r="X135" s="169">
        <v>0</v>
      </c>
      <c r="Y135" s="169">
        <v>0</v>
      </c>
      <c r="Z135" s="169">
        <v>0</v>
      </c>
      <c r="AA135" s="169">
        <v>0</v>
      </c>
      <c r="AB135" s="169">
        <v>0</v>
      </c>
      <c r="AC135" s="169">
        <v>0</v>
      </c>
      <c r="AD135" s="169">
        <v>0</v>
      </c>
      <c r="AE135" s="169">
        <v>0</v>
      </c>
      <c r="AF135" s="169">
        <v>0</v>
      </c>
      <c r="AG135" s="169">
        <v>0</v>
      </c>
      <c r="AH135" s="169">
        <v>0</v>
      </c>
      <c r="AI135" s="169">
        <v>0</v>
      </c>
      <c r="AJ135" s="169">
        <v>0</v>
      </c>
      <c r="AK135" s="169">
        <v>0</v>
      </c>
      <c r="AL135" s="169">
        <v>0</v>
      </c>
      <c r="AM135" s="169">
        <v>0</v>
      </c>
      <c r="AN135" s="169">
        <v>0</v>
      </c>
      <c r="AO135" s="169">
        <v>0</v>
      </c>
      <c r="AP135" s="169">
        <v>0</v>
      </c>
      <c r="AQ135" s="169">
        <v>0</v>
      </c>
      <c r="AR135" s="169">
        <v>0</v>
      </c>
      <c r="AS135" s="169">
        <v>0</v>
      </c>
      <c r="AT135" s="169">
        <v>0</v>
      </c>
      <c r="AU135" s="169">
        <v>0</v>
      </c>
      <c r="AV135" s="169">
        <v>0</v>
      </c>
      <c r="AW135" s="169">
        <v>0</v>
      </c>
      <c r="AX135" s="169">
        <v>0</v>
      </c>
      <c r="AY135" s="169">
        <v>0</v>
      </c>
      <c r="AZ135" s="169">
        <v>0</v>
      </c>
      <c r="BA135" s="169">
        <v>0</v>
      </c>
      <c r="BB135" s="169">
        <v>0</v>
      </c>
      <c r="BC135" s="169">
        <v>0</v>
      </c>
      <c r="BD135" s="169">
        <v>0</v>
      </c>
      <c r="BE135" s="169">
        <v>0</v>
      </c>
      <c r="BF135" s="169">
        <v>0</v>
      </c>
      <c r="BG135" s="169">
        <v>0</v>
      </c>
      <c r="BH135" s="169">
        <v>0</v>
      </c>
      <c r="BI135" s="169">
        <v>0</v>
      </c>
      <c r="BJ135" s="169">
        <v>0</v>
      </c>
      <c r="BK135" s="169">
        <v>0</v>
      </c>
      <c r="BL135" s="169">
        <v>0</v>
      </c>
      <c r="BM135" s="169">
        <v>0</v>
      </c>
      <c r="BN135" s="169">
        <v>0</v>
      </c>
      <c r="BO135" s="169">
        <v>0</v>
      </c>
      <c r="BP135" s="169">
        <v>0</v>
      </c>
      <c r="BQ135" s="169">
        <v>0</v>
      </c>
      <c r="BR135" s="169">
        <v>0</v>
      </c>
      <c r="BS135" s="169">
        <v>0</v>
      </c>
      <c r="BT135" s="169">
        <v>0</v>
      </c>
      <c r="BU135" s="169">
        <v>0</v>
      </c>
      <c r="BV135" s="169">
        <v>0</v>
      </c>
    </row>
    <row r="136" spans="2:74" s="125" customFormat="1" ht="15.75" hidden="1" customHeight="1" outlineLevel="1" x14ac:dyDescent="0.2">
      <c r="B136" s="160" t="s">
        <v>99</v>
      </c>
      <c r="C136" s="169">
        <v>0</v>
      </c>
      <c r="D136" s="169">
        <v>0</v>
      </c>
      <c r="E136" s="169">
        <v>0</v>
      </c>
      <c r="F136" s="169">
        <v>0</v>
      </c>
      <c r="G136" s="169">
        <v>0</v>
      </c>
      <c r="H136" s="169">
        <v>0</v>
      </c>
      <c r="I136" s="169">
        <v>0</v>
      </c>
      <c r="J136" s="169">
        <v>0</v>
      </c>
      <c r="K136" s="169">
        <v>0</v>
      </c>
      <c r="L136" s="169">
        <v>0</v>
      </c>
      <c r="M136" s="169">
        <v>0</v>
      </c>
      <c r="N136" s="169">
        <v>0</v>
      </c>
      <c r="O136" s="169">
        <v>0</v>
      </c>
      <c r="P136" s="169">
        <v>0</v>
      </c>
      <c r="Q136" s="169">
        <v>0</v>
      </c>
      <c r="R136" s="169">
        <v>0</v>
      </c>
      <c r="S136" s="169">
        <v>0</v>
      </c>
      <c r="T136" s="169">
        <v>0</v>
      </c>
      <c r="U136" s="169">
        <v>0</v>
      </c>
      <c r="V136" s="169">
        <v>0</v>
      </c>
      <c r="W136" s="169">
        <v>0</v>
      </c>
      <c r="X136" s="169">
        <v>0</v>
      </c>
      <c r="Y136" s="169">
        <v>0</v>
      </c>
      <c r="Z136" s="169">
        <v>0</v>
      </c>
      <c r="AA136" s="169">
        <v>0</v>
      </c>
      <c r="AB136" s="169">
        <v>0</v>
      </c>
      <c r="AC136" s="169">
        <v>0</v>
      </c>
      <c r="AD136" s="169">
        <v>0</v>
      </c>
      <c r="AE136" s="169">
        <v>0</v>
      </c>
      <c r="AF136" s="169">
        <v>0</v>
      </c>
      <c r="AG136" s="169">
        <v>0</v>
      </c>
      <c r="AH136" s="169">
        <v>0</v>
      </c>
      <c r="AI136" s="169">
        <v>0</v>
      </c>
      <c r="AJ136" s="169">
        <v>0</v>
      </c>
      <c r="AK136" s="169">
        <v>0</v>
      </c>
      <c r="AL136" s="169">
        <v>0</v>
      </c>
      <c r="AM136" s="169">
        <v>0</v>
      </c>
      <c r="AN136" s="169">
        <v>0</v>
      </c>
      <c r="AO136" s="169">
        <v>0</v>
      </c>
      <c r="AP136" s="169">
        <v>0</v>
      </c>
      <c r="AQ136" s="169">
        <v>0</v>
      </c>
      <c r="AR136" s="169">
        <v>0</v>
      </c>
      <c r="AS136" s="169">
        <v>0</v>
      </c>
      <c r="AT136" s="169">
        <v>0</v>
      </c>
      <c r="AU136" s="169">
        <v>0</v>
      </c>
      <c r="AV136" s="169">
        <v>0</v>
      </c>
      <c r="AW136" s="169">
        <v>0</v>
      </c>
      <c r="AX136" s="169">
        <v>0</v>
      </c>
      <c r="AY136" s="169">
        <v>0</v>
      </c>
      <c r="AZ136" s="169">
        <v>0</v>
      </c>
      <c r="BA136" s="169">
        <v>0</v>
      </c>
      <c r="BB136" s="169">
        <v>0</v>
      </c>
      <c r="BC136" s="169">
        <v>0</v>
      </c>
      <c r="BD136" s="169">
        <v>0</v>
      </c>
      <c r="BE136" s="169">
        <v>0</v>
      </c>
      <c r="BF136" s="169">
        <v>0</v>
      </c>
      <c r="BG136" s="169">
        <v>0</v>
      </c>
      <c r="BH136" s="169">
        <v>0</v>
      </c>
      <c r="BI136" s="169">
        <v>0</v>
      </c>
      <c r="BJ136" s="169">
        <v>0</v>
      </c>
      <c r="BK136" s="169">
        <v>0</v>
      </c>
      <c r="BL136" s="169">
        <v>0</v>
      </c>
      <c r="BM136" s="169">
        <v>0</v>
      </c>
      <c r="BN136" s="169">
        <v>0</v>
      </c>
      <c r="BO136" s="169">
        <v>0</v>
      </c>
      <c r="BP136" s="169">
        <v>0</v>
      </c>
      <c r="BQ136" s="169">
        <v>0</v>
      </c>
      <c r="BR136" s="169">
        <v>0</v>
      </c>
      <c r="BS136" s="169">
        <v>0</v>
      </c>
      <c r="BT136" s="169">
        <v>0</v>
      </c>
      <c r="BU136" s="169">
        <v>0</v>
      </c>
      <c r="BV136" s="169">
        <v>0</v>
      </c>
    </row>
    <row r="137" spans="2:74" s="125" customFormat="1" ht="15.75" hidden="1" customHeight="1" outlineLevel="1" x14ac:dyDescent="0.2">
      <c r="B137" s="160" t="s">
        <v>100</v>
      </c>
      <c r="C137" s="169">
        <v>0</v>
      </c>
      <c r="D137" s="169">
        <v>0</v>
      </c>
      <c r="E137" s="169">
        <v>0</v>
      </c>
      <c r="F137" s="169">
        <v>0</v>
      </c>
      <c r="G137" s="169">
        <v>0</v>
      </c>
      <c r="H137" s="169">
        <v>0</v>
      </c>
      <c r="I137" s="169">
        <v>0</v>
      </c>
      <c r="J137" s="169">
        <v>0</v>
      </c>
      <c r="K137" s="169">
        <v>0</v>
      </c>
      <c r="L137" s="169">
        <v>0</v>
      </c>
      <c r="M137" s="169">
        <v>0</v>
      </c>
      <c r="N137" s="169">
        <v>0</v>
      </c>
      <c r="O137" s="169">
        <v>0</v>
      </c>
      <c r="P137" s="169">
        <v>0</v>
      </c>
      <c r="Q137" s="169">
        <v>0</v>
      </c>
      <c r="R137" s="169">
        <v>0</v>
      </c>
      <c r="S137" s="169">
        <v>0</v>
      </c>
      <c r="T137" s="169">
        <v>0</v>
      </c>
      <c r="U137" s="169">
        <v>0</v>
      </c>
      <c r="V137" s="169">
        <v>0</v>
      </c>
      <c r="W137" s="169">
        <v>0</v>
      </c>
      <c r="X137" s="169">
        <v>0</v>
      </c>
      <c r="Y137" s="169">
        <v>0</v>
      </c>
      <c r="Z137" s="169">
        <v>0</v>
      </c>
      <c r="AA137" s="169">
        <v>0</v>
      </c>
      <c r="AB137" s="169">
        <v>0</v>
      </c>
      <c r="AC137" s="169">
        <v>0</v>
      </c>
      <c r="AD137" s="169">
        <v>0</v>
      </c>
      <c r="AE137" s="169">
        <v>0</v>
      </c>
      <c r="AF137" s="169">
        <v>0</v>
      </c>
      <c r="AG137" s="169">
        <v>0</v>
      </c>
      <c r="AH137" s="169">
        <v>0</v>
      </c>
      <c r="AI137" s="169">
        <v>0</v>
      </c>
      <c r="AJ137" s="169">
        <v>0</v>
      </c>
      <c r="AK137" s="169">
        <v>0</v>
      </c>
      <c r="AL137" s="169">
        <v>0</v>
      </c>
      <c r="AM137" s="169">
        <v>0</v>
      </c>
      <c r="AN137" s="169">
        <v>0</v>
      </c>
      <c r="AO137" s="169">
        <v>0</v>
      </c>
      <c r="AP137" s="169">
        <v>0</v>
      </c>
      <c r="AQ137" s="169">
        <v>0</v>
      </c>
      <c r="AR137" s="169">
        <v>0</v>
      </c>
      <c r="AS137" s="169">
        <v>0</v>
      </c>
      <c r="AT137" s="169">
        <v>0</v>
      </c>
      <c r="AU137" s="169">
        <v>0</v>
      </c>
      <c r="AV137" s="169">
        <v>0</v>
      </c>
      <c r="AW137" s="169">
        <v>0</v>
      </c>
      <c r="AX137" s="169">
        <v>0</v>
      </c>
      <c r="AY137" s="169">
        <v>0</v>
      </c>
      <c r="AZ137" s="169">
        <v>0</v>
      </c>
      <c r="BA137" s="169">
        <v>0</v>
      </c>
      <c r="BB137" s="169">
        <v>0</v>
      </c>
      <c r="BC137" s="169">
        <v>0</v>
      </c>
      <c r="BD137" s="169">
        <v>0</v>
      </c>
      <c r="BE137" s="169">
        <v>0</v>
      </c>
      <c r="BF137" s="169">
        <v>0</v>
      </c>
      <c r="BG137" s="169">
        <v>0</v>
      </c>
      <c r="BH137" s="169">
        <v>0</v>
      </c>
      <c r="BI137" s="169">
        <v>0</v>
      </c>
      <c r="BJ137" s="169">
        <v>0</v>
      </c>
      <c r="BK137" s="169">
        <v>0</v>
      </c>
      <c r="BL137" s="169">
        <v>0</v>
      </c>
      <c r="BM137" s="169">
        <v>0</v>
      </c>
      <c r="BN137" s="169">
        <v>0</v>
      </c>
      <c r="BO137" s="169">
        <v>0</v>
      </c>
      <c r="BP137" s="169">
        <v>0</v>
      </c>
      <c r="BQ137" s="169">
        <v>0</v>
      </c>
      <c r="BR137" s="169">
        <v>0</v>
      </c>
      <c r="BS137" s="169">
        <v>0</v>
      </c>
      <c r="BT137" s="169">
        <v>0</v>
      </c>
      <c r="BU137" s="169">
        <v>0</v>
      </c>
      <c r="BV137" s="169">
        <v>0</v>
      </c>
    </row>
    <row r="138" spans="2:74" s="125" customFormat="1" ht="15.75" hidden="1" customHeight="1" outlineLevel="1" x14ac:dyDescent="0.2">
      <c r="B138" s="160" t="s">
        <v>101</v>
      </c>
      <c r="C138" s="169">
        <v>0</v>
      </c>
      <c r="D138" s="169">
        <v>0</v>
      </c>
      <c r="E138" s="169">
        <v>0</v>
      </c>
      <c r="F138" s="169">
        <v>0</v>
      </c>
      <c r="G138" s="169">
        <v>0</v>
      </c>
      <c r="H138" s="169">
        <v>0</v>
      </c>
      <c r="I138" s="169">
        <v>0</v>
      </c>
      <c r="J138" s="169">
        <v>0</v>
      </c>
      <c r="K138" s="169">
        <v>0</v>
      </c>
      <c r="L138" s="169">
        <v>0</v>
      </c>
      <c r="M138" s="169">
        <v>0</v>
      </c>
      <c r="N138" s="169">
        <v>0</v>
      </c>
      <c r="O138" s="169">
        <v>0</v>
      </c>
      <c r="P138" s="169">
        <v>0</v>
      </c>
      <c r="Q138" s="169">
        <v>0</v>
      </c>
      <c r="R138" s="169">
        <v>0</v>
      </c>
      <c r="S138" s="169">
        <v>0</v>
      </c>
      <c r="T138" s="169">
        <v>0</v>
      </c>
      <c r="U138" s="169">
        <v>0</v>
      </c>
      <c r="V138" s="169">
        <v>0</v>
      </c>
      <c r="W138" s="169">
        <v>0</v>
      </c>
      <c r="X138" s="169">
        <v>0</v>
      </c>
      <c r="Y138" s="169">
        <v>0</v>
      </c>
      <c r="Z138" s="169">
        <v>0</v>
      </c>
      <c r="AA138" s="169">
        <v>0</v>
      </c>
      <c r="AB138" s="169">
        <v>0</v>
      </c>
      <c r="AC138" s="169">
        <v>0</v>
      </c>
      <c r="AD138" s="169">
        <v>0</v>
      </c>
      <c r="AE138" s="169">
        <v>0</v>
      </c>
      <c r="AF138" s="169">
        <v>0</v>
      </c>
      <c r="AG138" s="169">
        <v>0</v>
      </c>
      <c r="AH138" s="169">
        <v>0</v>
      </c>
      <c r="AI138" s="169">
        <v>0</v>
      </c>
      <c r="AJ138" s="169">
        <v>0</v>
      </c>
      <c r="AK138" s="169">
        <v>0</v>
      </c>
      <c r="AL138" s="169">
        <v>0</v>
      </c>
      <c r="AM138" s="169">
        <v>0</v>
      </c>
      <c r="AN138" s="169">
        <v>0</v>
      </c>
      <c r="AO138" s="169">
        <v>0</v>
      </c>
      <c r="AP138" s="169">
        <v>0</v>
      </c>
      <c r="AQ138" s="169">
        <v>0</v>
      </c>
      <c r="AR138" s="169">
        <v>0</v>
      </c>
      <c r="AS138" s="169">
        <v>0</v>
      </c>
      <c r="AT138" s="169">
        <v>0</v>
      </c>
      <c r="AU138" s="169">
        <v>0</v>
      </c>
      <c r="AV138" s="169">
        <v>0</v>
      </c>
      <c r="AW138" s="169">
        <v>0</v>
      </c>
      <c r="AX138" s="169">
        <v>0</v>
      </c>
      <c r="AY138" s="169">
        <v>0</v>
      </c>
      <c r="AZ138" s="169">
        <v>0</v>
      </c>
      <c r="BA138" s="169">
        <v>0</v>
      </c>
      <c r="BB138" s="169">
        <v>0</v>
      </c>
      <c r="BC138" s="169">
        <v>0</v>
      </c>
      <c r="BD138" s="169">
        <v>0</v>
      </c>
      <c r="BE138" s="169">
        <v>0</v>
      </c>
      <c r="BF138" s="169">
        <v>0</v>
      </c>
      <c r="BG138" s="169">
        <v>0</v>
      </c>
      <c r="BH138" s="169">
        <v>0</v>
      </c>
      <c r="BI138" s="169">
        <v>0</v>
      </c>
      <c r="BJ138" s="169">
        <v>0</v>
      </c>
      <c r="BK138" s="169">
        <v>0</v>
      </c>
      <c r="BL138" s="169">
        <v>0</v>
      </c>
      <c r="BM138" s="169">
        <v>0</v>
      </c>
      <c r="BN138" s="169">
        <v>0</v>
      </c>
      <c r="BO138" s="169">
        <v>0</v>
      </c>
      <c r="BP138" s="169">
        <v>0</v>
      </c>
      <c r="BQ138" s="169">
        <v>0</v>
      </c>
      <c r="BR138" s="169">
        <v>0</v>
      </c>
      <c r="BS138" s="169">
        <v>0</v>
      </c>
      <c r="BT138" s="169">
        <v>0</v>
      </c>
      <c r="BU138" s="169">
        <v>0</v>
      </c>
      <c r="BV138" s="169">
        <v>0</v>
      </c>
    </row>
    <row r="139" spans="2:74" s="125" customFormat="1" ht="15.75" hidden="1" customHeight="1" outlineLevel="1" x14ac:dyDescent="0.2">
      <c r="B139" s="160" t="s">
        <v>102</v>
      </c>
      <c r="C139" s="169">
        <v>0</v>
      </c>
      <c r="D139" s="169">
        <v>0</v>
      </c>
      <c r="E139" s="169">
        <v>0</v>
      </c>
      <c r="F139" s="169">
        <v>0</v>
      </c>
      <c r="G139" s="169">
        <v>0</v>
      </c>
      <c r="H139" s="169">
        <v>0</v>
      </c>
      <c r="I139" s="169">
        <v>0</v>
      </c>
      <c r="J139" s="169">
        <v>0</v>
      </c>
      <c r="K139" s="169">
        <v>0</v>
      </c>
      <c r="L139" s="169">
        <v>0</v>
      </c>
      <c r="M139" s="169">
        <v>0</v>
      </c>
      <c r="N139" s="169">
        <v>0</v>
      </c>
      <c r="O139" s="169">
        <v>0</v>
      </c>
      <c r="P139" s="169">
        <v>0</v>
      </c>
      <c r="Q139" s="169">
        <v>0</v>
      </c>
      <c r="R139" s="169">
        <v>0</v>
      </c>
      <c r="S139" s="169">
        <v>0</v>
      </c>
      <c r="T139" s="169">
        <v>0</v>
      </c>
      <c r="U139" s="169">
        <v>0</v>
      </c>
      <c r="V139" s="169">
        <v>0</v>
      </c>
      <c r="W139" s="169">
        <v>0</v>
      </c>
      <c r="X139" s="169">
        <v>0</v>
      </c>
      <c r="Y139" s="169">
        <v>0</v>
      </c>
      <c r="Z139" s="169">
        <v>0</v>
      </c>
      <c r="AA139" s="169">
        <v>0</v>
      </c>
      <c r="AB139" s="169">
        <v>0</v>
      </c>
      <c r="AC139" s="169">
        <v>0</v>
      </c>
      <c r="AD139" s="169">
        <v>0</v>
      </c>
      <c r="AE139" s="169">
        <v>0</v>
      </c>
      <c r="AF139" s="169">
        <v>0</v>
      </c>
      <c r="AG139" s="169">
        <v>0</v>
      </c>
      <c r="AH139" s="169">
        <v>0</v>
      </c>
      <c r="AI139" s="169">
        <v>0</v>
      </c>
      <c r="AJ139" s="169">
        <v>0</v>
      </c>
      <c r="AK139" s="169">
        <v>0</v>
      </c>
      <c r="AL139" s="169">
        <v>0</v>
      </c>
      <c r="AM139" s="169">
        <v>0</v>
      </c>
      <c r="AN139" s="169">
        <v>0</v>
      </c>
      <c r="AO139" s="169">
        <v>0</v>
      </c>
      <c r="AP139" s="169">
        <v>0</v>
      </c>
      <c r="AQ139" s="169">
        <v>0</v>
      </c>
      <c r="AR139" s="169">
        <v>0</v>
      </c>
      <c r="AS139" s="169">
        <v>0</v>
      </c>
      <c r="AT139" s="169">
        <v>0</v>
      </c>
      <c r="AU139" s="169">
        <v>0</v>
      </c>
      <c r="AV139" s="169">
        <v>0</v>
      </c>
      <c r="AW139" s="169">
        <v>0</v>
      </c>
      <c r="AX139" s="169">
        <v>0</v>
      </c>
      <c r="AY139" s="169">
        <v>0</v>
      </c>
      <c r="AZ139" s="169">
        <v>0</v>
      </c>
      <c r="BA139" s="169">
        <v>0</v>
      </c>
      <c r="BB139" s="169">
        <v>0</v>
      </c>
      <c r="BC139" s="169">
        <v>0</v>
      </c>
      <c r="BD139" s="169">
        <v>0</v>
      </c>
      <c r="BE139" s="169">
        <v>0</v>
      </c>
      <c r="BF139" s="169">
        <v>0</v>
      </c>
      <c r="BG139" s="169">
        <v>0</v>
      </c>
      <c r="BH139" s="169">
        <v>0</v>
      </c>
      <c r="BI139" s="169">
        <v>0</v>
      </c>
      <c r="BJ139" s="169">
        <v>0</v>
      </c>
      <c r="BK139" s="169">
        <v>0</v>
      </c>
      <c r="BL139" s="169">
        <v>0</v>
      </c>
      <c r="BM139" s="169">
        <v>0</v>
      </c>
      <c r="BN139" s="169">
        <v>0</v>
      </c>
      <c r="BO139" s="169">
        <v>0</v>
      </c>
      <c r="BP139" s="169">
        <v>0</v>
      </c>
      <c r="BQ139" s="169">
        <v>0</v>
      </c>
      <c r="BR139" s="169">
        <v>0</v>
      </c>
      <c r="BS139" s="169">
        <v>0</v>
      </c>
      <c r="BT139" s="169">
        <v>0</v>
      </c>
      <c r="BU139" s="169">
        <v>0</v>
      </c>
      <c r="BV139" s="169">
        <v>0</v>
      </c>
    </row>
    <row r="140" spans="2:74" s="125" customFormat="1" ht="15.75" hidden="1" customHeight="1" outlineLevel="1" x14ac:dyDescent="0.2">
      <c r="B140" s="160" t="s">
        <v>103</v>
      </c>
      <c r="C140" s="169">
        <v>0</v>
      </c>
      <c r="D140" s="169">
        <v>0</v>
      </c>
      <c r="E140" s="169">
        <v>0</v>
      </c>
      <c r="F140" s="169">
        <v>0</v>
      </c>
      <c r="G140" s="169">
        <v>0</v>
      </c>
      <c r="H140" s="169">
        <v>0</v>
      </c>
      <c r="I140" s="169">
        <v>0</v>
      </c>
      <c r="J140" s="169">
        <v>0</v>
      </c>
      <c r="K140" s="169">
        <v>0</v>
      </c>
      <c r="L140" s="169">
        <v>0</v>
      </c>
      <c r="M140" s="169">
        <v>0</v>
      </c>
      <c r="N140" s="169">
        <v>0</v>
      </c>
      <c r="O140" s="169">
        <v>0</v>
      </c>
      <c r="P140" s="169">
        <v>0</v>
      </c>
      <c r="Q140" s="169">
        <v>0</v>
      </c>
      <c r="R140" s="169">
        <v>0</v>
      </c>
      <c r="S140" s="169">
        <v>0</v>
      </c>
      <c r="T140" s="169">
        <v>0</v>
      </c>
      <c r="U140" s="169">
        <v>0</v>
      </c>
      <c r="V140" s="169">
        <v>0</v>
      </c>
      <c r="W140" s="169">
        <v>0</v>
      </c>
      <c r="X140" s="169">
        <v>0</v>
      </c>
      <c r="Y140" s="169">
        <v>0</v>
      </c>
      <c r="Z140" s="169">
        <v>0</v>
      </c>
      <c r="AA140" s="169">
        <v>0</v>
      </c>
      <c r="AB140" s="169">
        <v>0</v>
      </c>
      <c r="AC140" s="169">
        <v>0</v>
      </c>
      <c r="AD140" s="169">
        <v>0</v>
      </c>
      <c r="AE140" s="169">
        <v>0</v>
      </c>
      <c r="AF140" s="169">
        <v>0</v>
      </c>
      <c r="AG140" s="169">
        <v>0</v>
      </c>
      <c r="AH140" s="169">
        <v>0</v>
      </c>
      <c r="AI140" s="169">
        <v>0</v>
      </c>
      <c r="AJ140" s="169">
        <v>0</v>
      </c>
      <c r="AK140" s="169">
        <v>0</v>
      </c>
      <c r="AL140" s="169">
        <v>0</v>
      </c>
      <c r="AM140" s="169">
        <v>0</v>
      </c>
      <c r="AN140" s="169">
        <v>0</v>
      </c>
      <c r="AO140" s="169">
        <v>0</v>
      </c>
      <c r="AP140" s="169">
        <v>0</v>
      </c>
      <c r="AQ140" s="169">
        <v>0</v>
      </c>
      <c r="AR140" s="169">
        <v>0</v>
      </c>
      <c r="AS140" s="169">
        <v>0</v>
      </c>
      <c r="AT140" s="169">
        <v>0</v>
      </c>
      <c r="AU140" s="169">
        <v>0</v>
      </c>
      <c r="AV140" s="169">
        <v>0</v>
      </c>
      <c r="AW140" s="169">
        <v>0</v>
      </c>
      <c r="AX140" s="169">
        <v>0</v>
      </c>
      <c r="AY140" s="169">
        <v>0</v>
      </c>
      <c r="AZ140" s="169">
        <v>0</v>
      </c>
      <c r="BA140" s="169">
        <v>0</v>
      </c>
      <c r="BB140" s="169">
        <v>0</v>
      </c>
      <c r="BC140" s="169">
        <v>0</v>
      </c>
      <c r="BD140" s="169">
        <v>0</v>
      </c>
      <c r="BE140" s="169">
        <v>0</v>
      </c>
      <c r="BF140" s="169">
        <v>0</v>
      </c>
      <c r="BG140" s="169">
        <v>0</v>
      </c>
      <c r="BH140" s="169">
        <v>0</v>
      </c>
      <c r="BI140" s="169">
        <v>0</v>
      </c>
      <c r="BJ140" s="169">
        <v>0</v>
      </c>
      <c r="BK140" s="169">
        <v>0</v>
      </c>
      <c r="BL140" s="169">
        <v>0</v>
      </c>
      <c r="BM140" s="169">
        <v>0</v>
      </c>
      <c r="BN140" s="169">
        <v>0</v>
      </c>
      <c r="BO140" s="169">
        <v>0</v>
      </c>
      <c r="BP140" s="169">
        <v>0</v>
      </c>
      <c r="BQ140" s="169">
        <v>0</v>
      </c>
      <c r="BR140" s="169">
        <v>0</v>
      </c>
      <c r="BS140" s="169">
        <v>0</v>
      </c>
      <c r="BT140" s="169">
        <v>0</v>
      </c>
      <c r="BU140" s="169">
        <v>0</v>
      </c>
      <c r="BV140" s="169">
        <v>0</v>
      </c>
    </row>
    <row r="141" spans="2:74" s="125" customFormat="1" ht="15.75" customHeight="1" collapsed="1" x14ac:dyDescent="0.2">
      <c r="B141" s="128" t="s">
        <v>72</v>
      </c>
      <c r="C141" s="106">
        <f t="shared" ref="C141:AH141" si="184">+SUM(C142:C151)</f>
        <v>1500</v>
      </c>
      <c r="D141" s="106">
        <f t="shared" si="184"/>
        <v>1500</v>
      </c>
      <c r="E141" s="106">
        <f t="shared" si="184"/>
        <v>1500</v>
      </c>
      <c r="F141" s="106">
        <f t="shared" si="184"/>
        <v>1500</v>
      </c>
      <c r="G141" s="106">
        <f t="shared" si="184"/>
        <v>1500</v>
      </c>
      <c r="H141" s="106">
        <f t="shared" si="184"/>
        <v>1500</v>
      </c>
      <c r="I141" s="106">
        <f t="shared" si="184"/>
        <v>1500</v>
      </c>
      <c r="J141" s="106">
        <f t="shared" si="184"/>
        <v>1500</v>
      </c>
      <c r="K141" s="106">
        <f t="shared" si="184"/>
        <v>1500</v>
      </c>
      <c r="L141" s="106">
        <f t="shared" si="184"/>
        <v>1500</v>
      </c>
      <c r="M141" s="106">
        <f t="shared" si="184"/>
        <v>1500</v>
      </c>
      <c r="N141" s="106">
        <f t="shared" si="184"/>
        <v>1500</v>
      </c>
      <c r="O141" s="106">
        <f t="shared" si="184"/>
        <v>1500</v>
      </c>
      <c r="P141" s="106">
        <f t="shared" si="184"/>
        <v>1500</v>
      </c>
      <c r="Q141" s="106">
        <f t="shared" si="184"/>
        <v>1500</v>
      </c>
      <c r="R141" s="106">
        <f t="shared" si="184"/>
        <v>1500</v>
      </c>
      <c r="S141" s="106">
        <f t="shared" si="184"/>
        <v>1500</v>
      </c>
      <c r="T141" s="106">
        <f t="shared" si="184"/>
        <v>1500</v>
      </c>
      <c r="U141" s="106">
        <f t="shared" si="184"/>
        <v>1500</v>
      </c>
      <c r="V141" s="106">
        <f t="shared" si="184"/>
        <v>1500</v>
      </c>
      <c r="W141" s="106">
        <f t="shared" si="184"/>
        <v>1500</v>
      </c>
      <c r="X141" s="106">
        <f t="shared" si="184"/>
        <v>1500</v>
      </c>
      <c r="Y141" s="106">
        <f t="shared" si="184"/>
        <v>1500</v>
      </c>
      <c r="Z141" s="106">
        <f t="shared" si="184"/>
        <v>1500</v>
      </c>
      <c r="AA141" s="106">
        <f t="shared" si="184"/>
        <v>1500</v>
      </c>
      <c r="AB141" s="106">
        <f t="shared" si="184"/>
        <v>1500</v>
      </c>
      <c r="AC141" s="106">
        <f t="shared" si="184"/>
        <v>1500</v>
      </c>
      <c r="AD141" s="106">
        <f t="shared" si="184"/>
        <v>1500</v>
      </c>
      <c r="AE141" s="106">
        <f t="shared" si="184"/>
        <v>1500</v>
      </c>
      <c r="AF141" s="106">
        <f t="shared" si="184"/>
        <v>1500</v>
      </c>
      <c r="AG141" s="106">
        <f t="shared" si="184"/>
        <v>1500</v>
      </c>
      <c r="AH141" s="106">
        <f t="shared" si="184"/>
        <v>1500</v>
      </c>
      <c r="AI141" s="106">
        <f t="shared" ref="AI141:BN141" si="185">+SUM(AI142:AI151)</f>
        <v>1500</v>
      </c>
      <c r="AJ141" s="106">
        <f t="shared" si="185"/>
        <v>1500</v>
      </c>
      <c r="AK141" s="106">
        <f t="shared" si="185"/>
        <v>1500</v>
      </c>
      <c r="AL141" s="106">
        <f t="shared" si="185"/>
        <v>1500</v>
      </c>
      <c r="AM141" s="106">
        <f t="shared" si="185"/>
        <v>1500</v>
      </c>
      <c r="AN141" s="106">
        <f t="shared" si="185"/>
        <v>1500</v>
      </c>
      <c r="AO141" s="106">
        <f t="shared" si="185"/>
        <v>1500</v>
      </c>
      <c r="AP141" s="106">
        <f t="shared" si="185"/>
        <v>1500</v>
      </c>
      <c r="AQ141" s="106">
        <f t="shared" si="185"/>
        <v>1500</v>
      </c>
      <c r="AR141" s="106">
        <f t="shared" si="185"/>
        <v>1500</v>
      </c>
      <c r="AS141" s="106">
        <f t="shared" si="185"/>
        <v>1500</v>
      </c>
      <c r="AT141" s="106">
        <f t="shared" si="185"/>
        <v>1500</v>
      </c>
      <c r="AU141" s="106">
        <f t="shared" si="185"/>
        <v>1500</v>
      </c>
      <c r="AV141" s="106">
        <f t="shared" si="185"/>
        <v>1500</v>
      </c>
      <c r="AW141" s="106">
        <f t="shared" si="185"/>
        <v>1500</v>
      </c>
      <c r="AX141" s="106">
        <f t="shared" si="185"/>
        <v>1500</v>
      </c>
      <c r="AY141" s="106">
        <f t="shared" si="185"/>
        <v>1500</v>
      </c>
      <c r="AZ141" s="106">
        <f t="shared" si="185"/>
        <v>1500</v>
      </c>
      <c r="BA141" s="106">
        <f t="shared" si="185"/>
        <v>1500</v>
      </c>
      <c r="BB141" s="106">
        <f t="shared" si="185"/>
        <v>1500</v>
      </c>
      <c r="BC141" s="106">
        <f t="shared" si="185"/>
        <v>1500</v>
      </c>
      <c r="BD141" s="106">
        <f t="shared" si="185"/>
        <v>1500</v>
      </c>
      <c r="BE141" s="106">
        <f t="shared" si="185"/>
        <v>1500</v>
      </c>
      <c r="BF141" s="106">
        <f t="shared" si="185"/>
        <v>1500</v>
      </c>
      <c r="BG141" s="106">
        <f t="shared" si="185"/>
        <v>1500</v>
      </c>
      <c r="BH141" s="106">
        <f t="shared" si="185"/>
        <v>1500</v>
      </c>
      <c r="BI141" s="106">
        <f t="shared" si="185"/>
        <v>1500</v>
      </c>
      <c r="BJ141" s="106">
        <f t="shared" si="185"/>
        <v>1500</v>
      </c>
      <c r="BK141" s="106">
        <f t="shared" si="185"/>
        <v>1500</v>
      </c>
      <c r="BL141" s="106">
        <f t="shared" si="185"/>
        <v>1500</v>
      </c>
      <c r="BM141" s="106">
        <f t="shared" si="185"/>
        <v>1500</v>
      </c>
      <c r="BN141" s="106">
        <f t="shared" si="185"/>
        <v>1500</v>
      </c>
      <c r="BO141" s="106">
        <f t="shared" ref="BO141:BV141" si="186">+SUM(BO142:BO151)</f>
        <v>1500</v>
      </c>
      <c r="BP141" s="106">
        <f t="shared" si="186"/>
        <v>1500</v>
      </c>
      <c r="BQ141" s="106">
        <f t="shared" si="186"/>
        <v>1500</v>
      </c>
      <c r="BR141" s="106">
        <f t="shared" si="186"/>
        <v>1500</v>
      </c>
      <c r="BS141" s="106">
        <f t="shared" si="186"/>
        <v>1500</v>
      </c>
      <c r="BT141" s="106">
        <f t="shared" si="186"/>
        <v>1500</v>
      </c>
      <c r="BU141" s="106">
        <f t="shared" si="186"/>
        <v>1500</v>
      </c>
      <c r="BV141" s="106">
        <f t="shared" si="186"/>
        <v>1500</v>
      </c>
    </row>
    <row r="142" spans="2:74" s="125" customFormat="1" ht="15.75" hidden="1" customHeight="1" outlineLevel="1" x14ac:dyDescent="0.2">
      <c r="B142" s="160" t="s">
        <v>146</v>
      </c>
      <c r="C142" s="169">
        <v>1500</v>
      </c>
      <c r="D142" s="169">
        <v>1500</v>
      </c>
      <c r="E142" s="169">
        <v>1500</v>
      </c>
      <c r="F142" s="169">
        <v>1500</v>
      </c>
      <c r="G142" s="169">
        <v>1500</v>
      </c>
      <c r="H142" s="169">
        <v>1500</v>
      </c>
      <c r="I142" s="169">
        <v>1500</v>
      </c>
      <c r="J142" s="169">
        <v>1500</v>
      </c>
      <c r="K142" s="169">
        <v>1500</v>
      </c>
      <c r="L142" s="169">
        <v>1500</v>
      </c>
      <c r="M142" s="169">
        <v>1500</v>
      </c>
      <c r="N142" s="169">
        <v>1500</v>
      </c>
      <c r="O142" s="169">
        <v>1500</v>
      </c>
      <c r="P142" s="169">
        <v>1500</v>
      </c>
      <c r="Q142" s="169">
        <v>1500</v>
      </c>
      <c r="R142" s="169">
        <v>1500</v>
      </c>
      <c r="S142" s="169">
        <v>1500</v>
      </c>
      <c r="T142" s="169">
        <v>1500</v>
      </c>
      <c r="U142" s="169">
        <v>1500</v>
      </c>
      <c r="V142" s="169">
        <v>1500</v>
      </c>
      <c r="W142" s="169">
        <v>1500</v>
      </c>
      <c r="X142" s="169">
        <v>1500</v>
      </c>
      <c r="Y142" s="169">
        <v>1500</v>
      </c>
      <c r="Z142" s="169">
        <v>1500</v>
      </c>
      <c r="AA142" s="169">
        <v>1500</v>
      </c>
      <c r="AB142" s="169">
        <v>1500</v>
      </c>
      <c r="AC142" s="169">
        <v>1500</v>
      </c>
      <c r="AD142" s="169">
        <v>1500</v>
      </c>
      <c r="AE142" s="169">
        <v>1500</v>
      </c>
      <c r="AF142" s="169">
        <v>1500</v>
      </c>
      <c r="AG142" s="169">
        <v>1500</v>
      </c>
      <c r="AH142" s="169">
        <v>1500</v>
      </c>
      <c r="AI142" s="169">
        <v>1500</v>
      </c>
      <c r="AJ142" s="169">
        <v>1500</v>
      </c>
      <c r="AK142" s="169">
        <v>1500</v>
      </c>
      <c r="AL142" s="169">
        <v>1500</v>
      </c>
      <c r="AM142" s="169">
        <v>1500</v>
      </c>
      <c r="AN142" s="169">
        <v>1500</v>
      </c>
      <c r="AO142" s="169">
        <v>1500</v>
      </c>
      <c r="AP142" s="169">
        <v>1500</v>
      </c>
      <c r="AQ142" s="169">
        <v>1500</v>
      </c>
      <c r="AR142" s="169">
        <v>1500</v>
      </c>
      <c r="AS142" s="169">
        <v>1500</v>
      </c>
      <c r="AT142" s="169">
        <v>1500</v>
      </c>
      <c r="AU142" s="169">
        <v>1500</v>
      </c>
      <c r="AV142" s="169">
        <v>1500</v>
      </c>
      <c r="AW142" s="169">
        <v>1500</v>
      </c>
      <c r="AX142" s="169">
        <v>1500</v>
      </c>
      <c r="AY142" s="169">
        <v>1500</v>
      </c>
      <c r="AZ142" s="169">
        <v>1500</v>
      </c>
      <c r="BA142" s="169">
        <v>1500</v>
      </c>
      <c r="BB142" s="169">
        <v>1500</v>
      </c>
      <c r="BC142" s="169">
        <v>1500</v>
      </c>
      <c r="BD142" s="169">
        <v>1500</v>
      </c>
      <c r="BE142" s="169">
        <v>1500</v>
      </c>
      <c r="BF142" s="169">
        <v>1500</v>
      </c>
      <c r="BG142" s="169">
        <v>1500</v>
      </c>
      <c r="BH142" s="169">
        <v>1500</v>
      </c>
      <c r="BI142" s="169">
        <v>1500</v>
      </c>
      <c r="BJ142" s="169">
        <v>1500</v>
      </c>
      <c r="BK142" s="169">
        <v>1500</v>
      </c>
      <c r="BL142" s="169">
        <v>1500</v>
      </c>
      <c r="BM142" s="169">
        <v>1500</v>
      </c>
      <c r="BN142" s="169">
        <v>1500</v>
      </c>
      <c r="BO142" s="169">
        <v>1500</v>
      </c>
      <c r="BP142" s="169">
        <v>1500</v>
      </c>
      <c r="BQ142" s="169">
        <v>1500</v>
      </c>
      <c r="BR142" s="169">
        <v>1500</v>
      </c>
      <c r="BS142" s="169">
        <v>1500</v>
      </c>
      <c r="BT142" s="169">
        <v>1500</v>
      </c>
      <c r="BU142" s="169">
        <v>1500</v>
      </c>
      <c r="BV142" s="169">
        <v>1500</v>
      </c>
    </row>
    <row r="143" spans="2:74" s="125" customFormat="1" ht="15.75" hidden="1" customHeight="1" outlineLevel="1" x14ac:dyDescent="0.2">
      <c r="B143" s="160" t="s">
        <v>104</v>
      </c>
      <c r="C143" s="169">
        <v>0</v>
      </c>
      <c r="D143" s="169">
        <v>0</v>
      </c>
      <c r="E143" s="169">
        <v>0</v>
      </c>
      <c r="F143" s="169">
        <v>0</v>
      </c>
      <c r="G143" s="169">
        <v>0</v>
      </c>
      <c r="H143" s="169">
        <v>0</v>
      </c>
      <c r="I143" s="169">
        <v>0</v>
      </c>
      <c r="J143" s="169">
        <v>0</v>
      </c>
      <c r="K143" s="169">
        <v>0</v>
      </c>
      <c r="L143" s="169">
        <v>0</v>
      </c>
      <c r="M143" s="169">
        <v>0</v>
      </c>
      <c r="N143" s="169">
        <v>0</v>
      </c>
      <c r="O143" s="169">
        <v>0</v>
      </c>
      <c r="P143" s="169">
        <v>0</v>
      </c>
      <c r="Q143" s="169">
        <v>0</v>
      </c>
      <c r="R143" s="169">
        <v>0</v>
      </c>
      <c r="S143" s="169">
        <v>0</v>
      </c>
      <c r="T143" s="169">
        <v>0</v>
      </c>
      <c r="U143" s="169">
        <v>0</v>
      </c>
      <c r="V143" s="169">
        <v>0</v>
      </c>
      <c r="W143" s="169">
        <v>0</v>
      </c>
      <c r="X143" s="169">
        <v>0</v>
      </c>
      <c r="Y143" s="169">
        <v>0</v>
      </c>
      <c r="Z143" s="169">
        <v>0</v>
      </c>
      <c r="AA143" s="169">
        <v>0</v>
      </c>
      <c r="AB143" s="169">
        <v>0</v>
      </c>
      <c r="AC143" s="169">
        <v>0</v>
      </c>
      <c r="AD143" s="169">
        <v>0</v>
      </c>
      <c r="AE143" s="169">
        <v>0</v>
      </c>
      <c r="AF143" s="169">
        <v>0</v>
      </c>
      <c r="AG143" s="169">
        <v>0</v>
      </c>
      <c r="AH143" s="169">
        <v>0</v>
      </c>
      <c r="AI143" s="169">
        <v>0</v>
      </c>
      <c r="AJ143" s="169">
        <v>0</v>
      </c>
      <c r="AK143" s="169">
        <v>0</v>
      </c>
      <c r="AL143" s="169">
        <v>0</v>
      </c>
      <c r="AM143" s="169">
        <v>0</v>
      </c>
      <c r="AN143" s="169">
        <v>0</v>
      </c>
      <c r="AO143" s="169">
        <v>0</v>
      </c>
      <c r="AP143" s="169">
        <v>0</v>
      </c>
      <c r="AQ143" s="169">
        <v>0</v>
      </c>
      <c r="AR143" s="169">
        <v>0</v>
      </c>
      <c r="AS143" s="169">
        <v>0</v>
      </c>
      <c r="AT143" s="169">
        <v>0</v>
      </c>
      <c r="AU143" s="169">
        <v>0</v>
      </c>
      <c r="AV143" s="169">
        <v>0</v>
      </c>
      <c r="AW143" s="169">
        <v>0</v>
      </c>
      <c r="AX143" s="169">
        <v>0</v>
      </c>
      <c r="AY143" s="169">
        <v>0</v>
      </c>
      <c r="AZ143" s="169">
        <v>0</v>
      </c>
      <c r="BA143" s="169">
        <v>0</v>
      </c>
      <c r="BB143" s="169">
        <v>0</v>
      </c>
      <c r="BC143" s="169">
        <v>0</v>
      </c>
      <c r="BD143" s="169">
        <v>0</v>
      </c>
      <c r="BE143" s="169">
        <v>0</v>
      </c>
      <c r="BF143" s="169">
        <v>0</v>
      </c>
      <c r="BG143" s="169">
        <v>0</v>
      </c>
      <c r="BH143" s="169">
        <v>0</v>
      </c>
      <c r="BI143" s="169">
        <v>0</v>
      </c>
      <c r="BJ143" s="169">
        <v>0</v>
      </c>
      <c r="BK143" s="169">
        <v>0</v>
      </c>
      <c r="BL143" s="169">
        <v>0</v>
      </c>
      <c r="BM143" s="169">
        <v>0</v>
      </c>
      <c r="BN143" s="169">
        <v>0</v>
      </c>
      <c r="BO143" s="169">
        <v>0</v>
      </c>
      <c r="BP143" s="169">
        <v>0</v>
      </c>
      <c r="BQ143" s="169">
        <v>0</v>
      </c>
      <c r="BR143" s="169">
        <v>0</v>
      </c>
      <c r="BS143" s="169">
        <v>0</v>
      </c>
      <c r="BT143" s="169">
        <v>0</v>
      </c>
      <c r="BU143" s="169">
        <v>0</v>
      </c>
      <c r="BV143" s="169">
        <v>0</v>
      </c>
    </row>
    <row r="144" spans="2:74" s="125" customFormat="1" ht="15.75" hidden="1" customHeight="1" outlineLevel="1" x14ac:dyDescent="0.2">
      <c r="B144" s="160" t="s">
        <v>105</v>
      </c>
      <c r="C144" s="169">
        <v>0</v>
      </c>
      <c r="D144" s="169">
        <v>0</v>
      </c>
      <c r="E144" s="169">
        <v>0</v>
      </c>
      <c r="F144" s="169">
        <v>0</v>
      </c>
      <c r="G144" s="169">
        <v>0</v>
      </c>
      <c r="H144" s="169">
        <v>0</v>
      </c>
      <c r="I144" s="169">
        <v>0</v>
      </c>
      <c r="J144" s="169">
        <v>0</v>
      </c>
      <c r="K144" s="169">
        <v>0</v>
      </c>
      <c r="L144" s="169">
        <v>0</v>
      </c>
      <c r="M144" s="169">
        <v>0</v>
      </c>
      <c r="N144" s="169">
        <v>0</v>
      </c>
      <c r="O144" s="169">
        <v>0</v>
      </c>
      <c r="P144" s="169">
        <v>0</v>
      </c>
      <c r="Q144" s="169">
        <v>0</v>
      </c>
      <c r="R144" s="169">
        <v>0</v>
      </c>
      <c r="S144" s="169">
        <v>0</v>
      </c>
      <c r="T144" s="169">
        <v>0</v>
      </c>
      <c r="U144" s="169">
        <v>0</v>
      </c>
      <c r="V144" s="169">
        <v>0</v>
      </c>
      <c r="W144" s="169">
        <v>0</v>
      </c>
      <c r="X144" s="169">
        <v>0</v>
      </c>
      <c r="Y144" s="169">
        <v>0</v>
      </c>
      <c r="Z144" s="169">
        <v>0</v>
      </c>
      <c r="AA144" s="169">
        <v>0</v>
      </c>
      <c r="AB144" s="169">
        <v>0</v>
      </c>
      <c r="AC144" s="169">
        <v>0</v>
      </c>
      <c r="AD144" s="169">
        <v>0</v>
      </c>
      <c r="AE144" s="169">
        <v>0</v>
      </c>
      <c r="AF144" s="169">
        <v>0</v>
      </c>
      <c r="AG144" s="169">
        <v>0</v>
      </c>
      <c r="AH144" s="169">
        <v>0</v>
      </c>
      <c r="AI144" s="169">
        <v>0</v>
      </c>
      <c r="AJ144" s="169">
        <v>0</v>
      </c>
      <c r="AK144" s="169">
        <v>0</v>
      </c>
      <c r="AL144" s="169">
        <v>0</v>
      </c>
      <c r="AM144" s="169">
        <v>0</v>
      </c>
      <c r="AN144" s="169">
        <v>0</v>
      </c>
      <c r="AO144" s="169">
        <v>0</v>
      </c>
      <c r="AP144" s="169">
        <v>0</v>
      </c>
      <c r="AQ144" s="169">
        <v>0</v>
      </c>
      <c r="AR144" s="169">
        <v>0</v>
      </c>
      <c r="AS144" s="169">
        <v>0</v>
      </c>
      <c r="AT144" s="169">
        <v>0</v>
      </c>
      <c r="AU144" s="169">
        <v>0</v>
      </c>
      <c r="AV144" s="169">
        <v>0</v>
      </c>
      <c r="AW144" s="169">
        <v>0</v>
      </c>
      <c r="AX144" s="169">
        <v>0</v>
      </c>
      <c r="AY144" s="169">
        <v>0</v>
      </c>
      <c r="AZ144" s="169">
        <v>0</v>
      </c>
      <c r="BA144" s="169">
        <v>0</v>
      </c>
      <c r="BB144" s="169">
        <v>0</v>
      </c>
      <c r="BC144" s="169">
        <v>0</v>
      </c>
      <c r="BD144" s="169">
        <v>0</v>
      </c>
      <c r="BE144" s="169">
        <v>0</v>
      </c>
      <c r="BF144" s="169">
        <v>0</v>
      </c>
      <c r="BG144" s="169">
        <v>0</v>
      </c>
      <c r="BH144" s="169">
        <v>0</v>
      </c>
      <c r="BI144" s="169">
        <v>0</v>
      </c>
      <c r="BJ144" s="169">
        <v>0</v>
      </c>
      <c r="BK144" s="169">
        <v>0</v>
      </c>
      <c r="BL144" s="169">
        <v>0</v>
      </c>
      <c r="BM144" s="169">
        <v>0</v>
      </c>
      <c r="BN144" s="169">
        <v>0</v>
      </c>
      <c r="BO144" s="169">
        <v>0</v>
      </c>
      <c r="BP144" s="169">
        <v>0</v>
      </c>
      <c r="BQ144" s="169">
        <v>0</v>
      </c>
      <c r="BR144" s="169">
        <v>0</v>
      </c>
      <c r="BS144" s="169">
        <v>0</v>
      </c>
      <c r="BT144" s="169">
        <v>0</v>
      </c>
      <c r="BU144" s="169">
        <v>0</v>
      </c>
      <c r="BV144" s="169">
        <v>0</v>
      </c>
    </row>
    <row r="145" spans="2:74" s="125" customFormat="1" ht="15.75" hidden="1" customHeight="1" outlineLevel="1" x14ac:dyDescent="0.2">
      <c r="B145" s="160" t="s">
        <v>106</v>
      </c>
      <c r="C145" s="169">
        <v>0</v>
      </c>
      <c r="D145" s="169">
        <v>0</v>
      </c>
      <c r="E145" s="169">
        <v>0</v>
      </c>
      <c r="F145" s="169">
        <v>0</v>
      </c>
      <c r="G145" s="169">
        <v>0</v>
      </c>
      <c r="H145" s="169">
        <v>0</v>
      </c>
      <c r="I145" s="169">
        <v>0</v>
      </c>
      <c r="J145" s="169">
        <v>0</v>
      </c>
      <c r="K145" s="169">
        <v>0</v>
      </c>
      <c r="L145" s="169">
        <v>0</v>
      </c>
      <c r="M145" s="169">
        <v>0</v>
      </c>
      <c r="N145" s="169">
        <v>0</v>
      </c>
      <c r="O145" s="169">
        <v>0</v>
      </c>
      <c r="P145" s="169">
        <v>0</v>
      </c>
      <c r="Q145" s="169">
        <v>0</v>
      </c>
      <c r="R145" s="169">
        <v>0</v>
      </c>
      <c r="S145" s="169">
        <v>0</v>
      </c>
      <c r="T145" s="169">
        <v>0</v>
      </c>
      <c r="U145" s="169">
        <v>0</v>
      </c>
      <c r="V145" s="169">
        <v>0</v>
      </c>
      <c r="W145" s="169">
        <v>0</v>
      </c>
      <c r="X145" s="169">
        <v>0</v>
      </c>
      <c r="Y145" s="169">
        <v>0</v>
      </c>
      <c r="Z145" s="169">
        <v>0</v>
      </c>
      <c r="AA145" s="169">
        <v>0</v>
      </c>
      <c r="AB145" s="169">
        <v>0</v>
      </c>
      <c r="AC145" s="169">
        <v>0</v>
      </c>
      <c r="AD145" s="169">
        <v>0</v>
      </c>
      <c r="AE145" s="169">
        <v>0</v>
      </c>
      <c r="AF145" s="169">
        <v>0</v>
      </c>
      <c r="AG145" s="169">
        <v>0</v>
      </c>
      <c r="AH145" s="169">
        <v>0</v>
      </c>
      <c r="AI145" s="169">
        <v>0</v>
      </c>
      <c r="AJ145" s="169">
        <v>0</v>
      </c>
      <c r="AK145" s="169">
        <v>0</v>
      </c>
      <c r="AL145" s="169">
        <v>0</v>
      </c>
      <c r="AM145" s="169">
        <v>0</v>
      </c>
      <c r="AN145" s="169">
        <v>0</v>
      </c>
      <c r="AO145" s="169">
        <v>0</v>
      </c>
      <c r="AP145" s="169">
        <v>0</v>
      </c>
      <c r="AQ145" s="169">
        <v>0</v>
      </c>
      <c r="AR145" s="169">
        <v>0</v>
      </c>
      <c r="AS145" s="169">
        <v>0</v>
      </c>
      <c r="AT145" s="169">
        <v>0</v>
      </c>
      <c r="AU145" s="169">
        <v>0</v>
      </c>
      <c r="AV145" s="169">
        <v>0</v>
      </c>
      <c r="AW145" s="169">
        <v>0</v>
      </c>
      <c r="AX145" s="169">
        <v>0</v>
      </c>
      <c r="AY145" s="169">
        <v>0</v>
      </c>
      <c r="AZ145" s="169">
        <v>0</v>
      </c>
      <c r="BA145" s="169">
        <v>0</v>
      </c>
      <c r="BB145" s="169">
        <v>0</v>
      </c>
      <c r="BC145" s="169">
        <v>0</v>
      </c>
      <c r="BD145" s="169">
        <v>0</v>
      </c>
      <c r="BE145" s="169">
        <v>0</v>
      </c>
      <c r="BF145" s="169">
        <v>0</v>
      </c>
      <c r="BG145" s="169">
        <v>0</v>
      </c>
      <c r="BH145" s="169">
        <v>0</v>
      </c>
      <c r="BI145" s="169">
        <v>0</v>
      </c>
      <c r="BJ145" s="169">
        <v>0</v>
      </c>
      <c r="BK145" s="169">
        <v>0</v>
      </c>
      <c r="BL145" s="169">
        <v>0</v>
      </c>
      <c r="BM145" s="169">
        <v>0</v>
      </c>
      <c r="BN145" s="169">
        <v>0</v>
      </c>
      <c r="BO145" s="169">
        <v>0</v>
      </c>
      <c r="BP145" s="169">
        <v>0</v>
      </c>
      <c r="BQ145" s="169">
        <v>0</v>
      </c>
      <c r="BR145" s="169">
        <v>0</v>
      </c>
      <c r="BS145" s="169">
        <v>0</v>
      </c>
      <c r="BT145" s="169">
        <v>0</v>
      </c>
      <c r="BU145" s="169">
        <v>0</v>
      </c>
      <c r="BV145" s="169">
        <v>0</v>
      </c>
    </row>
    <row r="146" spans="2:74" s="125" customFormat="1" ht="15.75" hidden="1" customHeight="1" outlineLevel="1" x14ac:dyDescent="0.2">
      <c r="B146" s="160" t="s">
        <v>107</v>
      </c>
      <c r="C146" s="169">
        <v>0</v>
      </c>
      <c r="D146" s="169">
        <v>0</v>
      </c>
      <c r="E146" s="169">
        <v>0</v>
      </c>
      <c r="F146" s="169">
        <v>0</v>
      </c>
      <c r="G146" s="169">
        <v>0</v>
      </c>
      <c r="H146" s="169">
        <v>0</v>
      </c>
      <c r="I146" s="169">
        <v>0</v>
      </c>
      <c r="J146" s="169">
        <v>0</v>
      </c>
      <c r="K146" s="169">
        <v>0</v>
      </c>
      <c r="L146" s="169">
        <v>0</v>
      </c>
      <c r="M146" s="169">
        <v>0</v>
      </c>
      <c r="N146" s="169">
        <v>0</v>
      </c>
      <c r="O146" s="169">
        <v>0</v>
      </c>
      <c r="P146" s="169">
        <v>0</v>
      </c>
      <c r="Q146" s="169">
        <v>0</v>
      </c>
      <c r="R146" s="169">
        <v>0</v>
      </c>
      <c r="S146" s="169">
        <v>0</v>
      </c>
      <c r="T146" s="169">
        <v>0</v>
      </c>
      <c r="U146" s="169">
        <v>0</v>
      </c>
      <c r="V146" s="169">
        <v>0</v>
      </c>
      <c r="W146" s="169">
        <v>0</v>
      </c>
      <c r="X146" s="169">
        <v>0</v>
      </c>
      <c r="Y146" s="169">
        <v>0</v>
      </c>
      <c r="Z146" s="169">
        <v>0</v>
      </c>
      <c r="AA146" s="169">
        <v>0</v>
      </c>
      <c r="AB146" s="169">
        <v>0</v>
      </c>
      <c r="AC146" s="169">
        <v>0</v>
      </c>
      <c r="AD146" s="169">
        <v>0</v>
      </c>
      <c r="AE146" s="169">
        <v>0</v>
      </c>
      <c r="AF146" s="169">
        <v>0</v>
      </c>
      <c r="AG146" s="169">
        <v>0</v>
      </c>
      <c r="AH146" s="169">
        <v>0</v>
      </c>
      <c r="AI146" s="169">
        <v>0</v>
      </c>
      <c r="AJ146" s="169">
        <v>0</v>
      </c>
      <c r="AK146" s="169">
        <v>0</v>
      </c>
      <c r="AL146" s="169">
        <v>0</v>
      </c>
      <c r="AM146" s="169">
        <v>0</v>
      </c>
      <c r="AN146" s="169">
        <v>0</v>
      </c>
      <c r="AO146" s="169">
        <v>0</v>
      </c>
      <c r="AP146" s="169">
        <v>0</v>
      </c>
      <c r="AQ146" s="169">
        <v>0</v>
      </c>
      <c r="AR146" s="169">
        <v>0</v>
      </c>
      <c r="AS146" s="169">
        <v>0</v>
      </c>
      <c r="AT146" s="169">
        <v>0</v>
      </c>
      <c r="AU146" s="169">
        <v>0</v>
      </c>
      <c r="AV146" s="169">
        <v>0</v>
      </c>
      <c r="AW146" s="169">
        <v>0</v>
      </c>
      <c r="AX146" s="169">
        <v>0</v>
      </c>
      <c r="AY146" s="169">
        <v>0</v>
      </c>
      <c r="AZ146" s="169">
        <v>0</v>
      </c>
      <c r="BA146" s="169">
        <v>0</v>
      </c>
      <c r="BB146" s="169">
        <v>0</v>
      </c>
      <c r="BC146" s="169">
        <v>0</v>
      </c>
      <c r="BD146" s="169">
        <v>0</v>
      </c>
      <c r="BE146" s="169">
        <v>0</v>
      </c>
      <c r="BF146" s="169">
        <v>0</v>
      </c>
      <c r="BG146" s="169">
        <v>0</v>
      </c>
      <c r="BH146" s="169">
        <v>0</v>
      </c>
      <c r="BI146" s="169">
        <v>0</v>
      </c>
      <c r="BJ146" s="169">
        <v>0</v>
      </c>
      <c r="BK146" s="169">
        <v>0</v>
      </c>
      <c r="BL146" s="169">
        <v>0</v>
      </c>
      <c r="BM146" s="169">
        <v>0</v>
      </c>
      <c r="BN146" s="169">
        <v>0</v>
      </c>
      <c r="BO146" s="169">
        <v>0</v>
      </c>
      <c r="BP146" s="169">
        <v>0</v>
      </c>
      <c r="BQ146" s="169">
        <v>0</v>
      </c>
      <c r="BR146" s="169">
        <v>0</v>
      </c>
      <c r="BS146" s="169">
        <v>0</v>
      </c>
      <c r="BT146" s="169">
        <v>0</v>
      </c>
      <c r="BU146" s="169">
        <v>0</v>
      </c>
      <c r="BV146" s="169">
        <v>0</v>
      </c>
    </row>
    <row r="147" spans="2:74" s="125" customFormat="1" ht="15.75" hidden="1" customHeight="1" outlineLevel="1" x14ac:dyDescent="0.2">
      <c r="B147" s="160" t="s">
        <v>108</v>
      </c>
      <c r="C147" s="169">
        <v>0</v>
      </c>
      <c r="D147" s="169">
        <v>0</v>
      </c>
      <c r="E147" s="169">
        <v>0</v>
      </c>
      <c r="F147" s="169">
        <v>0</v>
      </c>
      <c r="G147" s="169">
        <v>0</v>
      </c>
      <c r="H147" s="169">
        <v>0</v>
      </c>
      <c r="I147" s="169">
        <v>0</v>
      </c>
      <c r="J147" s="169">
        <v>0</v>
      </c>
      <c r="K147" s="169">
        <v>0</v>
      </c>
      <c r="L147" s="169">
        <v>0</v>
      </c>
      <c r="M147" s="169">
        <v>0</v>
      </c>
      <c r="N147" s="169">
        <v>0</v>
      </c>
      <c r="O147" s="169">
        <v>0</v>
      </c>
      <c r="P147" s="169">
        <v>0</v>
      </c>
      <c r="Q147" s="169">
        <v>0</v>
      </c>
      <c r="R147" s="169">
        <v>0</v>
      </c>
      <c r="S147" s="169">
        <v>0</v>
      </c>
      <c r="T147" s="169">
        <v>0</v>
      </c>
      <c r="U147" s="169">
        <v>0</v>
      </c>
      <c r="V147" s="169">
        <v>0</v>
      </c>
      <c r="W147" s="169">
        <v>0</v>
      </c>
      <c r="X147" s="169">
        <v>0</v>
      </c>
      <c r="Y147" s="169">
        <v>0</v>
      </c>
      <c r="Z147" s="169">
        <v>0</v>
      </c>
      <c r="AA147" s="169">
        <v>0</v>
      </c>
      <c r="AB147" s="169">
        <v>0</v>
      </c>
      <c r="AC147" s="169">
        <v>0</v>
      </c>
      <c r="AD147" s="169">
        <v>0</v>
      </c>
      <c r="AE147" s="169">
        <v>0</v>
      </c>
      <c r="AF147" s="169">
        <v>0</v>
      </c>
      <c r="AG147" s="169">
        <v>0</v>
      </c>
      <c r="AH147" s="169">
        <v>0</v>
      </c>
      <c r="AI147" s="169">
        <v>0</v>
      </c>
      <c r="AJ147" s="169">
        <v>0</v>
      </c>
      <c r="AK147" s="169">
        <v>0</v>
      </c>
      <c r="AL147" s="169">
        <v>0</v>
      </c>
      <c r="AM147" s="169">
        <v>0</v>
      </c>
      <c r="AN147" s="169">
        <v>0</v>
      </c>
      <c r="AO147" s="169">
        <v>0</v>
      </c>
      <c r="AP147" s="169">
        <v>0</v>
      </c>
      <c r="AQ147" s="169">
        <v>0</v>
      </c>
      <c r="AR147" s="169">
        <v>0</v>
      </c>
      <c r="AS147" s="169">
        <v>0</v>
      </c>
      <c r="AT147" s="169">
        <v>0</v>
      </c>
      <c r="AU147" s="169">
        <v>0</v>
      </c>
      <c r="AV147" s="169">
        <v>0</v>
      </c>
      <c r="AW147" s="169">
        <v>0</v>
      </c>
      <c r="AX147" s="169">
        <v>0</v>
      </c>
      <c r="AY147" s="169">
        <v>0</v>
      </c>
      <c r="AZ147" s="169">
        <v>0</v>
      </c>
      <c r="BA147" s="169">
        <v>0</v>
      </c>
      <c r="BB147" s="169">
        <v>0</v>
      </c>
      <c r="BC147" s="169">
        <v>0</v>
      </c>
      <c r="BD147" s="169">
        <v>0</v>
      </c>
      <c r="BE147" s="169">
        <v>0</v>
      </c>
      <c r="BF147" s="169">
        <v>0</v>
      </c>
      <c r="BG147" s="169">
        <v>0</v>
      </c>
      <c r="BH147" s="169">
        <v>0</v>
      </c>
      <c r="BI147" s="169">
        <v>0</v>
      </c>
      <c r="BJ147" s="169">
        <v>0</v>
      </c>
      <c r="BK147" s="169">
        <v>0</v>
      </c>
      <c r="BL147" s="169">
        <v>0</v>
      </c>
      <c r="BM147" s="169">
        <v>0</v>
      </c>
      <c r="BN147" s="169">
        <v>0</v>
      </c>
      <c r="BO147" s="169">
        <v>0</v>
      </c>
      <c r="BP147" s="169">
        <v>0</v>
      </c>
      <c r="BQ147" s="169">
        <v>0</v>
      </c>
      <c r="BR147" s="169">
        <v>0</v>
      </c>
      <c r="BS147" s="169">
        <v>0</v>
      </c>
      <c r="BT147" s="169">
        <v>0</v>
      </c>
      <c r="BU147" s="169">
        <v>0</v>
      </c>
      <c r="BV147" s="169">
        <v>0</v>
      </c>
    </row>
    <row r="148" spans="2:74" s="125" customFormat="1" ht="15.75" hidden="1" customHeight="1" outlineLevel="1" x14ac:dyDescent="0.2">
      <c r="B148" s="160" t="s">
        <v>109</v>
      </c>
      <c r="C148" s="169">
        <v>0</v>
      </c>
      <c r="D148" s="169">
        <v>0</v>
      </c>
      <c r="E148" s="169">
        <v>0</v>
      </c>
      <c r="F148" s="169">
        <v>0</v>
      </c>
      <c r="G148" s="169">
        <v>0</v>
      </c>
      <c r="H148" s="169">
        <v>0</v>
      </c>
      <c r="I148" s="169">
        <v>0</v>
      </c>
      <c r="J148" s="169">
        <v>0</v>
      </c>
      <c r="K148" s="169">
        <v>0</v>
      </c>
      <c r="L148" s="169">
        <v>0</v>
      </c>
      <c r="M148" s="169">
        <v>0</v>
      </c>
      <c r="N148" s="169">
        <v>0</v>
      </c>
      <c r="O148" s="169">
        <v>0</v>
      </c>
      <c r="P148" s="169">
        <v>0</v>
      </c>
      <c r="Q148" s="169">
        <v>0</v>
      </c>
      <c r="R148" s="169">
        <v>0</v>
      </c>
      <c r="S148" s="169">
        <v>0</v>
      </c>
      <c r="T148" s="169">
        <v>0</v>
      </c>
      <c r="U148" s="169">
        <v>0</v>
      </c>
      <c r="V148" s="169">
        <v>0</v>
      </c>
      <c r="W148" s="169">
        <v>0</v>
      </c>
      <c r="X148" s="169">
        <v>0</v>
      </c>
      <c r="Y148" s="169">
        <v>0</v>
      </c>
      <c r="Z148" s="169">
        <v>0</v>
      </c>
      <c r="AA148" s="169">
        <v>0</v>
      </c>
      <c r="AB148" s="169">
        <v>0</v>
      </c>
      <c r="AC148" s="169">
        <v>0</v>
      </c>
      <c r="AD148" s="169">
        <v>0</v>
      </c>
      <c r="AE148" s="169">
        <v>0</v>
      </c>
      <c r="AF148" s="169">
        <v>0</v>
      </c>
      <c r="AG148" s="169">
        <v>0</v>
      </c>
      <c r="AH148" s="169">
        <v>0</v>
      </c>
      <c r="AI148" s="169">
        <v>0</v>
      </c>
      <c r="AJ148" s="169">
        <v>0</v>
      </c>
      <c r="AK148" s="169">
        <v>0</v>
      </c>
      <c r="AL148" s="169">
        <v>0</v>
      </c>
      <c r="AM148" s="169">
        <v>0</v>
      </c>
      <c r="AN148" s="169">
        <v>0</v>
      </c>
      <c r="AO148" s="169">
        <v>0</v>
      </c>
      <c r="AP148" s="169">
        <v>0</v>
      </c>
      <c r="AQ148" s="169">
        <v>0</v>
      </c>
      <c r="AR148" s="169">
        <v>0</v>
      </c>
      <c r="AS148" s="169">
        <v>0</v>
      </c>
      <c r="AT148" s="169">
        <v>0</v>
      </c>
      <c r="AU148" s="169">
        <v>0</v>
      </c>
      <c r="AV148" s="169">
        <v>0</v>
      </c>
      <c r="AW148" s="169">
        <v>0</v>
      </c>
      <c r="AX148" s="169">
        <v>0</v>
      </c>
      <c r="AY148" s="169">
        <v>0</v>
      </c>
      <c r="AZ148" s="169">
        <v>0</v>
      </c>
      <c r="BA148" s="169">
        <v>0</v>
      </c>
      <c r="BB148" s="169">
        <v>0</v>
      </c>
      <c r="BC148" s="169">
        <v>0</v>
      </c>
      <c r="BD148" s="169">
        <v>0</v>
      </c>
      <c r="BE148" s="169">
        <v>0</v>
      </c>
      <c r="BF148" s="169">
        <v>0</v>
      </c>
      <c r="BG148" s="169">
        <v>0</v>
      </c>
      <c r="BH148" s="169">
        <v>0</v>
      </c>
      <c r="BI148" s="169">
        <v>0</v>
      </c>
      <c r="BJ148" s="169">
        <v>0</v>
      </c>
      <c r="BK148" s="169">
        <v>0</v>
      </c>
      <c r="BL148" s="169">
        <v>0</v>
      </c>
      <c r="BM148" s="169">
        <v>0</v>
      </c>
      <c r="BN148" s="169">
        <v>0</v>
      </c>
      <c r="BO148" s="169">
        <v>0</v>
      </c>
      <c r="BP148" s="169">
        <v>0</v>
      </c>
      <c r="BQ148" s="169">
        <v>0</v>
      </c>
      <c r="BR148" s="169">
        <v>0</v>
      </c>
      <c r="BS148" s="169">
        <v>0</v>
      </c>
      <c r="BT148" s="169">
        <v>0</v>
      </c>
      <c r="BU148" s="169">
        <v>0</v>
      </c>
      <c r="BV148" s="169">
        <v>0</v>
      </c>
    </row>
    <row r="149" spans="2:74" s="125" customFormat="1" ht="15.75" hidden="1" customHeight="1" outlineLevel="1" x14ac:dyDescent="0.2">
      <c r="B149" s="160" t="s">
        <v>110</v>
      </c>
      <c r="C149" s="169">
        <v>0</v>
      </c>
      <c r="D149" s="169">
        <v>0</v>
      </c>
      <c r="E149" s="169">
        <v>0</v>
      </c>
      <c r="F149" s="169">
        <v>0</v>
      </c>
      <c r="G149" s="169">
        <v>0</v>
      </c>
      <c r="H149" s="169">
        <v>0</v>
      </c>
      <c r="I149" s="169">
        <v>0</v>
      </c>
      <c r="J149" s="169">
        <v>0</v>
      </c>
      <c r="K149" s="169">
        <v>0</v>
      </c>
      <c r="L149" s="169">
        <v>0</v>
      </c>
      <c r="M149" s="169">
        <v>0</v>
      </c>
      <c r="N149" s="169">
        <v>0</v>
      </c>
      <c r="O149" s="169">
        <v>0</v>
      </c>
      <c r="P149" s="169">
        <v>0</v>
      </c>
      <c r="Q149" s="169">
        <v>0</v>
      </c>
      <c r="R149" s="169">
        <v>0</v>
      </c>
      <c r="S149" s="169">
        <v>0</v>
      </c>
      <c r="T149" s="169">
        <v>0</v>
      </c>
      <c r="U149" s="169">
        <v>0</v>
      </c>
      <c r="V149" s="169">
        <v>0</v>
      </c>
      <c r="W149" s="169">
        <v>0</v>
      </c>
      <c r="X149" s="169">
        <v>0</v>
      </c>
      <c r="Y149" s="169">
        <v>0</v>
      </c>
      <c r="Z149" s="169">
        <v>0</v>
      </c>
      <c r="AA149" s="169">
        <v>0</v>
      </c>
      <c r="AB149" s="169">
        <v>0</v>
      </c>
      <c r="AC149" s="169">
        <v>0</v>
      </c>
      <c r="AD149" s="169">
        <v>0</v>
      </c>
      <c r="AE149" s="169">
        <v>0</v>
      </c>
      <c r="AF149" s="169">
        <v>0</v>
      </c>
      <c r="AG149" s="169">
        <v>0</v>
      </c>
      <c r="AH149" s="169">
        <v>0</v>
      </c>
      <c r="AI149" s="169">
        <v>0</v>
      </c>
      <c r="AJ149" s="169">
        <v>0</v>
      </c>
      <c r="AK149" s="169">
        <v>0</v>
      </c>
      <c r="AL149" s="169">
        <v>0</v>
      </c>
      <c r="AM149" s="169">
        <v>0</v>
      </c>
      <c r="AN149" s="169">
        <v>0</v>
      </c>
      <c r="AO149" s="169">
        <v>0</v>
      </c>
      <c r="AP149" s="169">
        <v>0</v>
      </c>
      <c r="AQ149" s="169">
        <v>0</v>
      </c>
      <c r="AR149" s="169">
        <v>0</v>
      </c>
      <c r="AS149" s="169">
        <v>0</v>
      </c>
      <c r="AT149" s="169">
        <v>0</v>
      </c>
      <c r="AU149" s="169">
        <v>0</v>
      </c>
      <c r="AV149" s="169">
        <v>0</v>
      </c>
      <c r="AW149" s="169">
        <v>0</v>
      </c>
      <c r="AX149" s="169">
        <v>0</v>
      </c>
      <c r="AY149" s="169">
        <v>0</v>
      </c>
      <c r="AZ149" s="169">
        <v>0</v>
      </c>
      <c r="BA149" s="169">
        <v>0</v>
      </c>
      <c r="BB149" s="169">
        <v>0</v>
      </c>
      <c r="BC149" s="169">
        <v>0</v>
      </c>
      <c r="BD149" s="169">
        <v>0</v>
      </c>
      <c r="BE149" s="169">
        <v>0</v>
      </c>
      <c r="BF149" s="169">
        <v>0</v>
      </c>
      <c r="BG149" s="169">
        <v>0</v>
      </c>
      <c r="BH149" s="169">
        <v>0</v>
      </c>
      <c r="BI149" s="169">
        <v>0</v>
      </c>
      <c r="BJ149" s="169">
        <v>0</v>
      </c>
      <c r="BK149" s="169">
        <v>0</v>
      </c>
      <c r="BL149" s="169">
        <v>0</v>
      </c>
      <c r="BM149" s="169">
        <v>0</v>
      </c>
      <c r="BN149" s="169">
        <v>0</v>
      </c>
      <c r="BO149" s="169">
        <v>0</v>
      </c>
      <c r="BP149" s="169">
        <v>0</v>
      </c>
      <c r="BQ149" s="169">
        <v>0</v>
      </c>
      <c r="BR149" s="169">
        <v>0</v>
      </c>
      <c r="BS149" s="169">
        <v>0</v>
      </c>
      <c r="BT149" s="169">
        <v>0</v>
      </c>
      <c r="BU149" s="169">
        <v>0</v>
      </c>
      <c r="BV149" s="169">
        <v>0</v>
      </c>
    </row>
    <row r="150" spans="2:74" s="125" customFormat="1" ht="15.75" hidden="1" customHeight="1" outlineLevel="1" x14ac:dyDescent="0.2">
      <c r="B150" s="160" t="s">
        <v>111</v>
      </c>
      <c r="C150" s="169">
        <v>0</v>
      </c>
      <c r="D150" s="169">
        <v>0</v>
      </c>
      <c r="E150" s="169">
        <v>0</v>
      </c>
      <c r="F150" s="169">
        <v>0</v>
      </c>
      <c r="G150" s="169">
        <v>0</v>
      </c>
      <c r="H150" s="169">
        <v>0</v>
      </c>
      <c r="I150" s="169">
        <v>0</v>
      </c>
      <c r="J150" s="169">
        <v>0</v>
      </c>
      <c r="K150" s="169">
        <v>0</v>
      </c>
      <c r="L150" s="169">
        <v>0</v>
      </c>
      <c r="M150" s="169">
        <v>0</v>
      </c>
      <c r="N150" s="169">
        <v>0</v>
      </c>
      <c r="O150" s="169">
        <v>0</v>
      </c>
      <c r="P150" s="169">
        <v>0</v>
      </c>
      <c r="Q150" s="169">
        <v>0</v>
      </c>
      <c r="R150" s="169">
        <v>0</v>
      </c>
      <c r="S150" s="169">
        <v>0</v>
      </c>
      <c r="T150" s="169">
        <v>0</v>
      </c>
      <c r="U150" s="169">
        <v>0</v>
      </c>
      <c r="V150" s="169">
        <v>0</v>
      </c>
      <c r="W150" s="169">
        <v>0</v>
      </c>
      <c r="X150" s="169">
        <v>0</v>
      </c>
      <c r="Y150" s="169">
        <v>0</v>
      </c>
      <c r="Z150" s="169">
        <v>0</v>
      </c>
      <c r="AA150" s="169">
        <v>0</v>
      </c>
      <c r="AB150" s="169">
        <v>0</v>
      </c>
      <c r="AC150" s="169">
        <v>0</v>
      </c>
      <c r="AD150" s="169">
        <v>0</v>
      </c>
      <c r="AE150" s="169">
        <v>0</v>
      </c>
      <c r="AF150" s="169">
        <v>0</v>
      </c>
      <c r="AG150" s="169">
        <v>0</v>
      </c>
      <c r="AH150" s="169">
        <v>0</v>
      </c>
      <c r="AI150" s="169">
        <v>0</v>
      </c>
      <c r="AJ150" s="169">
        <v>0</v>
      </c>
      <c r="AK150" s="169">
        <v>0</v>
      </c>
      <c r="AL150" s="169">
        <v>0</v>
      </c>
      <c r="AM150" s="169">
        <v>0</v>
      </c>
      <c r="AN150" s="169">
        <v>0</v>
      </c>
      <c r="AO150" s="169">
        <v>0</v>
      </c>
      <c r="AP150" s="169">
        <v>0</v>
      </c>
      <c r="AQ150" s="169">
        <v>0</v>
      </c>
      <c r="AR150" s="169">
        <v>0</v>
      </c>
      <c r="AS150" s="169">
        <v>0</v>
      </c>
      <c r="AT150" s="169">
        <v>0</v>
      </c>
      <c r="AU150" s="169">
        <v>0</v>
      </c>
      <c r="AV150" s="169">
        <v>0</v>
      </c>
      <c r="AW150" s="169">
        <v>0</v>
      </c>
      <c r="AX150" s="169">
        <v>0</v>
      </c>
      <c r="AY150" s="169">
        <v>0</v>
      </c>
      <c r="AZ150" s="169">
        <v>0</v>
      </c>
      <c r="BA150" s="169">
        <v>0</v>
      </c>
      <c r="BB150" s="169">
        <v>0</v>
      </c>
      <c r="BC150" s="169">
        <v>0</v>
      </c>
      <c r="BD150" s="169">
        <v>0</v>
      </c>
      <c r="BE150" s="169">
        <v>0</v>
      </c>
      <c r="BF150" s="169">
        <v>0</v>
      </c>
      <c r="BG150" s="169">
        <v>0</v>
      </c>
      <c r="BH150" s="169">
        <v>0</v>
      </c>
      <c r="BI150" s="169">
        <v>0</v>
      </c>
      <c r="BJ150" s="169">
        <v>0</v>
      </c>
      <c r="BK150" s="169">
        <v>0</v>
      </c>
      <c r="BL150" s="169">
        <v>0</v>
      </c>
      <c r="BM150" s="169">
        <v>0</v>
      </c>
      <c r="BN150" s="169">
        <v>0</v>
      </c>
      <c r="BO150" s="169">
        <v>0</v>
      </c>
      <c r="BP150" s="169">
        <v>0</v>
      </c>
      <c r="BQ150" s="169">
        <v>0</v>
      </c>
      <c r="BR150" s="169">
        <v>0</v>
      </c>
      <c r="BS150" s="169">
        <v>0</v>
      </c>
      <c r="BT150" s="169">
        <v>0</v>
      </c>
      <c r="BU150" s="169">
        <v>0</v>
      </c>
      <c r="BV150" s="169">
        <v>0</v>
      </c>
    </row>
    <row r="151" spans="2:74" s="125" customFormat="1" ht="15.75" hidden="1" customHeight="1" outlineLevel="1" x14ac:dyDescent="0.2">
      <c r="B151" s="160" t="s">
        <v>112</v>
      </c>
      <c r="C151" s="169">
        <v>0</v>
      </c>
      <c r="D151" s="169">
        <v>0</v>
      </c>
      <c r="E151" s="169">
        <v>0</v>
      </c>
      <c r="F151" s="169">
        <v>0</v>
      </c>
      <c r="G151" s="169">
        <v>0</v>
      </c>
      <c r="H151" s="169">
        <v>0</v>
      </c>
      <c r="I151" s="169">
        <v>0</v>
      </c>
      <c r="J151" s="169">
        <v>0</v>
      </c>
      <c r="K151" s="169">
        <v>0</v>
      </c>
      <c r="L151" s="169">
        <v>0</v>
      </c>
      <c r="M151" s="169">
        <v>0</v>
      </c>
      <c r="N151" s="169">
        <v>0</v>
      </c>
      <c r="O151" s="169">
        <v>0</v>
      </c>
      <c r="P151" s="169">
        <v>0</v>
      </c>
      <c r="Q151" s="169">
        <v>0</v>
      </c>
      <c r="R151" s="169">
        <v>0</v>
      </c>
      <c r="S151" s="169">
        <v>0</v>
      </c>
      <c r="T151" s="169">
        <v>0</v>
      </c>
      <c r="U151" s="169">
        <v>0</v>
      </c>
      <c r="V151" s="169">
        <v>0</v>
      </c>
      <c r="W151" s="169">
        <v>0</v>
      </c>
      <c r="X151" s="169">
        <v>0</v>
      </c>
      <c r="Y151" s="169">
        <v>0</v>
      </c>
      <c r="Z151" s="169">
        <v>0</v>
      </c>
      <c r="AA151" s="169">
        <v>0</v>
      </c>
      <c r="AB151" s="169">
        <v>0</v>
      </c>
      <c r="AC151" s="169">
        <v>0</v>
      </c>
      <c r="AD151" s="169">
        <v>0</v>
      </c>
      <c r="AE151" s="169">
        <v>0</v>
      </c>
      <c r="AF151" s="169">
        <v>0</v>
      </c>
      <c r="AG151" s="169">
        <v>0</v>
      </c>
      <c r="AH151" s="169">
        <v>0</v>
      </c>
      <c r="AI151" s="169">
        <v>0</v>
      </c>
      <c r="AJ151" s="169">
        <v>0</v>
      </c>
      <c r="AK151" s="169">
        <v>0</v>
      </c>
      <c r="AL151" s="169">
        <v>0</v>
      </c>
      <c r="AM151" s="169">
        <v>0</v>
      </c>
      <c r="AN151" s="169">
        <v>0</v>
      </c>
      <c r="AO151" s="169">
        <v>0</v>
      </c>
      <c r="AP151" s="169">
        <v>0</v>
      </c>
      <c r="AQ151" s="169">
        <v>0</v>
      </c>
      <c r="AR151" s="169">
        <v>0</v>
      </c>
      <c r="AS151" s="169">
        <v>0</v>
      </c>
      <c r="AT151" s="169">
        <v>0</v>
      </c>
      <c r="AU151" s="169">
        <v>0</v>
      </c>
      <c r="AV151" s="169">
        <v>0</v>
      </c>
      <c r="AW151" s="169">
        <v>0</v>
      </c>
      <c r="AX151" s="169">
        <v>0</v>
      </c>
      <c r="AY151" s="169">
        <v>0</v>
      </c>
      <c r="AZ151" s="169">
        <v>0</v>
      </c>
      <c r="BA151" s="169">
        <v>0</v>
      </c>
      <c r="BB151" s="169">
        <v>0</v>
      </c>
      <c r="BC151" s="169">
        <v>0</v>
      </c>
      <c r="BD151" s="169">
        <v>0</v>
      </c>
      <c r="BE151" s="169">
        <v>0</v>
      </c>
      <c r="BF151" s="169">
        <v>0</v>
      </c>
      <c r="BG151" s="169">
        <v>0</v>
      </c>
      <c r="BH151" s="169">
        <v>0</v>
      </c>
      <c r="BI151" s="169">
        <v>0</v>
      </c>
      <c r="BJ151" s="169">
        <v>0</v>
      </c>
      <c r="BK151" s="169">
        <v>0</v>
      </c>
      <c r="BL151" s="169">
        <v>0</v>
      </c>
      <c r="BM151" s="169">
        <v>0</v>
      </c>
      <c r="BN151" s="169">
        <v>0</v>
      </c>
      <c r="BO151" s="169">
        <v>0</v>
      </c>
      <c r="BP151" s="169">
        <v>0</v>
      </c>
      <c r="BQ151" s="169">
        <v>0</v>
      </c>
      <c r="BR151" s="169">
        <v>0</v>
      </c>
      <c r="BS151" s="169">
        <v>0</v>
      </c>
      <c r="BT151" s="169">
        <v>0</v>
      </c>
      <c r="BU151" s="169">
        <v>0</v>
      </c>
      <c r="BV151" s="169">
        <v>0</v>
      </c>
    </row>
    <row r="152" spans="2:74" s="125" customFormat="1" ht="15.75" customHeight="1" collapsed="1" x14ac:dyDescent="0.2">
      <c r="B152" s="128" t="s">
        <v>73</v>
      </c>
      <c r="C152" s="106">
        <f t="shared" ref="C152:AH152" si="187">+SUM(C153:C162)</f>
        <v>21300</v>
      </c>
      <c r="D152" s="106">
        <f t="shared" si="187"/>
        <v>21300</v>
      </c>
      <c r="E152" s="106">
        <f t="shared" si="187"/>
        <v>21300</v>
      </c>
      <c r="F152" s="106">
        <f t="shared" si="187"/>
        <v>21300</v>
      </c>
      <c r="G152" s="106">
        <f t="shared" si="187"/>
        <v>21300</v>
      </c>
      <c r="H152" s="106">
        <f t="shared" si="187"/>
        <v>21300</v>
      </c>
      <c r="I152" s="106">
        <f t="shared" si="187"/>
        <v>21300</v>
      </c>
      <c r="J152" s="106">
        <f t="shared" si="187"/>
        <v>21300</v>
      </c>
      <c r="K152" s="106">
        <f t="shared" si="187"/>
        <v>21300</v>
      </c>
      <c r="L152" s="106">
        <f t="shared" si="187"/>
        <v>21300</v>
      </c>
      <c r="M152" s="106">
        <f t="shared" si="187"/>
        <v>21300</v>
      </c>
      <c r="N152" s="106">
        <f t="shared" si="187"/>
        <v>21300</v>
      </c>
      <c r="O152" s="106">
        <f t="shared" si="187"/>
        <v>21300</v>
      </c>
      <c r="P152" s="106">
        <f t="shared" si="187"/>
        <v>21300</v>
      </c>
      <c r="Q152" s="106">
        <f t="shared" si="187"/>
        <v>21300</v>
      </c>
      <c r="R152" s="106">
        <f t="shared" si="187"/>
        <v>21300</v>
      </c>
      <c r="S152" s="106">
        <f t="shared" si="187"/>
        <v>21300</v>
      </c>
      <c r="T152" s="106">
        <f t="shared" si="187"/>
        <v>21300</v>
      </c>
      <c r="U152" s="106">
        <f t="shared" si="187"/>
        <v>21300</v>
      </c>
      <c r="V152" s="106">
        <f t="shared" si="187"/>
        <v>21300</v>
      </c>
      <c r="W152" s="106">
        <f t="shared" si="187"/>
        <v>21300</v>
      </c>
      <c r="X152" s="106">
        <f t="shared" si="187"/>
        <v>21300</v>
      </c>
      <c r="Y152" s="106">
        <f t="shared" si="187"/>
        <v>21300</v>
      </c>
      <c r="Z152" s="106">
        <f t="shared" si="187"/>
        <v>21300</v>
      </c>
      <c r="AA152" s="106">
        <f t="shared" si="187"/>
        <v>21300</v>
      </c>
      <c r="AB152" s="106">
        <f t="shared" si="187"/>
        <v>21300</v>
      </c>
      <c r="AC152" s="106">
        <f t="shared" si="187"/>
        <v>21300</v>
      </c>
      <c r="AD152" s="106">
        <f t="shared" si="187"/>
        <v>21300</v>
      </c>
      <c r="AE152" s="106">
        <f t="shared" si="187"/>
        <v>21300</v>
      </c>
      <c r="AF152" s="106">
        <f t="shared" si="187"/>
        <v>21300</v>
      </c>
      <c r="AG152" s="106">
        <f t="shared" si="187"/>
        <v>21300</v>
      </c>
      <c r="AH152" s="106">
        <f t="shared" si="187"/>
        <v>21300</v>
      </c>
      <c r="AI152" s="106">
        <f t="shared" ref="AI152:BN152" si="188">+SUM(AI153:AI162)</f>
        <v>21300</v>
      </c>
      <c r="AJ152" s="106">
        <f t="shared" si="188"/>
        <v>21300</v>
      </c>
      <c r="AK152" s="106">
        <f t="shared" si="188"/>
        <v>21300</v>
      </c>
      <c r="AL152" s="106">
        <f t="shared" si="188"/>
        <v>21300</v>
      </c>
      <c r="AM152" s="106">
        <f t="shared" si="188"/>
        <v>21300</v>
      </c>
      <c r="AN152" s="106">
        <f t="shared" si="188"/>
        <v>21300</v>
      </c>
      <c r="AO152" s="106">
        <f t="shared" si="188"/>
        <v>21300</v>
      </c>
      <c r="AP152" s="106">
        <f t="shared" si="188"/>
        <v>21300</v>
      </c>
      <c r="AQ152" s="106">
        <f t="shared" si="188"/>
        <v>21300</v>
      </c>
      <c r="AR152" s="106">
        <f t="shared" si="188"/>
        <v>21300</v>
      </c>
      <c r="AS152" s="106">
        <f t="shared" si="188"/>
        <v>21300</v>
      </c>
      <c r="AT152" s="106">
        <f t="shared" si="188"/>
        <v>21300</v>
      </c>
      <c r="AU152" s="106">
        <f t="shared" si="188"/>
        <v>21300</v>
      </c>
      <c r="AV152" s="106">
        <f t="shared" si="188"/>
        <v>21300</v>
      </c>
      <c r="AW152" s="106">
        <f t="shared" si="188"/>
        <v>21300</v>
      </c>
      <c r="AX152" s="106">
        <f t="shared" si="188"/>
        <v>21300</v>
      </c>
      <c r="AY152" s="106">
        <f t="shared" si="188"/>
        <v>21300</v>
      </c>
      <c r="AZ152" s="106">
        <f t="shared" si="188"/>
        <v>21300</v>
      </c>
      <c r="BA152" s="106">
        <f t="shared" si="188"/>
        <v>21300</v>
      </c>
      <c r="BB152" s="106">
        <f t="shared" si="188"/>
        <v>21300</v>
      </c>
      <c r="BC152" s="106">
        <f t="shared" si="188"/>
        <v>21300</v>
      </c>
      <c r="BD152" s="106">
        <f t="shared" si="188"/>
        <v>21300</v>
      </c>
      <c r="BE152" s="106">
        <f t="shared" si="188"/>
        <v>21300</v>
      </c>
      <c r="BF152" s="106">
        <f t="shared" si="188"/>
        <v>21300</v>
      </c>
      <c r="BG152" s="106">
        <f t="shared" si="188"/>
        <v>21300</v>
      </c>
      <c r="BH152" s="106">
        <f t="shared" si="188"/>
        <v>21300</v>
      </c>
      <c r="BI152" s="106">
        <f t="shared" si="188"/>
        <v>21300</v>
      </c>
      <c r="BJ152" s="106">
        <f t="shared" si="188"/>
        <v>21300</v>
      </c>
      <c r="BK152" s="106">
        <f t="shared" si="188"/>
        <v>21300</v>
      </c>
      <c r="BL152" s="106">
        <f t="shared" si="188"/>
        <v>21300</v>
      </c>
      <c r="BM152" s="106">
        <f t="shared" si="188"/>
        <v>21300</v>
      </c>
      <c r="BN152" s="106">
        <f t="shared" si="188"/>
        <v>21300</v>
      </c>
      <c r="BO152" s="106">
        <f t="shared" ref="BO152:BV152" si="189">+SUM(BO153:BO162)</f>
        <v>21300</v>
      </c>
      <c r="BP152" s="106">
        <f t="shared" si="189"/>
        <v>21300</v>
      </c>
      <c r="BQ152" s="106">
        <f t="shared" si="189"/>
        <v>21300</v>
      </c>
      <c r="BR152" s="106">
        <f t="shared" si="189"/>
        <v>21300</v>
      </c>
      <c r="BS152" s="106">
        <f t="shared" si="189"/>
        <v>21300</v>
      </c>
      <c r="BT152" s="106">
        <f t="shared" si="189"/>
        <v>21300</v>
      </c>
      <c r="BU152" s="106">
        <f t="shared" si="189"/>
        <v>21300</v>
      </c>
      <c r="BV152" s="106">
        <f t="shared" si="189"/>
        <v>21300</v>
      </c>
    </row>
    <row r="153" spans="2:74" s="125" customFormat="1" ht="15.75" hidden="1" customHeight="1" outlineLevel="1" x14ac:dyDescent="0.2">
      <c r="B153" s="160" t="s">
        <v>147</v>
      </c>
      <c r="C153" s="169">
        <v>7500</v>
      </c>
      <c r="D153" s="169">
        <v>7500</v>
      </c>
      <c r="E153" s="169">
        <v>7500</v>
      </c>
      <c r="F153" s="169">
        <v>7500</v>
      </c>
      <c r="G153" s="169">
        <v>7500</v>
      </c>
      <c r="H153" s="169">
        <v>7500</v>
      </c>
      <c r="I153" s="169">
        <v>7500</v>
      </c>
      <c r="J153" s="169">
        <v>7500</v>
      </c>
      <c r="K153" s="169">
        <v>7500</v>
      </c>
      <c r="L153" s="169">
        <v>7500</v>
      </c>
      <c r="M153" s="169">
        <v>7500</v>
      </c>
      <c r="N153" s="169">
        <v>7500</v>
      </c>
      <c r="O153" s="169">
        <v>7500</v>
      </c>
      <c r="P153" s="169">
        <v>7500</v>
      </c>
      <c r="Q153" s="169">
        <v>7500</v>
      </c>
      <c r="R153" s="169">
        <v>7500</v>
      </c>
      <c r="S153" s="169">
        <v>7500</v>
      </c>
      <c r="T153" s="169">
        <v>7500</v>
      </c>
      <c r="U153" s="169">
        <v>7500</v>
      </c>
      <c r="V153" s="169">
        <v>7500</v>
      </c>
      <c r="W153" s="169">
        <v>7500</v>
      </c>
      <c r="X153" s="169">
        <v>7500</v>
      </c>
      <c r="Y153" s="169">
        <v>7500</v>
      </c>
      <c r="Z153" s="169">
        <v>7500</v>
      </c>
      <c r="AA153" s="169">
        <v>7500</v>
      </c>
      <c r="AB153" s="169">
        <v>7500</v>
      </c>
      <c r="AC153" s="169">
        <v>7500</v>
      </c>
      <c r="AD153" s="169">
        <v>7500</v>
      </c>
      <c r="AE153" s="169">
        <v>7500</v>
      </c>
      <c r="AF153" s="169">
        <v>7500</v>
      </c>
      <c r="AG153" s="169">
        <v>7500</v>
      </c>
      <c r="AH153" s="169">
        <v>7500</v>
      </c>
      <c r="AI153" s="169">
        <v>7500</v>
      </c>
      <c r="AJ153" s="169">
        <v>7500</v>
      </c>
      <c r="AK153" s="169">
        <v>7500</v>
      </c>
      <c r="AL153" s="169">
        <v>7500</v>
      </c>
      <c r="AM153" s="169">
        <v>7500</v>
      </c>
      <c r="AN153" s="169">
        <v>7500</v>
      </c>
      <c r="AO153" s="169">
        <v>7500</v>
      </c>
      <c r="AP153" s="169">
        <v>7500</v>
      </c>
      <c r="AQ153" s="169">
        <v>7500</v>
      </c>
      <c r="AR153" s="169">
        <v>7500</v>
      </c>
      <c r="AS153" s="169">
        <v>7500</v>
      </c>
      <c r="AT153" s="169">
        <v>7500</v>
      </c>
      <c r="AU153" s="169">
        <v>7500</v>
      </c>
      <c r="AV153" s="169">
        <v>7500</v>
      </c>
      <c r="AW153" s="169">
        <v>7500</v>
      </c>
      <c r="AX153" s="169">
        <v>7500</v>
      </c>
      <c r="AY153" s="169">
        <v>7500</v>
      </c>
      <c r="AZ153" s="169">
        <v>7500</v>
      </c>
      <c r="BA153" s="169">
        <v>7500</v>
      </c>
      <c r="BB153" s="169">
        <v>7500</v>
      </c>
      <c r="BC153" s="169">
        <v>7500</v>
      </c>
      <c r="BD153" s="169">
        <v>7500</v>
      </c>
      <c r="BE153" s="169">
        <v>7500</v>
      </c>
      <c r="BF153" s="169">
        <v>7500</v>
      </c>
      <c r="BG153" s="169">
        <v>7500</v>
      </c>
      <c r="BH153" s="169">
        <v>7500</v>
      </c>
      <c r="BI153" s="169">
        <v>7500</v>
      </c>
      <c r="BJ153" s="169">
        <v>7500</v>
      </c>
      <c r="BK153" s="169">
        <v>7500</v>
      </c>
      <c r="BL153" s="169">
        <v>7500</v>
      </c>
      <c r="BM153" s="169">
        <v>7500</v>
      </c>
      <c r="BN153" s="169">
        <v>7500</v>
      </c>
      <c r="BO153" s="169">
        <v>7500</v>
      </c>
      <c r="BP153" s="169">
        <v>7500</v>
      </c>
      <c r="BQ153" s="169">
        <v>7500</v>
      </c>
      <c r="BR153" s="169">
        <v>7500</v>
      </c>
      <c r="BS153" s="169">
        <v>7500</v>
      </c>
      <c r="BT153" s="169">
        <v>7500</v>
      </c>
      <c r="BU153" s="169">
        <v>7500</v>
      </c>
      <c r="BV153" s="169">
        <v>7500</v>
      </c>
    </row>
    <row r="154" spans="2:74" s="125" customFormat="1" ht="15.75" hidden="1" customHeight="1" outlineLevel="1" x14ac:dyDescent="0.2">
      <c r="B154" s="160" t="s">
        <v>148</v>
      </c>
      <c r="C154" s="169">
        <v>6800</v>
      </c>
      <c r="D154" s="169">
        <v>6800</v>
      </c>
      <c r="E154" s="169">
        <v>6800</v>
      </c>
      <c r="F154" s="169">
        <v>6800</v>
      </c>
      <c r="G154" s="169">
        <v>6800</v>
      </c>
      <c r="H154" s="169">
        <v>6800</v>
      </c>
      <c r="I154" s="169">
        <v>6800</v>
      </c>
      <c r="J154" s="169">
        <v>6800</v>
      </c>
      <c r="K154" s="169">
        <v>6800</v>
      </c>
      <c r="L154" s="169">
        <v>6800</v>
      </c>
      <c r="M154" s="169">
        <v>6800</v>
      </c>
      <c r="N154" s="169">
        <v>6800</v>
      </c>
      <c r="O154" s="169">
        <v>6800</v>
      </c>
      <c r="P154" s="169">
        <v>6800</v>
      </c>
      <c r="Q154" s="169">
        <v>6800</v>
      </c>
      <c r="R154" s="169">
        <v>6800</v>
      </c>
      <c r="S154" s="169">
        <v>6800</v>
      </c>
      <c r="T154" s="169">
        <v>6800</v>
      </c>
      <c r="U154" s="169">
        <v>6800</v>
      </c>
      <c r="V154" s="169">
        <v>6800</v>
      </c>
      <c r="W154" s="169">
        <v>6800</v>
      </c>
      <c r="X154" s="169">
        <v>6800</v>
      </c>
      <c r="Y154" s="169">
        <v>6800</v>
      </c>
      <c r="Z154" s="169">
        <v>6800</v>
      </c>
      <c r="AA154" s="169">
        <v>6800</v>
      </c>
      <c r="AB154" s="169">
        <v>6800</v>
      </c>
      <c r="AC154" s="169">
        <v>6800</v>
      </c>
      <c r="AD154" s="169">
        <v>6800</v>
      </c>
      <c r="AE154" s="169">
        <v>6800</v>
      </c>
      <c r="AF154" s="169">
        <v>6800</v>
      </c>
      <c r="AG154" s="169">
        <v>6800</v>
      </c>
      <c r="AH154" s="169">
        <v>6800</v>
      </c>
      <c r="AI154" s="169">
        <v>6800</v>
      </c>
      <c r="AJ154" s="169">
        <v>6800</v>
      </c>
      <c r="AK154" s="169">
        <v>6800</v>
      </c>
      <c r="AL154" s="169">
        <v>6800</v>
      </c>
      <c r="AM154" s="169">
        <v>6800</v>
      </c>
      <c r="AN154" s="169">
        <v>6800</v>
      </c>
      <c r="AO154" s="169">
        <v>6800</v>
      </c>
      <c r="AP154" s="169">
        <v>6800</v>
      </c>
      <c r="AQ154" s="169">
        <v>6800</v>
      </c>
      <c r="AR154" s="169">
        <v>6800</v>
      </c>
      <c r="AS154" s="169">
        <v>6800</v>
      </c>
      <c r="AT154" s="169">
        <v>6800</v>
      </c>
      <c r="AU154" s="169">
        <v>6800</v>
      </c>
      <c r="AV154" s="169">
        <v>6800</v>
      </c>
      <c r="AW154" s="169">
        <v>6800</v>
      </c>
      <c r="AX154" s="169">
        <v>6800</v>
      </c>
      <c r="AY154" s="169">
        <v>6800</v>
      </c>
      <c r="AZ154" s="169">
        <v>6800</v>
      </c>
      <c r="BA154" s="169">
        <v>6800</v>
      </c>
      <c r="BB154" s="169">
        <v>6800</v>
      </c>
      <c r="BC154" s="169">
        <v>6800</v>
      </c>
      <c r="BD154" s="169">
        <v>6800</v>
      </c>
      <c r="BE154" s="169">
        <v>6800</v>
      </c>
      <c r="BF154" s="169">
        <v>6800</v>
      </c>
      <c r="BG154" s="169">
        <v>6800</v>
      </c>
      <c r="BH154" s="169">
        <v>6800</v>
      </c>
      <c r="BI154" s="169">
        <v>6800</v>
      </c>
      <c r="BJ154" s="169">
        <v>6800</v>
      </c>
      <c r="BK154" s="169">
        <v>6800</v>
      </c>
      <c r="BL154" s="169">
        <v>6800</v>
      </c>
      <c r="BM154" s="169">
        <v>6800</v>
      </c>
      <c r="BN154" s="169">
        <v>6800</v>
      </c>
      <c r="BO154" s="169">
        <v>6800</v>
      </c>
      <c r="BP154" s="169">
        <v>6800</v>
      </c>
      <c r="BQ154" s="169">
        <v>6800</v>
      </c>
      <c r="BR154" s="169">
        <v>6800</v>
      </c>
      <c r="BS154" s="169">
        <v>6800</v>
      </c>
      <c r="BT154" s="169">
        <v>6800</v>
      </c>
      <c r="BU154" s="169">
        <v>6800</v>
      </c>
      <c r="BV154" s="169">
        <v>6800</v>
      </c>
    </row>
    <row r="155" spans="2:74" s="125" customFormat="1" ht="15.75" hidden="1" customHeight="1" outlineLevel="1" x14ac:dyDescent="0.2">
      <c r="B155" s="160" t="s">
        <v>157</v>
      </c>
      <c r="C155" s="169">
        <v>7000</v>
      </c>
      <c r="D155" s="169">
        <v>7000</v>
      </c>
      <c r="E155" s="169">
        <v>7000</v>
      </c>
      <c r="F155" s="169">
        <v>7000</v>
      </c>
      <c r="G155" s="169">
        <v>7000</v>
      </c>
      <c r="H155" s="169">
        <v>7000</v>
      </c>
      <c r="I155" s="169">
        <v>7000</v>
      </c>
      <c r="J155" s="169">
        <v>7000</v>
      </c>
      <c r="K155" s="169">
        <v>7000</v>
      </c>
      <c r="L155" s="169">
        <v>7000</v>
      </c>
      <c r="M155" s="169">
        <v>7000</v>
      </c>
      <c r="N155" s="169">
        <v>7000</v>
      </c>
      <c r="O155" s="169">
        <v>7000</v>
      </c>
      <c r="P155" s="169">
        <v>7000</v>
      </c>
      <c r="Q155" s="169">
        <v>7000</v>
      </c>
      <c r="R155" s="169">
        <v>7000</v>
      </c>
      <c r="S155" s="169">
        <v>7000</v>
      </c>
      <c r="T155" s="169">
        <v>7000</v>
      </c>
      <c r="U155" s="169">
        <v>7000</v>
      </c>
      <c r="V155" s="169">
        <v>7000</v>
      </c>
      <c r="W155" s="169">
        <v>7000</v>
      </c>
      <c r="X155" s="169">
        <v>7000</v>
      </c>
      <c r="Y155" s="169">
        <v>7000</v>
      </c>
      <c r="Z155" s="169">
        <v>7000</v>
      </c>
      <c r="AA155" s="169">
        <v>7000</v>
      </c>
      <c r="AB155" s="169">
        <v>7000</v>
      </c>
      <c r="AC155" s="169">
        <v>7000</v>
      </c>
      <c r="AD155" s="169">
        <v>7000</v>
      </c>
      <c r="AE155" s="169">
        <v>7000</v>
      </c>
      <c r="AF155" s="169">
        <v>7000</v>
      </c>
      <c r="AG155" s="169">
        <v>7000</v>
      </c>
      <c r="AH155" s="169">
        <v>7000</v>
      </c>
      <c r="AI155" s="169">
        <v>7000</v>
      </c>
      <c r="AJ155" s="169">
        <v>7000</v>
      </c>
      <c r="AK155" s="169">
        <v>7000</v>
      </c>
      <c r="AL155" s="169">
        <v>7000</v>
      </c>
      <c r="AM155" s="169">
        <v>7000</v>
      </c>
      <c r="AN155" s="169">
        <v>7000</v>
      </c>
      <c r="AO155" s="169">
        <v>7000</v>
      </c>
      <c r="AP155" s="169">
        <v>7000</v>
      </c>
      <c r="AQ155" s="169">
        <v>7000</v>
      </c>
      <c r="AR155" s="169">
        <v>7000</v>
      </c>
      <c r="AS155" s="169">
        <v>7000</v>
      </c>
      <c r="AT155" s="169">
        <v>7000</v>
      </c>
      <c r="AU155" s="169">
        <v>7000</v>
      </c>
      <c r="AV155" s="169">
        <v>7000</v>
      </c>
      <c r="AW155" s="169">
        <v>7000</v>
      </c>
      <c r="AX155" s="169">
        <v>7000</v>
      </c>
      <c r="AY155" s="169">
        <v>7000</v>
      </c>
      <c r="AZ155" s="169">
        <v>7000</v>
      </c>
      <c r="BA155" s="169">
        <v>7000</v>
      </c>
      <c r="BB155" s="169">
        <v>7000</v>
      </c>
      <c r="BC155" s="169">
        <v>7000</v>
      </c>
      <c r="BD155" s="169">
        <v>7000</v>
      </c>
      <c r="BE155" s="169">
        <v>7000</v>
      </c>
      <c r="BF155" s="169">
        <v>7000</v>
      </c>
      <c r="BG155" s="169">
        <v>7000</v>
      </c>
      <c r="BH155" s="169">
        <v>7000</v>
      </c>
      <c r="BI155" s="169">
        <v>7000</v>
      </c>
      <c r="BJ155" s="169">
        <v>7000</v>
      </c>
      <c r="BK155" s="169">
        <v>7000</v>
      </c>
      <c r="BL155" s="169">
        <v>7000</v>
      </c>
      <c r="BM155" s="169">
        <v>7000</v>
      </c>
      <c r="BN155" s="169">
        <v>7000</v>
      </c>
      <c r="BO155" s="169">
        <v>7000</v>
      </c>
      <c r="BP155" s="169">
        <v>7000</v>
      </c>
      <c r="BQ155" s="169">
        <v>7000</v>
      </c>
      <c r="BR155" s="169">
        <v>7000</v>
      </c>
      <c r="BS155" s="169">
        <v>7000</v>
      </c>
      <c r="BT155" s="169">
        <v>7000</v>
      </c>
      <c r="BU155" s="169">
        <v>7000</v>
      </c>
      <c r="BV155" s="169">
        <v>7000</v>
      </c>
    </row>
    <row r="156" spans="2:74" s="125" customFormat="1" ht="15.75" hidden="1" customHeight="1" outlineLevel="1" x14ac:dyDescent="0.2">
      <c r="B156" s="160" t="s">
        <v>113</v>
      </c>
      <c r="C156" s="169">
        <v>0</v>
      </c>
      <c r="D156" s="169">
        <v>0</v>
      </c>
      <c r="E156" s="169">
        <v>0</v>
      </c>
      <c r="F156" s="169">
        <v>0</v>
      </c>
      <c r="G156" s="169">
        <v>0</v>
      </c>
      <c r="H156" s="169">
        <v>0</v>
      </c>
      <c r="I156" s="169">
        <v>0</v>
      </c>
      <c r="J156" s="169">
        <v>0</v>
      </c>
      <c r="K156" s="169">
        <v>0</v>
      </c>
      <c r="L156" s="169">
        <v>0</v>
      </c>
      <c r="M156" s="169">
        <v>0</v>
      </c>
      <c r="N156" s="169">
        <v>0</v>
      </c>
      <c r="O156" s="169">
        <v>0</v>
      </c>
      <c r="P156" s="169">
        <v>0</v>
      </c>
      <c r="Q156" s="169">
        <v>0</v>
      </c>
      <c r="R156" s="169">
        <v>0</v>
      </c>
      <c r="S156" s="169">
        <v>0</v>
      </c>
      <c r="T156" s="169">
        <v>0</v>
      </c>
      <c r="U156" s="169">
        <v>0</v>
      </c>
      <c r="V156" s="169">
        <v>0</v>
      </c>
      <c r="W156" s="169">
        <v>0</v>
      </c>
      <c r="X156" s="169">
        <v>0</v>
      </c>
      <c r="Y156" s="169">
        <v>0</v>
      </c>
      <c r="Z156" s="169">
        <v>0</v>
      </c>
      <c r="AA156" s="169">
        <v>0</v>
      </c>
      <c r="AB156" s="169">
        <v>0</v>
      </c>
      <c r="AC156" s="169">
        <v>0</v>
      </c>
      <c r="AD156" s="169">
        <v>0</v>
      </c>
      <c r="AE156" s="169">
        <v>0</v>
      </c>
      <c r="AF156" s="169">
        <v>0</v>
      </c>
      <c r="AG156" s="169">
        <v>0</v>
      </c>
      <c r="AH156" s="169">
        <v>0</v>
      </c>
      <c r="AI156" s="169">
        <v>0</v>
      </c>
      <c r="AJ156" s="169">
        <v>0</v>
      </c>
      <c r="AK156" s="169">
        <v>0</v>
      </c>
      <c r="AL156" s="169">
        <v>0</v>
      </c>
      <c r="AM156" s="169">
        <v>0</v>
      </c>
      <c r="AN156" s="169">
        <v>0</v>
      </c>
      <c r="AO156" s="169">
        <v>0</v>
      </c>
      <c r="AP156" s="169">
        <v>0</v>
      </c>
      <c r="AQ156" s="169">
        <v>0</v>
      </c>
      <c r="AR156" s="169">
        <v>0</v>
      </c>
      <c r="AS156" s="169">
        <v>0</v>
      </c>
      <c r="AT156" s="169">
        <v>0</v>
      </c>
      <c r="AU156" s="169">
        <v>0</v>
      </c>
      <c r="AV156" s="169">
        <v>0</v>
      </c>
      <c r="AW156" s="169">
        <v>0</v>
      </c>
      <c r="AX156" s="169">
        <v>0</v>
      </c>
      <c r="AY156" s="169">
        <v>0</v>
      </c>
      <c r="AZ156" s="169">
        <v>0</v>
      </c>
      <c r="BA156" s="169">
        <v>0</v>
      </c>
      <c r="BB156" s="169">
        <v>0</v>
      </c>
      <c r="BC156" s="169">
        <v>0</v>
      </c>
      <c r="BD156" s="169">
        <v>0</v>
      </c>
      <c r="BE156" s="169">
        <v>0</v>
      </c>
      <c r="BF156" s="169">
        <v>0</v>
      </c>
      <c r="BG156" s="169">
        <v>0</v>
      </c>
      <c r="BH156" s="169">
        <v>0</v>
      </c>
      <c r="BI156" s="169">
        <v>0</v>
      </c>
      <c r="BJ156" s="169">
        <v>0</v>
      </c>
      <c r="BK156" s="169">
        <v>0</v>
      </c>
      <c r="BL156" s="169">
        <v>0</v>
      </c>
      <c r="BM156" s="169">
        <v>0</v>
      </c>
      <c r="BN156" s="169">
        <v>0</v>
      </c>
      <c r="BO156" s="169">
        <v>0</v>
      </c>
      <c r="BP156" s="169">
        <v>0</v>
      </c>
      <c r="BQ156" s="169">
        <v>0</v>
      </c>
      <c r="BR156" s="169">
        <v>0</v>
      </c>
      <c r="BS156" s="169">
        <v>0</v>
      </c>
      <c r="BT156" s="169">
        <v>0</v>
      </c>
      <c r="BU156" s="169">
        <v>0</v>
      </c>
      <c r="BV156" s="169">
        <v>0</v>
      </c>
    </row>
    <row r="157" spans="2:74" s="125" customFormat="1" ht="15.75" hidden="1" customHeight="1" outlineLevel="1" x14ac:dyDescent="0.2">
      <c r="B157" s="160" t="s">
        <v>114</v>
      </c>
      <c r="C157" s="169">
        <v>0</v>
      </c>
      <c r="D157" s="169">
        <v>0</v>
      </c>
      <c r="E157" s="169">
        <v>0</v>
      </c>
      <c r="F157" s="169">
        <v>0</v>
      </c>
      <c r="G157" s="169">
        <v>0</v>
      </c>
      <c r="H157" s="169">
        <v>0</v>
      </c>
      <c r="I157" s="169">
        <v>0</v>
      </c>
      <c r="J157" s="169">
        <v>0</v>
      </c>
      <c r="K157" s="169">
        <v>0</v>
      </c>
      <c r="L157" s="169">
        <v>0</v>
      </c>
      <c r="M157" s="169">
        <v>0</v>
      </c>
      <c r="N157" s="169">
        <v>0</v>
      </c>
      <c r="O157" s="169">
        <v>0</v>
      </c>
      <c r="P157" s="169">
        <v>0</v>
      </c>
      <c r="Q157" s="169">
        <v>0</v>
      </c>
      <c r="R157" s="169">
        <v>0</v>
      </c>
      <c r="S157" s="169">
        <v>0</v>
      </c>
      <c r="T157" s="169">
        <v>0</v>
      </c>
      <c r="U157" s="169">
        <v>0</v>
      </c>
      <c r="V157" s="169">
        <v>0</v>
      </c>
      <c r="W157" s="169">
        <v>0</v>
      </c>
      <c r="X157" s="169">
        <v>0</v>
      </c>
      <c r="Y157" s="169">
        <v>0</v>
      </c>
      <c r="Z157" s="169">
        <v>0</v>
      </c>
      <c r="AA157" s="169">
        <v>0</v>
      </c>
      <c r="AB157" s="169">
        <v>0</v>
      </c>
      <c r="AC157" s="169">
        <v>0</v>
      </c>
      <c r="AD157" s="169">
        <v>0</v>
      </c>
      <c r="AE157" s="169">
        <v>0</v>
      </c>
      <c r="AF157" s="169">
        <v>0</v>
      </c>
      <c r="AG157" s="169">
        <v>0</v>
      </c>
      <c r="AH157" s="169">
        <v>0</v>
      </c>
      <c r="AI157" s="169">
        <v>0</v>
      </c>
      <c r="AJ157" s="169">
        <v>0</v>
      </c>
      <c r="AK157" s="169">
        <v>0</v>
      </c>
      <c r="AL157" s="169">
        <v>0</v>
      </c>
      <c r="AM157" s="169">
        <v>0</v>
      </c>
      <c r="AN157" s="169">
        <v>0</v>
      </c>
      <c r="AO157" s="169">
        <v>0</v>
      </c>
      <c r="AP157" s="169">
        <v>0</v>
      </c>
      <c r="AQ157" s="169">
        <v>0</v>
      </c>
      <c r="AR157" s="169">
        <v>0</v>
      </c>
      <c r="AS157" s="169">
        <v>0</v>
      </c>
      <c r="AT157" s="169">
        <v>0</v>
      </c>
      <c r="AU157" s="169">
        <v>0</v>
      </c>
      <c r="AV157" s="169">
        <v>0</v>
      </c>
      <c r="AW157" s="169">
        <v>0</v>
      </c>
      <c r="AX157" s="169">
        <v>0</v>
      </c>
      <c r="AY157" s="169">
        <v>0</v>
      </c>
      <c r="AZ157" s="169">
        <v>0</v>
      </c>
      <c r="BA157" s="169">
        <v>0</v>
      </c>
      <c r="BB157" s="169">
        <v>0</v>
      </c>
      <c r="BC157" s="169">
        <v>0</v>
      </c>
      <c r="BD157" s="169">
        <v>0</v>
      </c>
      <c r="BE157" s="169">
        <v>0</v>
      </c>
      <c r="BF157" s="169">
        <v>0</v>
      </c>
      <c r="BG157" s="169">
        <v>0</v>
      </c>
      <c r="BH157" s="169">
        <v>0</v>
      </c>
      <c r="BI157" s="169">
        <v>0</v>
      </c>
      <c r="BJ157" s="169">
        <v>0</v>
      </c>
      <c r="BK157" s="169">
        <v>0</v>
      </c>
      <c r="BL157" s="169">
        <v>0</v>
      </c>
      <c r="BM157" s="169">
        <v>0</v>
      </c>
      <c r="BN157" s="169">
        <v>0</v>
      </c>
      <c r="BO157" s="169">
        <v>0</v>
      </c>
      <c r="BP157" s="169">
        <v>0</v>
      </c>
      <c r="BQ157" s="169">
        <v>0</v>
      </c>
      <c r="BR157" s="169">
        <v>0</v>
      </c>
      <c r="BS157" s="169">
        <v>0</v>
      </c>
      <c r="BT157" s="169">
        <v>0</v>
      </c>
      <c r="BU157" s="169">
        <v>0</v>
      </c>
      <c r="BV157" s="169">
        <v>0</v>
      </c>
    </row>
    <row r="158" spans="2:74" s="125" customFormat="1" ht="15.75" hidden="1" customHeight="1" outlineLevel="1" x14ac:dyDescent="0.2">
      <c r="B158" s="160" t="s">
        <v>115</v>
      </c>
      <c r="C158" s="169">
        <v>0</v>
      </c>
      <c r="D158" s="169">
        <v>0</v>
      </c>
      <c r="E158" s="169">
        <v>0</v>
      </c>
      <c r="F158" s="169">
        <v>0</v>
      </c>
      <c r="G158" s="169">
        <v>0</v>
      </c>
      <c r="H158" s="169">
        <v>0</v>
      </c>
      <c r="I158" s="169">
        <v>0</v>
      </c>
      <c r="J158" s="169">
        <v>0</v>
      </c>
      <c r="K158" s="169">
        <v>0</v>
      </c>
      <c r="L158" s="169">
        <v>0</v>
      </c>
      <c r="M158" s="169">
        <v>0</v>
      </c>
      <c r="N158" s="169">
        <v>0</v>
      </c>
      <c r="O158" s="169">
        <v>0</v>
      </c>
      <c r="P158" s="169">
        <v>0</v>
      </c>
      <c r="Q158" s="169">
        <v>0</v>
      </c>
      <c r="R158" s="169">
        <v>0</v>
      </c>
      <c r="S158" s="169">
        <v>0</v>
      </c>
      <c r="T158" s="169">
        <v>0</v>
      </c>
      <c r="U158" s="169">
        <v>0</v>
      </c>
      <c r="V158" s="169">
        <v>0</v>
      </c>
      <c r="W158" s="169">
        <v>0</v>
      </c>
      <c r="X158" s="169">
        <v>0</v>
      </c>
      <c r="Y158" s="169">
        <v>0</v>
      </c>
      <c r="Z158" s="169">
        <v>0</v>
      </c>
      <c r="AA158" s="169">
        <v>0</v>
      </c>
      <c r="AB158" s="169">
        <v>0</v>
      </c>
      <c r="AC158" s="169">
        <v>0</v>
      </c>
      <c r="AD158" s="169">
        <v>0</v>
      </c>
      <c r="AE158" s="169">
        <v>0</v>
      </c>
      <c r="AF158" s="169">
        <v>0</v>
      </c>
      <c r="AG158" s="169">
        <v>0</v>
      </c>
      <c r="AH158" s="169">
        <v>0</v>
      </c>
      <c r="AI158" s="169">
        <v>0</v>
      </c>
      <c r="AJ158" s="169">
        <v>0</v>
      </c>
      <c r="AK158" s="169">
        <v>0</v>
      </c>
      <c r="AL158" s="169">
        <v>0</v>
      </c>
      <c r="AM158" s="169">
        <v>0</v>
      </c>
      <c r="AN158" s="169">
        <v>0</v>
      </c>
      <c r="AO158" s="169">
        <v>0</v>
      </c>
      <c r="AP158" s="169">
        <v>0</v>
      </c>
      <c r="AQ158" s="169">
        <v>0</v>
      </c>
      <c r="AR158" s="169">
        <v>0</v>
      </c>
      <c r="AS158" s="169">
        <v>0</v>
      </c>
      <c r="AT158" s="169">
        <v>0</v>
      </c>
      <c r="AU158" s="169">
        <v>0</v>
      </c>
      <c r="AV158" s="169">
        <v>0</v>
      </c>
      <c r="AW158" s="169">
        <v>0</v>
      </c>
      <c r="AX158" s="169">
        <v>0</v>
      </c>
      <c r="AY158" s="169">
        <v>0</v>
      </c>
      <c r="AZ158" s="169">
        <v>0</v>
      </c>
      <c r="BA158" s="169">
        <v>0</v>
      </c>
      <c r="BB158" s="169">
        <v>0</v>
      </c>
      <c r="BC158" s="169">
        <v>0</v>
      </c>
      <c r="BD158" s="169">
        <v>0</v>
      </c>
      <c r="BE158" s="169">
        <v>0</v>
      </c>
      <c r="BF158" s="169">
        <v>0</v>
      </c>
      <c r="BG158" s="169">
        <v>0</v>
      </c>
      <c r="BH158" s="169">
        <v>0</v>
      </c>
      <c r="BI158" s="169">
        <v>0</v>
      </c>
      <c r="BJ158" s="169">
        <v>0</v>
      </c>
      <c r="BK158" s="169">
        <v>0</v>
      </c>
      <c r="BL158" s="169">
        <v>0</v>
      </c>
      <c r="BM158" s="169">
        <v>0</v>
      </c>
      <c r="BN158" s="169">
        <v>0</v>
      </c>
      <c r="BO158" s="169">
        <v>0</v>
      </c>
      <c r="BP158" s="169">
        <v>0</v>
      </c>
      <c r="BQ158" s="169">
        <v>0</v>
      </c>
      <c r="BR158" s="169">
        <v>0</v>
      </c>
      <c r="BS158" s="169">
        <v>0</v>
      </c>
      <c r="BT158" s="169">
        <v>0</v>
      </c>
      <c r="BU158" s="169">
        <v>0</v>
      </c>
      <c r="BV158" s="169">
        <v>0</v>
      </c>
    </row>
    <row r="159" spans="2:74" s="125" customFormat="1" ht="15.75" hidden="1" customHeight="1" outlineLevel="1" x14ac:dyDescent="0.2">
      <c r="B159" s="160" t="s">
        <v>116</v>
      </c>
      <c r="C159" s="169">
        <v>0</v>
      </c>
      <c r="D159" s="169">
        <v>0</v>
      </c>
      <c r="E159" s="169">
        <v>0</v>
      </c>
      <c r="F159" s="169">
        <v>0</v>
      </c>
      <c r="G159" s="169">
        <v>0</v>
      </c>
      <c r="H159" s="169">
        <v>0</v>
      </c>
      <c r="I159" s="169">
        <v>0</v>
      </c>
      <c r="J159" s="169">
        <v>0</v>
      </c>
      <c r="K159" s="169">
        <v>0</v>
      </c>
      <c r="L159" s="169">
        <v>0</v>
      </c>
      <c r="M159" s="169">
        <v>0</v>
      </c>
      <c r="N159" s="169">
        <v>0</v>
      </c>
      <c r="O159" s="169">
        <v>0</v>
      </c>
      <c r="P159" s="169">
        <v>0</v>
      </c>
      <c r="Q159" s="169">
        <v>0</v>
      </c>
      <c r="R159" s="169">
        <v>0</v>
      </c>
      <c r="S159" s="169">
        <v>0</v>
      </c>
      <c r="T159" s="169">
        <v>0</v>
      </c>
      <c r="U159" s="169">
        <v>0</v>
      </c>
      <c r="V159" s="169">
        <v>0</v>
      </c>
      <c r="W159" s="169">
        <v>0</v>
      </c>
      <c r="X159" s="169">
        <v>0</v>
      </c>
      <c r="Y159" s="169">
        <v>0</v>
      </c>
      <c r="Z159" s="169">
        <v>0</v>
      </c>
      <c r="AA159" s="169">
        <v>0</v>
      </c>
      <c r="AB159" s="169">
        <v>0</v>
      </c>
      <c r="AC159" s="169">
        <v>0</v>
      </c>
      <c r="AD159" s="169">
        <v>0</v>
      </c>
      <c r="AE159" s="169">
        <v>0</v>
      </c>
      <c r="AF159" s="169">
        <v>0</v>
      </c>
      <c r="AG159" s="169">
        <v>0</v>
      </c>
      <c r="AH159" s="169">
        <v>0</v>
      </c>
      <c r="AI159" s="169">
        <v>0</v>
      </c>
      <c r="AJ159" s="169">
        <v>0</v>
      </c>
      <c r="AK159" s="169">
        <v>0</v>
      </c>
      <c r="AL159" s="169">
        <v>0</v>
      </c>
      <c r="AM159" s="169">
        <v>0</v>
      </c>
      <c r="AN159" s="169">
        <v>0</v>
      </c>
      <c r="AO159" s="169">
        <v>0</v>
      </c>
      <c r="AP159" s="169">
        <v>0</v>
      </c>
      <c r="AQ159" s="169">
        <v>0</v>
      </c>
      <c r="AR159" s="169">
        <v>0</v>
      </c>
      <c r="AS159" s="169">
        <v>0</v>
      </c>
      <c r="AT159" s="169">
        <v>0</v>
      </c>
      <c r="AU159" s="169">
        <v>0</v>
      </c>
      <c r="AV159" s="169">
        <v>0</v>
      </c>
      <c r="AW159" s="169">
        <v>0</v>
      </c>
      <c r="AX159" s="169">
        <v>0</v>
      </c>
      <c r="AY159" s="169">
        <v>0</v>
      </c>
      <c r="AZ159" s="169">
        <v>0</v>
      </c>
      <c r="BA159" s="169">
        <v>0</v>
      </c>
      <c r="BB159" s="169">
        <v>0</v>
      </c>
      <c r="BC159" s="169">
        <v>0</v>
      </c>
      <c r="BD159" s="169">
        <v>0</v>
      </c>
      <c r="BE159" s="169">
        <v>0</v>
      </c>
      <c r="BF159" s="169">
        <v>0</v>
      </c>
      <c r="BG159" s="169">
        <v>0</v>
      </c>
      <c r="BH159" s="169">
        <v>0</v>
      </c>
      <c r="BI159" s="169">
        <v>0</v>
      </c>
      <c r="BJ159" s="169">
        <v>0</v>
      </c>
      <c r="BK159" s="169">
        <v>0</v>
      </c>
      <c r="BL159" s="169">
        <v>0</v>
      </c>
      <c r="BM159" s="169">
        <v>0</v>
      </c>
      <c r="BN159" s="169">
        <v>0</v>
      </c>
      <c r="BO159" s="169">
        <v>0</v>
      </c>
      <c r="BP159" s="169">
        <v>0</v>
      </c>
      <c r="BQ159" s="169">
        <v>0</v>
      </c>
      <c r="BR159" s="169">
        <v>0</v>
      </c>
      <c r="BS159" s="169">
        <v>0</v>
      </c>
      <c r="BT159" s="169">
        <v>0</v>
      </c>
      <c r="BU159" s="169">
        <v>0</v>
      </c>
      <c r="BV159" s="169">
        <v>0</v>
      </c>
    </row>
    <row r="160" spans="2:74" s="125" customFormat="1" ht="15.75" hidden="1" customHeight="1" outlineLevel="1" x14ac:dyDescent="0.2">
      <c r="B160" s="160" t="s">
        <v>117</v>
      </c>
      <c r="C160" s="169">
        <v>0</v>
      </c>
      <c r="D160" s="169">
        <v>0</v>
      </c>
      <c r="E160" s="169">
        <v>0</v>
      </c>
      <c r="F160" s="169">
        <v>0</v>
      </c>
      <c r="G160" s="169">
        <v>0</v>
      </c>
      <c r="H160" s="169">
        <v>0</v>
      </c>
      <c r="I160" s="169">
        <v>0</v>
      </c>
      <c r="J160" s="169">
        <v>0</v>
      </c>
      <c r="K160" s="169">
        <v>0</v>
      </c>
      <c r="L160" s="169">
        <v>0</v>
      </c>
      <c r="M160" s="169">
        <v>0</v>
      </c>
      <c r="N160" s="169">
        <v>0</v>
      </c>
      <c r="O160" s="169">
        <v>0</v>
      </c>
      <c r="P160" s="169">
        <v>0</v>
      </c>
      <c r="Q160" s="169">
        <v>0</v>
      </c>
      <c r="R160" s="169">
        <v>0</v>
      </c>
      <c r="S160" s="169">
        <v>0</v>
      </c>
      <c r="T160" s="169">
        <v>0</v>
      </c>
      <c r="U160" s="169">
        <v>0</v>
      </c>
      <c r="V160" s="169">
        <v>0</v>
      </c>
      <c r="W160" s="169">
        <v>0</v>
      </c>
      <c r="X160" s="169">
        <v>0</v>
      </c>
      <c r="Y160" s="169">
        <v>0</v>
      </c>
      <c r="Z160" s="169">
        <v>0</v>
      </c>
      <c r="AA160" s="169">
        <v>0</v>
      </c>
      <c r="AB160" s="169">
        <v>0</v>
      </c>
      <c r="AC160" s="169">
        <v>0</v>
      </c>
      <c r="AD160" s="169">
        <v>0</v>
      </c>
      <c r="AE160" s="169">
        <v>0</v>
      </c>
      <c r="AF160" s="169">
        <v>0</v>
      </c>
      <c r="AG160" s="169">
        <v>0</v>
      </c>
      <c r="AH160" s="169">
        <v>0</v>
      </c>
      <c r="AI160" s="169">
        <v>0</v>
      </c>
      <c r="AJ160" s="169">
        <v>0</v>
      </c>
      <c r="AK160" s="169">
        <v>0</v>
      </c>
      <c r="AL160" s="169">
        <v>0</v>
      </c>
      <c r="AM160" s="169">
        <v>0</v>
      </c>
      <c r="AN160" s="169">
        <v>0</v>
      </c>
      <c r="AO160" s="169">
        <v>0</v>
      </c>
      <c r="AP160" s="169">
        <v>0</v>
      </c>
      <c r="AQ160" s="169">
        <v>0</v>
      </c>
      <c r="AR160" s="169">
        <v>0</v>
      </c>
      <c r="AS160" s="169">
        <v>0</v>
      </c>
      <c r="AT160" s="169">
        <v>0</v>
      </c>
      <c r="AU160" s="169">
        <v>0</v>
      </c>
      <c r="AV160" s="169">
        <v>0</v>
      </c>
      <c r="AW160" s="169">
        <v>0</v>
      </c>
      <c r="AX160" s="169">
        <v>0</v>
      </c>
      <c r="AY160" s="169">
        <v>0</v>
      </c>
      <c r="AZ160" s="169">
        <v>0</v>
      </c>
      <c r="BA160" s="169">
        <v>0</v>
      </c>
      <c r="BB160" s="169">
        <v>0</v>
      </c>
      <c r="BC160" s="169">
        <v>0</v>
      </c>
      <c r="BD160" s="169">
        <v>0</v>
      </c>
      <c r="BE160" s="169">
        <v>0</v>
      </c>
      <c r="BF160" s="169">
        <v>0</v>
      </c>
      <c r="BG160" s="169">
        <v>0</v>
      </c>
      <c r="BH160" s="169">
        <v>0</v>
      </c>
      <c r="BI160" s="169">
        <v>0</v>
      </c>
      <c r="BJ160" s="169">
        <v>0</v>
      </c>
      <c r="BK160" s="169">
        <v>0</v>
      </c>
      <c r="BL160" s="169">
        <v>0</v>
      </c>
      <c r="BM160" s="169">
        <v>0</v>
      </c>
      <c r="BN160" s="169">
        <v>0</v>
      </c>
      <c r="BO160" s="169">
        <v>0</v>
      </c>
      <c r="BP160" s="169">
        <v>0</v>
      </c>
      <c r="BQ160" s="169">
        <v>0</v>
      </c>
      <c r="BR160" s="169">
        <v>0</v>
      </c>
      <c r="BS160" s="169">
        <v>0</v>
      </c>
      <c r="BT160" s="169">
        <v>0</v>
      </c>
      <c r="BU160" s="169">
        <v>0</v>
      </c>
      <c r="BV160" s="169">
        <v>0</v>
      </c>
    </row>
    <row r="161" spans="2:74" s="125" customFormat="1" ht="15.75" hidden="1" customHeight="1" outlineLevel="1" x14ac:dyDescent="0.2">
      <c r="B161" s="160" t="s">
        <v>118</v>
      </c>
      <c r="C161" s="169">
        <v>0</v>
      </c>
      <c r="D161" s="169">
        <v>0</v>
      </c>
      <c r="E161" s="169">
        <v>0</v>
      </c>
      <c r="F161" s="169">
        <v>0</v>
      </c>
      <c r="G161" s="169">
        <v>0</v>
      </c>
      <c r="H161" s="169">
        <v>0</v>
      </c>
      <c r="I161" s="169">
        <v>0</v>
      </c>
      <c r="J161" s="169">
        <v>0</v>
      </c>
      <c r="K161" s="169">
        <v>0</v>
      </c>
      <c r="L161" s="169">
        <v>0</v>
      </c>
      <c r="M161" s="169">
        <v>0</v>
      </c>
      <c r="N161" s="169">
        <v>0</v>
      </c>
      <c r="O161" s="169">
        <v>0</v>
      </c>
      <c r="P161" s="169">
        <v>0</v>
      </c>
      <c r="Q161" s="169">
        <v>0</v>
      </c>
      <c r="R161" s="169">
        <v>0</v>
      </c>
      <c r="S161" s="169">
        <v>0</v>
      </c>
      <c r="T161" s="169">
        <v>0</v>
      </c>
      <c r="U161" s="169">
        <v>0</v>
      </c>
      <c r="V161" s="169">
        <v>0</v>
      </c>
      <c r="W161" s="169">
        <v>0</v>
      </c>
      <c r="X161" s="169">
        <v>0</v>
      </c>
      <c r="Y161" s="169">
        <v>0</v>
      </c>
      <c r="Z161" s="169">
        <v>0</v>
      </c>
      <c r="AA161" s="169">
        <v>0</v>
      </c>
      <c r="AB161" s="169">
        <v>0</v>
      </c>
      <c r="AC161" s="169">
        <v>0</v>
      </c>
      <c r="AD161" s="169">
        <v>0</v>
      </c>
      <c r="AE161" s="169">
        <v>0</v>
      </c>
      <c r="AF161" s="169">
        <v>0</v>
      </c>
      <c r="AG161" s="169">
        <v>0</v>
      </c>
      <c r="AH161" s="169">
        <v>0</v>
      </c>
      <c r="AI161" s="169">
        <v>0</v>
      </c>
      <c r="AJ161" s="169">
        <v>0</v>
      </c>
      <c r="AK161" s="169">
        <v>0</v>
      </c>
      <c r="AL161" s="169">
        <v>0</v>
      </c>
      <c r="AM161" s="169">
        <v>0</v>
      </c>
      <c r="AN161" s="169">
        <v>0</v>
      </c>
      <c r="AO161" s="169">
        <v>0</v>
      </c>
      <c r="AP161" s="169">
        <v>0</v>
      </c>
      <c r="AQ161" s="169">
        <v>0</v>
      </c>
      <c r="AR161" s="169">
        <v>0</v>
      </c>
      <c r="AS161" s="169">
        <v>0</v>
      </c>
      <c r="AT161" s="169">
        <v>0</v>
      </c>
      <c r="AU161" s="169">
        <v>0</v>
      </c>
      <c r="AV161" s="169">
        <v>0</v>
      </c>
      <c r="AW161" s="169">
        <v>0</v>
      </c>
      <c r="AX161" s="169">
        <v>0</v>
      </c>
      <c r="AY161" s="169">
        <v>0</v>
      </c>
      <c r="AZ161" s="169">
        <v>0</v>
      </c>
      <c r="BA161" s="169">
        <v>0</v>
      </c>
      <c r="BB161" s="169">
        <v>0</v>
      </c>
      <c r="BC161" s="169">
        <v>0</v>
      </c>
      <c r="BD161" s="169">
        <v>0</v>
      </c>
      <c r="BE161" s="169">
        <v>0</v>
      </c>
      <c r="BF161" s="169">
        <v>0</v>
      </c>
      <c r="BG161" s="169">
        <v>0</v>
      </c>
      <c r="BH161" s="169">
        <v>0</v>
      </c>
      <c r="BI161" s="169">
        <v>0</v>
      </c>
      <c r="BJ161" s="169">
        <v>0</v>
      </c>
      <c r="BK161" s="169">
        <v>0</v>
      </c>
      <c r="BL161" s="169">
        <v>0</v>
      </c>
      <c r="BM161" s="169">
        <v>0</v>
      </c>
      <c r="BN161" s="169">
        <v>0</v>
      </c>
      <c r="BO161" s="169">
        <v>0</v>
      </c>
      <c r="BP161" s="169">
        <v>0</v>
      </c>
      <c r="BQ161" s="169">
        <v>0</v>
      </c>
      <c r="BR161" s="169">
        <v>0</v>
      </c>
      <c r="BS161" s="169">
        <v>0</v>
      </c>
      <c r="BT161" s="169">
        <v>0</v>
      </c>
      <c r="BU161" s="169">
        <v>0</v>
      </c>
      <c r="BV161" s="169">
        <v>0</v>
      </c>
    </row>
    <row r="162" spans="2:74" s="125" customFormat="1" ht="15.75" hidden="1" customHeight="1" outlineLevel="1" x14ac:dyDescent="0.2">
      <c r="B162" s="160" t="s">
        <v>119</v>
      </c>
      <c r="C162" s="169">
        <v>0</v>
      </c>
      <c r="D162" s="169">
        <v>0</v>
      </c>
      <c r="E162" s="169">
        <v>0</v>
      </c>
      <c r="F162" s="169">
        <v>0</v>
      </c>
      <c r="G162" s="169">
        <v>0</v>
      </c>
      <c r="H162" s="169">
        <v>0</v>
      </c>
      <c r="I162" s="169">
        <v>0</v>
      </c>
      <c r="J162" s="169">
        <v>0</v>
      </c>
      <c r="K162" s="169">
        <v>0</v>
      </c>
      <c r="L162" s="169">
        <v>0</v>
      </c>
      <c r="M162" s="169">
        <v>0</v>
      </c>
      <c r="N162" s="169">
        <v>0</v>
      </c>
      <c r="O162" s="169">
        <v>0</v>
      </c>
      <c r="P162" s="169">
        <v>0</v>
      </c>
      <c r="Q162" s="169">
        <v>0</v>
      </c>
      <c r="R162" s="169">
        <v>0</v>
      </c>
      <c r="S162" s="169">
        <v>0</v>
      </c>
      <c r="T162" s="169">
        <v>0</v>
      </c>
      <c r="U162" s="169">
        <v>0</v>
      </c>
      <c r="V162" s="169">
        <v>0</v>
      </c>
      <c r="W162" s="169">
        <v>0</v>
      </c>
      <c r="X162" s="169">
        <v>0</v>
      </c>
      <c r="Y162" s="169">
        <v>0</v>
      </c>
      <c r="Z162" s="169">
        <v>0</v>
      </c>
      <c r="AA162" s="169">
        <v>0</v>
      </c>
      <c r="AB162" s="169">
        <v>0</v>
      </c>
      <c r="AC162" s="169">
        <v>0</v>
      </c>
      <c r="AD162" s="169">
        <v>0</v>
      </c>
      <c r="AE162" s="169">
        <v>0</v>
      </c>
      <c r="AF162" s="169">
        <v>0</v>
      </c>
      <c r="AG162" s="169">
        <v>0</v>
      </c>
      <c r="AH162" s="169">
        <v>0</v>
      </c>
      <c r="AI162" s="169">
        <v>0</v>
      </c>
      <c r="AJ162" s="169">
        <v>0</v>
      </c>
      <c r="AK162" s="169">
        <v>0</v>
      </c>
      <c r="AL162" s="169">
        <v>0</v>
      </c>
      <c r="AM162" s="169">
        <v>0</v>
      </c>
      <c r="AN162" s="169">
        <v>0</v>
      </c>
      <c r="AO162" s="169">
        <v>0</v>
      </c>
      <c r="AP162" s="169">
        <v>0</v>
      </c>
      <c r="AQ162" s="169">
        <v>0</v>
      </c>
      <c r="AR162" s="169">
        <v>0</v>
      </c>
      <c r="AS162" s="169">
        <v>0</v>
      </c>
      <c r="AT162" s="169">
        <v>0</v>
      </c>
      <c r="AU162" s="169">
        <v>0</v>
      </c>
      <c r="AV162" s="169">
        <v>0</v>
      </c>
      <c r="AW162" s="169">
        <v>0</v>
      </c>
      <c r="AX162" s="169">
        <v>0</v>
      </c>
      <c r="AY162" s="169">
        <v>0</v>
      </c>
      <c r="AZ162" s="169">
        <v>0</v>
      </c>
      <c r="BA162" s="169">
        <v>0</v>
      </c>
      <c r="BB162" s="169">
        <v>0</v>
      </c>
      <c r="BC162" s="169">
        <v>0</v>
      </c>
      <c r="BD162" s="169">
        <v>0</v>
      </c>
      <c r="BE162" s="169">
        <v>0</v>
      </c>
      <c r="BF162" s="169">
        <v>0</v>
      </c>
      <c r="BG162" s="169">
        <v>0</v>
      </c>
      <c r="BH162" s="169">
        <v>0</v>
      </c>
      <c r="BI162" s="169">
        <v>0</v>
      </c>
      <c r="BJ162" s="169">
        <v>0</v>
      </c>
      <c r="BK162" s="169">
        <v>0</v>
      </c>
      <c r="BL162" s="169">
        <v>0</v>
      </c>
      <c r="BM162" s="169">
        <v>0</v>
      </c>
      <c r="BN162" s="169">
        <v>0</v>
      </c>
      <c r="BO162" s="169">
        <v>0</v>
      </c>
      <c r="BP162" s="169">
        <v>0</v>
      </c>
      <c r="BQ162" s="169">
        <v>0</v>
      </c>
      <c r="BR162" s="169">
        <v>0</v>
      </c>
      <c r="BS162" s="169">
        <v>0</v>
      </c>
      <c r="BT162" s="169">
        <v>0</v>
      </c>
      <c r="BU162" s="169">
        <v>0</v>
      </c>
      <c r="BV162" s="169">
        <v>0</v>
      </c>
    </row>
    <row r="163" spans="2:74" s="125" customFormat="1" ht="15.75" customHeight="1" collapsed="1" x14ac:dyDescent="0.2">
      <c r="B163" s="128" t="s">
        <v>74</v>
      </c>
      <c r="C163" s="106">
        <f t="shared" ref="C163:AH163" si="190">+SUM(C164:C173)</f>
        <v>7000</v>
      </c>
      <c r="D163" s="106">
        <f t="shared" si="190"/>
        <v>7000</v>
      </c>
      <c r="E163" s="106">
        <f t="shared" si="190"/>
        <v>7000</v>
      </c>
      <c r="F163" s="106">
        <f t="shared" si="190"/>
        <v>7000</v>
      </c>
      <c r="G163" s="106">
        <f t="shared" si="190"/>
        <v>7000</v>
      </c>
      <c r="H163" s="106">
        <f t="shared" si="190"/>
        <v>7000</v>
      </c>
      <c r="I163" s="106">
        <f t="shared" si="190"/>
        <v>7000</v>
      </c>
      <c r="J163" s="106">
        <f t="shared" si="190"/>
        <v>7000</v>
      </c>
      <c r="K163" s="106">
        <f t="shared" si="190"/>
        <v>7000</v>
      </c>
      <c r="L163" s="106">
        <f t="shared" si="190"/>
        <v>7000</v>
      </c>
      <c r="M163" s="106">
        <f t="shared" si="190"/>
        <v>7000</v>
      </c>
      <c r="N163" s="106">
        <f t="shared" si="190"/>
        <v>7000</v>
      </c>
      <c r="O163" s="106">
        <f t="shared" si="190"/>
        <v>7000</v>
      </c>
      <c r="P163" s="106">
        <f t="shared" si="190"/>
        <v>7000</v>
      </c>
      <c r="Q163" s="106">
        <f t="shared" si="190"/>
        <v>7000</v>
      </c>
      <c r="R163" s="106">
        <f t="shared" si="190"/>
        <v>7000</v>
      </c>
      <c r="S163" s="106">
        <f t="shared" si="190"/>
        <v>7000</v>
      </c>
      <c r="T163" s="106">
        <f t="shared" si="190"/>
        <v>7000</v>
      </c>
      <c r="U163" s="106">
        <f t="shared" si="190"/>
        <v>7000</v>
      </c>
      <c r="V163" s="106">
        <f t="shared" si="190"/>
        <v>7000</v>
      </c>
      <c r="W163" s="106">
        <f t="shared" si="190"/>
        <v>7000</v>
      </c>
      <c r="X163" s="106">
        <f t="shared" si="190"/>
        <v>7000</v>
      </c>
      <c r="Y163" s="106">
        <f t="shared" si="190"/>
        <v>7000</v>
      </c>
      <c r="Z163" s="106">
        <f t="shared" si="190"/>
        <v>7000</v>
      </c>
      <c r="AA163" s="106">
        <f t="shared" si="190"/>
        <v>7000</v>
      </c>
      <c r="AB163" s="106">
        <f t="shared" si="190"/>
        <v>7000</v>
      </c>
      <c r="AC163" s="106">
        <f t="shared" si="190"/>
        <v>7000</v>
      </c>
      <c r="AD163" s="106">
        <f t="shared" si="190"/>
        <v>7000</v>
      </c>
      <c r="AE163" s="106">
        <f t="shared" si="190"/>
        <v>7000</v>
      </c>
      <c r="AF163" s="106">
        <f t="shared" si="190"/>
        <v>7000</v>
      </c>
      <c r="AG163" s="106">
        <f t="shared" si="190"/>
        <v>7000</v>
      </c>
      <c r="AH163" s="106">
        <f t="shared" si="190"/>
        <v>7000</v>
      </c>
      <c r="AI163" s="106">
        <f t="shared" ref="AI163:BN163" si="191">+SUM(AI164:AI173)</f>
        <v>7000</v>
      </c>
      <c r="AJ163" s="106">
        <f t="shared" si="191"/>
        <v>7000</v>
      </c>
      <c r="AK163" s="106">
        <f t="shared" si="191"/>
        <v>7000</v>
      </c>
      <c r="AL163" s="106">
        <f t="shared" si="191"/>
        <v>7000</v>
      </c>
      <c r="AM163" s="106">
        <f t="shared" si="191"/>
        <v>7000</v>
      </c>
      <c r="AN163" s="106">
        <f t="shared" si="191"/>
        <v>7000</v>
      </c>
      <c r="AO163" s="106">
        <f t="shared" si="191"/>
        <v>7000</v>
      </c>
      <c r="AP163" s="106">
        <f t="shared" si="191"/>
        <v>7000</v>
      </c>
      <c r="AQ163" s="106">
        <f t="shared" si="191"/>
        <v>7000</v>
      </c>
      <c r="AR163" s="106">
        <f t="shared" si="191"/>
        <v>7000</v>
      </c>
      <c r="AS163" s="106">
        <f t="shared" si="191"/>
        <v>7000</v>
      </c>
      <c r="AT163" s="106">
        <f t="shared" si="191"/>
        <v>7000</v>
      </c>
      <c r="AU163" s="106">
        <f t="shared" si="191"/>
        <v>7000</v>
      </c>
      <c r="AV163" s="106">
        <f t="shared" si="191"/>
        <v>7000</v>
      </c>
      <c r="AW163" s="106">
        <f t="shared" si="191"/>
        <v>7000</v>
      </c>
      <c r="AX163" s="106">
        <f t="shared" si="191"/>
        <v>7000</v>
      </c>
      <c r="AY163" s="106">
        <f t="shared" si="191"/>
        <v>7000</v>
      </c>
      <c r="AZ163" s="106">
        <f t="shared" si="191"/>
        <v>7000</v>
      </c>
      <c r="BA163" s="106">
        <f t="shared" si="191"/>
        <v>7000</v>
      </c>
      <c r="BB163" s="106">
        <f t="shared" si="191"/>
        <v>7000</v>
      </c>
      <c r="BC163" s="106">
        <f t="shared" si="191"/>
        <v>7000</v>
      </c>
      <c r="BD163" s="106">
        <f t="shared" si="191"/>
        <v>7000</v>
      </c>
      <c r="BE163" s="106">
        <f t="shared" si="191"/>
        <v>7000</v>
      </c>
      <c r="BF163" s="106">
        <f t="shared" si="191"/>
        <v>7000</v>
      </c>
      <c r="BG163" s="106">
        <f t="shared" si="191"/>
        <v>7000</v>
      </c>
      <c r="BH163" s="106">
        <f t="shared" si="191"/>
        <v>7000</v>
      </c>
      <c r="BI163" s="106">
        <f t="shared" si="191"/>
        <v>7000</v>
      </c>
      <c r="BJ163" s="106">
        <f t="shared" si="191"/>
        <v>7000</v>
      </c>
      <c r="BK163" s="106">
        <f t="shared" si="191"/>
        <v>7000</v>
      </c>
      <c r="BL163" s="106">
        <f t="shared" si="191"/>
        <v>7000</v>
      </c>
      <c r="BM163" s="106">
        <f t="shared" si="191"/>
        <v>7000</v>
      </c>
      <c r="BN163" s="106">
        <f t="shared" si="191"/>
        <v>7000</v>
      </c>
      <c r="BO163" s="106">
        <f t="shared" ref="BO163:BV163" si="192">+SUM(BO164:BO173)</f>
        <v>7000</v>
      </c>
      <c r="BP163" s="106">
        <f t="shared" si="192"/>
        <v>7000</v>
      </c>
      <c r="BQ163" s="106">
        <f t="shared" si="192"/>
        <v>7000</v>
      </c>
      <c r="BR163" s="106">
        <f t="shared" si="192"/>
        <v>7000</v>
      </c>
      <c r="BS163" s="106">
        <f t="shared" si="192"/>
        <v>7000</v>
      </c>
      <c r="BT163" s="106">
        <f t="shared" si="192"/>
        <v>7000</v>
      </c>
      <c r="BU163" s="106">
        <f t="shared" si="192"/>
        <v>7000</v>
      </c>
      <c r="BV163" s="106">
        <f t="shared" si="192"/>
        <v>7000</v>
      </c>
    </row>
    <row r="164" spans="2:74" s="125" customFormat="1" ht="15.75" hidden="1" customHeight="1" outlineLevel="1" x14ac:dyDescent="0.2">
      <c r="B164" s="160" t="s">
        <v>149</v>
      </c>
      <c r="C164" s="169">
        <v>3000</v>
      </c>
      <c r="D164" s="169">
        <v>3000</v>
      </c>
      <c r="E164" s="169">
        <v>3000</v>
      </c>
      <c r="F164" s="169">
        <v>3000</v>
      </c>
      <c r="G164" s="169">
        <v>3000</v>
      </c>
      <c r="H164" s="169">
        <v>3000</v>
      </c>
      <c r="I164" s="169">
        <v>3000</v>
      </c>
      <c r="J164" s="169">
        <v>3000</v>
      </c>
      <c r="K164" s="169">
        <v>3000</v>
      </c>
      <c r="L164" s="169">
        <v>3000</v>
      </c>
      <c r="M164" s="169">
        <v>3000</v>
      </c>
      <c r="N164" s="169">
        <v>3000</v>
      </c>
      <c r="O164" s="169">
        <v>3000</v>
      </c>
      <c r="P164" s="169">
        <v>3000</v>
      </c>
      <c r="Q164" s="169">
        <v>3000</v>
      </c>
      <c r="R164" s="169">
        <v>3000</v>
      </c>
      <c r="S164" s="169">
        <v>3000</v>
      </c>
      <c r="T164" s="169">
        <v>3000</v>
      </c>
      <c r="U164" s="169">
        <v>3000</v>
      </c>
      <c r="V164" s="169">
        <v>3000</v>
      </c>
      <c r="W164" s="169">
        <v>3000</v>
      </c>
      <c r="X164" s="169">
        <v>3000</v>
      </c>
      <c r="Y164" s="169">
        <v>3000</v>
      </c>
      <c r="Z164" s="169">
        <v>3000</v>
      </c>
      <c r="AA164" s="169">
        <v>3000</v>
      </c>
      <c r="AB164" s="169">
        <v>3000</v>
      </c>
      <c r="AC164" s="169">
        <v>3000</v>
      </c>
      <c r="AD164" s="169">
        <v>3000</v>
      </c>
      <c r="AE164" s="169">
        <v>3000</v>
      </c>
      <c r="AF164" s="169">
        <v>3000</v>
      </c>
      <c r="AG164" s="169">
        <v>3000</v>
      </c>
      <c r="AH164" s="169">
        <v>3000</v>
      </c>
      <c r="AI164" s="169">
        <v>3000</v>
      </c>
      <c r="AJ164" s="169">
        <v>3000</v>
      </c>
      <c r="AK164" s="169">
        <v>3000</v>
      </c>
      <c r="AL164" s="169">
        <v>3000</v>
      </c>
      <c r="AM164" s="169">
        <v>3000</v>
      </c>
      <c r="AN164" s="169">
        <v>3000</v>
      </c>
      <c r="AO164" s="169">
        <v>3000</v>
      </c>
      <c r="AP164" s="169">
        <v>3000</v>
      </c>
      <c r="AQ164" s="169">
        <v>3000</v>
      </c>
      <c r="AR164" s="169">
        <v>3000</v>
      </c>
      <c r="AS164" s="169">
        <v>3000</v>
      </c>
      <c r="AT164" s="169">
        <v>3000</v>
      </c>
      <c r="AU164" s="169">
        <v>3000</v>
      </c>
      <c r="AV164" s="169">
        <v>3000</v>
      </c>
      <c r="AW164" s="169">
        <v>3000</v>
      </c>
      <c r="AX164" s="169">
        <v>3000</v>
      </c>
      <c r="AY164" s="169">
        <v>3000</v>
      </c>
      <c r="AZ164" s="169">
        <v>3000</v>
      </c>
      <c r="BA164" s="169">
        <v>3000</v>
      </c>
      <c r="BB164" s="169">
        <v>3000</v>
      </c>
      <c r="BC164" s="169">
        <v>3000</v>
      </c>
      <c r="BD164" s="169">
        <v>3000</v>
      </c>
      <c r="BE164" s="169">
        <v>3000</v>
      </c>
      <c r="BF164" s="169">
        <v>3000</v>
      </c>
      <c r="BG164" s="169">
        <v>3000</v>
      </c>
      <c r="BH164" s="169">
        <v>3000</v>
      </c>
      <c r="BI164" s="169">
        <v>3000</v>
      </c>
      <c r="BJ164" s="169">
        <v>3000</v>
      </c>
      <c r="BK164" s="169">
        <v>3000</v>
      </c>
      <c r="BL164" s="169">
        <v>3000</v>
      </c>
      <c r="BM164" s="169">
        <v>3000</v>
      </c>
      <c r="BN164" s="169">
        <v>3000</v>
      </c>
      <c r="BO164" s="169">
        <v>3000</v>
      </c>
      <c r="BP164" s="169">
        <v>3000</v>
      </c>
      <c r="BQ164" s="169">
        <v>3000</v>
      </c>
      <c r="BR164" s="169">
        <v>3000</v>
      </c>
      <c r="BS164" s="169">
        <v>3000</v>
      </c>
      <c r="BT164" s="169">
        <v>3000</v>
      </c>
      <c r="BU164" s="169">
        <v>3000</v>
      </c>
      <c r="BV164" s="169">
        <v>3000</v>
      </c>
    </row>
    <row r="165" spans="2:74" s="125" customFormat="1" ht="15.75" hidden="1" customHeight="1" outlineLevel="1" x14ac:dyDescent="0.2">
      <c r="B165" s="160" t="s">
        <v>150</v>
      </c>
      <c r="C165" s="169">
        <v>2500</v>
      </c>
      <c r="D165" s="169">
        <v>2500</v>
      </c>
      <c r="E165" s="169">
        <v>2500</v>
      </c>
      <c r="F165" s="169">
        <v>2500</v>
      </c>
      <c r="G165" s="169">
        <v>2500</v>
      </c>
      <c r="H165" s="169">
        <v>2500</v>
      </c>
      <c r="I165" s="169">
        <v>2500</v>
      </c>
      <c r="J165" s="169">
        <v>2500</v>
      </c>
      <c r="K165" s="169">
        <v>2500</v>
      </c>
      <c r="L165" s="169">
        <v>2500</v>
      </c>
      <c r="M165" s="169">
        <v>2500</v>
      </c>
      <c r="N165" s="169">
        <v>2500</v>
      </c>
      <c r="O165" s="169">
        <v>2500</v>
      </c>
      <c r="P165" s="169">
        <v>2500</v>
      </c>
      <c r="Q165" s="169">
        <v>2500</v>
      </c>
      <c r="R165" s="169">
        <v>2500</v>
      </c>
      <c r="S165" s="169">
        <v>2500</v>
      </c>
      <c r="T165" s="169">
        <v>2500</v>
      </c>
      <c r="U165" s="169">
        <v>2500</v>
      </c>
      <c r="V165" s="169">
        <v>2500</v>
      </c>
      <c r="W165" s="169">
        <v>2500</v>
      </c>
      <c r="X165" s="169">
        <v>2500</v>
      </c>
      <c r="Y165" s="169">
        <v>2500</v>
      </c>
      <c r="Z165" s="169">
        <v>2500</v>
      </c>
      <c r="AA165" s="169">
        <v>2500</v>
      </c>
      <c r="AB165" s="169">
        <v>2500</v>
      </c>
      <c r="AC165" s="169">
        <v>2500</v>
      </c>
      <c r="AD165" s="169">
        <v>2500</v>
      </c>
      <c r="AE165" s="169">
        <v>2500</v>
      </c>
      <c r="AF165" s="169">
        <v>2500</v>
      </c>
      <c r="AG165" s="169">
        <v>2500</v>
      </c>
      <c r="AH165" s="169">
        <v>2500</v>
      </c>
      <c r="AI165" s="169">
        <v>2500</v>
      </c>
      <c r="AJ165" s="169">
        <v>2500</v>
      </c>
      <c r="AK165" s="169">
        <v>2500</v>
      </c>
      <c r="AL165" s="169">
        <v>2500</v>
      </c>
      <c r="AM165" s="169">
        <v>2500</v>
      </c>
      <c r="AN165" s="169">
        <v>2500</v>
      </c>
      <c r="AO165" s="169">
        <v>2500</v>
      </c>
      <c r="AP165" s="169">
        <v>2500</v>
      </c>
      <c r="AQ165" s="169">
        <v>2500</v>
      </c>
      <c r="AR165" s="169">
        <v>2500</v>
      </c>
      <c r="AS165" s="169">
        <v>2500</v>
      </c>
      <c r="AT165" s="169">
        <v>2500</v>
      </c>
      <c r="AU165" s="169">
        <v>2500</v>
      </c>
      <c r="AV165" s="169">
        <v>2500</v>
      </c>
      <c r="AW165" s="169">
        <v>2500</v>
      </c>
      <c r="AX165" s="169">
        <v>2500</v>
      </c>
      <c r="AY165" s="169">
        <v>2500</v>
      </c>
      <c r="AZ165" s="169">
        <v>2500</v>
      </c>
      <c r="BA165" s="169">
        <v>2500</v>
      </c>
      <c r="BB165" s="169">
        <v>2500</v>
      </c>
      <c r="BC165" s="169">
        <v>2500</v>
      </c>
      <c r="BD165" s="169">
        <v>2500</v>
      </c>
      <c r="BE165" s="169">
        <v>2500</v>
      </c>
      <c r="BF165" s="169">
        <v>2500</v>
      </c>
      <c r="BG165" s="169">
        <v>2500</v>
      </c>
      <c r="BH165" s="169">
        <v>2500</v>
      </c>
      <c r="BI165" s="169">
        <v>2500</v>
      </c>
      <c r="BJ165" s="169">
        <v>2500</v>
      </c>
      <c r="BK165" s="169">
        <v>2500</v>
      </c>
      <c r="BL165" s="169">
        <v>2500</v>
      </c>
      <c r="BM165" s="169">
        <v>2500</v>
      </c>
      <c r="BN165" s="169">
        <v>2500</v>
      </c>
      <c r="BO165" s="169">
        <v>2500</v>
      </c>
      <c r="BP165" s="169">
        <v>2500</v>
      </c>
      <c r="BQ165" s="169">
        <v>2500</v>
      </c>
      <c r="BR165" s="169">
        <v>2500</v>
      </c>
      <c r="BS165" s="169">
        <v>2500</v>
      </c>
      <c r="BT165" s="169">
        <v>2500</v>
      </c>
      <c r="BU165" s="169">
        <v>2500</v>
      </c>
      <c r="BV165" s="169">
        <v>2500</v>
      </c>
    </row>
    <row r="166" spans="2:74" s="125" customFormat="1" ht="15.75" hidden="1" customHeight="1" outlineLevel="1" x14ac:dyDescent="0.2">
      <c r="B166" s="160" t="s">
        <v>155</v>
      </c>
      <c r="C166" s="169">
        <v>1500</v>
      </c>
      <c r="D166" s="169">
        <v>1500</v>
      </c>
      <c r="E166" s="169">
        <v>1500</v>
      </c>
      <c r="F166" s="169">
        <v>1500</v>
      </c>
      <c r="G166" s="169">
        <v>1500</v>
      </c>
      <c r="H166" s="169">
        <v>1500</v>
      </c>
      <c r="I166" s="169">
        <v>1500</v>
      </c>
      <c r="J166" s="169">
        <v>1500</v>
      </c>
      <c r="K166" s="169">
        <v>1500</v>
      </c>
      <c r="L166" s="169">
        <v>1500</v>
      </c>
      <c r="M166" s="169">
        <v>1500</v>
      </c>
      <c r="N166" s="169">
        <v>1500</v>
      </c>
      <c r="O166" s="169">
        <v>1500</v>
      </c>
      <c r="P166" s="169">
        <v>1500</v>
      </c>
      <c r="Q166" s="169">
        <v>1500</v>
      </c>
      <c r="R166" s="169">
        <v>1500</v>
      </c>
      <c r="S166" s="169">
        <v>1500</v>
      </c>
      <c r="T166" s="169">
        <v>1500</v>
      </c>
      <c r="U166" s="169">
        <v>1500</v>
      </c>
      <c r="V166" s="169">
        <v>1500</v>
      </c>
      <c r="W166" s="169">
        <v>1500</v>
      </c>
      <c r="X166" s="169">
        <v>1500</v>
      </c>
      <c r="Y166" s="169">
        <v>1500</v>
      </c>
      <c r="Z166" s="169">
        <v>1500</v>
      </c>
      <c r="AA166" s="169">
        <v>1500</v>
      </c>
      <c r="AB166" s="169">
        <v>1500</v>
      </c>
      <c r="AC166" s="169">
        <v>1500</v>
      </c>
      <c r="AD166" s="169">
        <v>1500</v>
      </c>
      <c r="AE166" s="169">
        <v>1500</v>
      </c>
      <c r="AF166" s="169">
        <v>1500</v>
      </c>
      <c r="AG166" s="169">
        <v>1500</v>
      </c>
      <c r="AH166" s="169">
        <v>1500</v>
      </c>
      <c r="AI166" s="169">
        <v>1500</v>
      </c>
      <c r="AJ166" s="169">
        <v>1500</v>
      </c>
      <c r="AK166" s="169">
        <v>1500</v>
      </c>
      <c r="AL166" s="169">
        <v>1500</v>
      </c>
      <c r="AM166" s="169">
        <v>1500</v>
      </c>
      <c r="AN166" s="169">
        <v>1500</v>
      </c>
      <c r="AO166" s="169">
        <v>1500</v>
      </c>
      <c r="AP166" s="169">
        <v>1500</v>
      </c>
      <c r="AQ166" s="169">
        <v>1500</v>
      </c>
      <c r="AR166" s="169">
        <v>1500</v>
      </c>
      <c r="AS166" s="169">
        <v>1500</v>
      </c>
      <c r="AT166" s="169">
        <v>1500</v>
      </c>
      <c r="AU166" s="169">
        <v>1500</v>
      </c>
      <c r="AV166" s="169">
        <v>1500</v>
      </c>
      <c r="AW166" s="169">
        <v>1500</v>
      </c>
      <c r="AX166" s="169">
        <v>1500</v>
      </c>
      <c r="AY166" s="169">
        <v>1500</v>
      </c>
      <c r="AZ166" s="169">
        <v>1500</v>
      </c>
      <c r="BA166" s="169">
        <v>1500</v>
      </c>
      <c r="BB166" s="169">
        <v>1500</v>
      </c>
      <c r="BC166" s="169">
        <v>1500</v>
      </c>
      <c r="BD166" s="169">
        <v>1500</v>
      </c>
      <c r="BE166" s="169">
        <v>1500</v>
      </c>
      <c r="BF166" s="169">
        <v>1500</v>
      </c>
      <c r="BG166" s="169">
        <v>1500</v>
      </c>
      <c r="BH166" s="169">
        <v>1500</v>
      </c>
      <c r="BI166" s="169">
        <v>1500</v>
      </c>
      <c r="BJ166" s="169">
        <v>1500</v>
      </c>
      <c r="BK166" s="169">
        <v>1500</v>
      </c>
      <c r="BL166" s="169">
        <v>1500</v>
      </c>
      <c r="BM166" s="169">
        <v>1500</v>
      </c>
      <c r="BN166" s="169">
        <v>1500</v>
      </c>
      <c r="BO166" s="169">
        <v>1500</v>
      </c>
      <c r="BP166" s="169">
        <v>1500</v>
      </c>
      <c r="BQ166" s="169">
        <v>1500</v>
      </c>
      <c r="BR166" s="169">
        <v>1500</v>
      </c>
      <c r="BS166" s="169">
        <v>1500</v>
      </c>
      <c r="BT166" s="169">
        <v>1500</v>
      </c>
      <c r="BU166" s="169">
        <v>1500</v>
      </c>
      <c r="BV166" s="169">
        <v>1500</v>
      </c>
    </row>
    <row r="167" spans="2:74" s="125" customFormat="1" ht="15.75" hidden="1" customHeight="1" outlineLevel="1" x14ac:dyDescent="0.2">
      <c r="B167" s="160" t="s">
        <v>120</v>
      </c>
      <c r="C167" s="169">
        <v>0</v>
      </c>
      <c r="D167" s="169">
        <v>0</v>
      </c>
      <c r="E167" s="169">
        <v>0</v>
      </c>
      <c r="F167" s="169">
        <v>0</v>
      </c>
      <c r="G167" s="169">
        <v>0</v>
      </c>
      <c r="H167" s="169">
        <v>0</v>
      </c>
      <c r="I167" s="169">
        <v>0</v>
      </c>
      <c r="J167" s="169">
        <v>0</v>
      </c>
      <c r="K167" s="169">
        <v>0</v>
      </c>
      <c r="L167" s="169">
        <v>0</v>
      </c>
      <c r="M167" s="169">
        <v>0</v>
      </c>
      <c r="N167" s="169">
        <v>0</v>
      </c>
      <c r="O167" s="169">
        <v>0</v>
      </c>
      <c r="P167" s="169">
        <v>0</v>
      </c>
      <c r="Q167" s="169">
        <v>0</v>
      </c>
      <c r="R167" s="169">
        <v>0</v>
      </c>
      <c r="S167" s="169">
        <v>0</v>
      </c>
      <c r="T167" s="169">
        <v>0</v>
      </c>
      <c r="U167" s="169">
        <v>0</v>
      </c>
      <c r="V167" s="169">
        <v>0</v>
      </c>
      <c r="W167" s="169">
        <v>0</v>
      </c>
      <c r="X167" s="169">
        <v>0</v>
      </c>
      <c r="Y167" s="169">
        <v>0</v>
      </c>
      <c r="Z167" s="169">
        <v>0</v>
      </c>
      <c r="AA167" s="169">
        <v>0</v>
      </c>
      <c r="AB167" s="169">
        <v>0</v>
      </c>
      <c r="AC167" s="169">
        <v>0</v>
      </c>
      <c r="AD167" s="169">
        <v>0</v>
      </c>
      <c r="AE167" s="169">
        <v>0</v>
      </c>
      <c r="AF167" s="169">
        <v>0</v>
      </c>
      <c r="AG167" s="169">
        <v>0</v>
      </c>
      <c r="AH167" s="169">
        <v>0</v>
      </c>
      <c r="AI167" s="169">
        <v>0</v>
      </c>
      <c r="AJ167" s="169">
        <v>0</v>
      </c>
      <c r="AK167" s="169">
        <v>0</v>
      </c>
      <c r="AL167" s="169">
        <v>0</v>
      </c>
      <c r="AM167" s="169">
        <v>0</v>
      </c>
      <c r="AN167" s="169">
        <v>0</v>
      </c>
      <c r="AO167" s="169">
        <v>0</v>
      </c>
      <c r="AP167" s="169">
        <v>0</v>
      </c>
      <c r="AQ167" s="169">
        <v>0</v>
      </c>
      <c r="AR167" s="169">
        <v>0</v>
      </c>
      <c r="AS167" s="169">
        <v>0</v>
      </c>
      <c r="AT167" s="169">
        <v>0</v>
      </c>
      <c r="AU167" s="169">
        <v>0</v>
      </c>
      <c r="AV167" s="169">
        <v>0</v>
      </c>
      <c r="AW167" s="169">
        <v>0</v>
      </c>
      <c r="AX167" s="169">
        <v>0</v>
      </c>
      <c r="AY167" s="169">
        <v>0</v>
      </c>
      <c r="AZ167" s="169">
        <v>0</v>
      </c>
      <c r="BA167" s="169">
        <v>0</v>
      </c>
      <c r="BB167" s="169">
        <v>0</v>
      </c>
      <c r="BC167" s="169">
        <v>0</v>
      </c>
      <c r="BD167" s="169">
        <v>0</v>
      </c>
      <c r="BE167" s="169">
        <v>0</v>
      </c>
      <c r="BF167" s="169">
        <v>0</v>
      </c>
      <c r="BG167" s="169">
        <v>0</v>
      </c>
      <c r="BH167" s="169">
        <v>0</v>
      </c>
      <c r="BI167" s="169">
        <v>0</v>
      </c>
      <c r="BJ167" s="169">
        <v>0</v>
      </c>
      <c r="BK167" s="169">
        <v>0</v>
      </c>
      <c r="BL167" s="169">
        <v>0</v>
      </c>
      <c r="BM167" s="169">
        <v>0</v>
      </c>
      <c r="BN167" s="169">
        <v>0</v>
      </c>
      <c r="BO167" s="169">
        <v>0</v>
      </c>
      <c r="BP167" s="169">
        <v>0</v>
      </c>
      <c r="BQ167" s="169">
        <v>0</v>
      </c>
      <c r="BR167" s="169">
        <v>0</v>
      </c>
      <c r="BS167" s="169">
        <v>0</v>
      </c>
      <c r="BT167" s="169">
        <v>0</v>
      </c>
      <c r="BU167" s="169">
        <v>0</v>
      </c>
      <c r="BV167" s="169">
        <v>0</v>
      </c>
    </row>
    <row r="168" spans="2:74" s="125" customFormat="1" ht="15.75" hidden="1" customHeight="1" outlineLevel="1" x14ac:dyDescent="0.2">
      <c r="B168" s="160" t="s">
        <v>121</v>
      </c>
      <c r="C168" s="169">
        <v>0</v>
      </c>
      <c r="D168" s="169">
        <v>0</v>
      </c>
      <c r="E168" s="169">
        <v>0</v>
      </c>
      <c r="F168" s="169">
        <v>0</v>
      </c>
      <c r="G168" s="169">
        <v>0</v>
      </c>
      <c r="H168" s="169">
        <v>0</v>
      </c>
      <c r="I168" s="169">
        <v>0</v>
      </c>
      <c r="J168" s="169">
        <v>0</v>
      </c>
      <c r="K168" s="169">
        <v>0</v>
      </c>
      <c r="L168" s="169">
        <v>0</v>
      </c>
      <c r="M168" s="169">
        <v>0</v>
      </c>
      <c r="N168" s="169">
        <v>0</v>
      </c>
      <c r="O168" s="169">
        <v>0</v>
      </c>
      <c r="P168" s="169">
        <v>0</v>
      </c>
      <c r="Q168" s="169">
        <v>0</v>
      </c>
      <c r="R168" s="169">
        <v>0</v>
      </c>
      <c r="S168" s="169">
        <v>0</v>
      </c>
      <c r="T168" s="169">
        <v>0</v>
      </c>
      <c r="U168" s="169">
        <v>0</v>
      </c>
      <c r="V168" s="169">
        <v>0</v>
      </c>
      <c r="W168" s="169">
        <v>0</v>
      </c>
      <c r="X168" s="169">
        <v>0</v>
      </c>
      <c r="Y168" s="169">
        <v>0</v>
      </c>
      <c r="Z168" s="169">
        <v>0</v>
      </c>
      <c r="AA168" s="169">
        <v>0</v>
      </c>
      <c r="AB168" s="169">
        <v>0</v>
      </c>
      <c r="AC168" s="169">
        <v>0</v>
      </c>
      <c r="AD168" s="169">
        <v>0</v>
      </c>
      <c r="AE168" s="169">
        <v>0</v>
      </c>
      <c r="AF168" s="169">
        <v>0</v>
      </c>
      <c r="AG168" s="169">
        <v>0</v>
      </c>
      <c r="AH168" s="169">
        <v>0</v>
      </c>
      <c r="AI168" s="169">
        <v>0</v>
      </c>
      <c r="AJ168" s="169">
        <v>0</v>
      </c>
      <c r="AK168" s="169">
        <v>0</v>
      </c>
      <c r="AL168" s="169">
        <v>0</v>
      </c>
      <c r="AM168" s="169">
        <v>0</v>
      </c>
      <c r="AN168" s="169">
        <v>0</v>
      </c>
      <c r="AO168" s="169">
        <v>0</v>
      </c>
      <c r="AP168" s="169">
        <v>0</v>
      </c>
      <c r="AQ168" s="169">
        <v>0</v>
      </c>
      <c r="AR168" s="169">
        <v>0</v>
      </c>
      <c r="AS168" s="169">
        <v>0</v>
      </c>
      <c r="AT168" s="169">
        <v>0</v>
      </c>
      <c r="AU168" s="169">
        <v>0</v>
      </c>
      <c r="AV168" s="169">
        <v>0</v>
      </c>
      <c r="AW168" s="169">
        <v>0</v>
      </c>
      <c r="AX168" s="169">
        <v>0</v>
      </c>
      <c r="AY168" s="169">
        <v>0</v>
      </c>
      <c r="AZ168" s="169">
        <v>0</v>
      </c>
      <c r="BA168" s="169">
        <v>0</v>
      </c>
      <c r="BB168" s="169">
        <v>0</v>
      </c>
      <c r="BC168" s="169">
        <v>0</v>
      </c>
      <c r="BD168" s="169">
        <v>0</v>
      </c>
      <c r="BE168" s="169">
        <v>0</v>
      </c>
      <c r="BF168" s="169">
        <v>0</v>
      </c>
      <c r="BG168" s="169">
        <v>0</v>
      </c>
      <c r="BH168" s="169">
        <v>0</v>
      </c>
      <c r="BI168" s="169">
        <v>0</v>
      </c>
      <c r="BJ168" s="169">
        <v>0</v>
      </c>
      <c r="BK168" s="169">
        <v>0</v>
      </c>
      <c r="BL168" s="169">
        <v>0</v>
      </c>
      <c r="BM168" s="169">
        <v>0</v>
      </c>
      <c r="BN168" s="169">
        <v>0</v>
      </c>
      <c r="BO168" s="169">
        <v>0</v>
      </c>
      <c r="BP168" s="169">
        <v>0</v>
      </c>
      <c r="BQ168" s="169">
        <v>0</v>
      </c>
      <c r="BR168" s="169">
        <v>0</v>
      </c>
      <c r="BS168" s="169">
        <v>0</v>
      </c>
      <c r="BT168" s="169">
        <v>0</v>
      </c>
      <c r="BU168" s="169">
        <v>0</v>
      </c>
      <c r="BV168" s="169">
        <v>0</v>
      </c>
    </row>
    <row r="169" spans="2:74" s="125" customFormat="1" ht="15.75" hidden="1" customHeight="1" outlineLevel="1" x14ac:dyDescent="0.2">
      <c r="B169" s="160" t="s">
        <v>122</v>
      </c>
      <c r="C169" s="169">
        <v>0</v>
      </c>
      <c r="D169" s="169">
        <v>0</v>
      </c>
      <c r="E169" s="169">
        <v>0</v>
      </c>
      <c r="F169" s="169">
        <v>0</v>
      </c>
      <c r="G169" s="169">
        <v>0</v>
      </c>
      <c r="H169" s="169">
        <v>0</v>
      </c>
      <c r="I169" s="169">
        <v>0</v>
      </c>
      <c r="J169" s="169">
        <v>0</v>
      </c>
      <c r="K169" s="169">
        <v>0</v>
      </c>
      <c r="L169" s="169">
        <v>0</v>
      </c>
      <c r="M169" s="169">
        <v>0</v>
      </c>
      <c r="N169" s="169">
        <v>0</v>
      </c>
      <c r="O169" s="169">
        <v>0</v>
      </c>
      <c r="P169" s="169">
        <v>0</v>
      </c>
      <c r="Q169" s="169">
        <v>0</v>
      </c>
      <c r="R169" s="169">
        <v>0</v>
      </c>
      <c r="S169" s="169">
        <v>0</v>
      </c>
      <c r="T169" s="169">
        <v>0</v>
      </c>
      <c r="U169" s="169">
        <v>0</v>
      </c>
      <c r="V169" s="169">
        <v>0</v>
      </c>
      <c r="W169" s="169">
        <v>0</v>
      </c>
      <c r="X169" s="169">
        <v>0</v>
      </c>
      <c r="Y169" s="169">
        <v>0</v>
      </c>
      <c r="Z169" s="169">
        <v>0</v>
      </c>
      <c r="AA169" s="169">
        <v>0</v>
      </c>
      <c r="AB169" s="169">
        <v>0</v>
      </c>
      <c r="AC169" s="169">
        <v>0</v>
      </c>
      <c r="AD169" s="169">
        <v>0</v>
      </c>
      <c r="AE169" s="169">
        <v>0</v>
      </c>
      <c r="AF169" s="169">
        <v>0</v>
      </c>
      <c r="AG169" s="169">
        <v>0</v>
      </c>
      <c r="AH169" s="169">
        <v>0</v>
      </c>
      <c r="AI169" s="169">
        <v>0</v>
      </c>
      <c r="AJ169" s="169">
        <v>0</v>
      </c>
      <c r="AK169" s="169">
        <v>0</v>
      </c>
      <c r="AL169" s="169">
        <v>0</v>
      </c>
      <c r="AM169" s="169">
        <v>0</v>
      </c>
      <c r="AN169" s="169">
        <v>0</v>
      </c>
      <c r="AO169" s="169">
        <v>0</v>
      </c>
      <c r="AP169" s="169">
        <v>0</v>
      </c>
      <c r="AQ169" s="169">
        <v>0</v>
      </c>
      <c r="AR169" s="169">
        <v>0</v>
      </c>
      <c r="AS169" s="169">
        <v>0</v>
      </c>
      <c r="AT169" s="169">
        <v>0</v>
      </c>
      <c r="AU169" s="169">
        <v>0</v>
      </c>
      <c r="AV169" s="169">
        <v>0</v>
      </c>
      <c r="AW169" s="169">
        <v>0</v>
      </c>
      <c r="AX169" s="169">
        <v>0</v>
      </c>
      <c r="AY169" s="169">
        <v>0</v>
      </c>
      <c r="AZ169" s="169">
        <v>0</v>
      </c>
      <c r="BA169" s="169">
        <v>0</v>
      </c>
      <c r="BB169" s="169">
        <v>0</v>
      </c>
      <c r="BC169" s="169">
        <v>0</v>
      </c>
      <c r="BD169" s="169">
        <v>0</v>
      </c>
      <c r="BE169" s="169">
        <v>0</v>
      </c>
      <c r="BF169" s="169">
        <v>0</v>
      </c>
      <c r="BG169" s="169">
        <v>0</v>
      </c>
      <c r="BH169" s="169">
        <v>0</v>
      </c>
      <c r="BI169" s="169">
        <v>0</v>
      </c>
      <c r="BJ169" s="169">
        <v>0</v>
      </c>
      <c r="BK169" s="169">
        <v>0</v>
      </c>
      <c r="BL169" s="169">
        <v>0</v>
      </c>
      <c r="BM169" s="169">
        <v>0</v>
      </c>
      <c r="BN169" s="169">
        <v>0</v>
      </c>
      <c r="BO169" s="169">
        <v>0</v>
      </c>
      <c r="BP169" s="169">
        <v>0</v>
      </c>
      <c r="BQ169" s="169">
        <v>0</v>
      </c>
      <c r="BR169" s="169">
        <v>0</v>
      </c>
      <c r="BS169" s="169">
        <v>0</v>
      </c>
      <c r="BT169" s="169">
        <v>0</v>
      </c>
      <c r="BU169" s="169">
        <v>0</v>
      </c>
      <c r="BV169" s="169">
        <v>0</v>
      </c>
    </row>
    <row r="170" spans="2:74" s="125" customFormat="1" ht="15.75" hidden="1" customHeight="1" outlineLevel="1" x14ac:dyDescent="0.2">
      <c r="B170" s="160" t="s">
        <v>123</v>
      </c>
      <c r="C170" s="169">
        <v>0</v>
      </c>
      <c r="D170" s="169">
        <v>0</v>
      </c>
      <c r="E170" s="169">
        <v>0</v>
      </c>
      <c r="F170" s="169">
        <v>0</v>
      </c>
      <c r="G170" s="169">
        <v>0</v>
      </c>
      <c r="H170" s="169">
        <v>0</v>
      </c>
      <c r="I170" s="169">
        <v>0</v>
      </c>
      <c r="J170" s="169">
        <v>0</v>
      </c>
      <c r="K170" s="169">
        <v>0</v>
      </c>
      <c r="L170" s="169">
        <v>0</v>
      </c>
      <c r="M170" s="169">
        <v>0</v>
      </c>
      <c r="N170" s="169">
        <v>0</v>
      </c>
      <c r="O170" s="169">
        <v>0</v>
      </c>
      <c r="P170" s="169">
        <v>0</v>
      </c>
      <c r="Q170" s="169">
        <v>0</v>
      </c>
      <c r="R170" s="169">
        <v>0</v>
      </c>
      <c r="S170" s="169">
        <v>0</v>
      </c>
      <c r="T170" s="169">
        <v>0</v>
      </c>
      <c r="U170" s="169">
        <v>0</v>
      </c>
      <c r="V170" s="169">
        <v>0</v>
      </c>
      <c r="W170" s="169">
        <v>0</v>
      </c>
      <c r="X170" s="169">
        <v>0</v>
      </c>
      <c r="Y170" s="169">
        <v>0</v>
      </c>
      <c r="Z170" s="169">
        <v>0</v>
      </c>
      <c r="AA170" s="169">
        <v>0</v>
      </c>
      <c r="AB170" s="169">
        <v>0</v>
      </c>
      <c r="AC170" s="169">
        <v>0</v>
      </c>
      <c r="AD170" s="169">
        <v>0</v>
      </c>
      <c r="AE170" s="169">
        <v>0</v>
      </c>
      <c r="AF170" s="169">
        <v>0</v>
      </c>
      <c r="AG170" s="169">
        <v>0</v>
      </c>
      <c r="AH170" s="169">
        <v>0</v>
      </c>
      <c r="AI170" s="169">
        <v>0</v>
      </c>
      <c r="AJ170" s="169">
        <v>0</v>
      </c>
      <c r="AK170" s="169">
        <v>0</v>
      </c>
      <c r="AL170" s="169">
        <v>0</v>
      </c>
      <c r="AM170" s="169">
        <v>0</v>
      </c>
      <c r="AN170" s="169">
        <v>0</v>
      </c>
      <c r="AO170" s="169">
        <v>0</v>
      </c>
      <c r="AP170" s="169">
        <v>0</v>
      </c>
      <c r="AQ170" s="169">
        <v>0</v>
      </c>
      <c r="AR170" s="169">
        <v>0</v>
      </c>
      <c r="AS170" s="169">
        <v>0</v>
      </c>
      <c r="AT170" s="169">
        <v>0</v>
      </c>
      <c r="AU170" s="169">
        <v>0</v>
      </c>
      <c r="AV170" s="169">
        <v>0</v>
      </c>
      <c r="AW170" s="169">
        <v>0</v>
      </c>
      <c r="AX170" s="169">
        <v>0</v>
      </c>
      <c r="AY170" s="169">
        <v>0</v>
      </c>
      <c r="AZ170" s="169">
        <v>0</v>
      </c>
      <c r="BA170" s="169">
        <v>0</v>
      </c>
      <c r="BB170" s="169">
        <v>0</v>
      </c>
      <c r="BC170" s="169">
        <v>0</v>
      </c>
      <c r="BD170" s="169">
        <v>0</v>
      </c>
      <c r="BE170" s="169">
        <v>0</v>
      </c>
      <c r="BF170" s="169">
        <v>0</v>
      </c>
      <c r="BG170" s="169">
        <v>0</v>
      </c>
      <c r="BH170" s="169">
        <v>0</v>
      </c>
      <c r="BI170" s="169">
        <v>0</v>
      </c>
      <c r="BJ170" s="169">
        <v>0</v>
      </c>
      <c r="BK170" s="169">
        <v>0</v>
      </c>
      <c r="BL170" s="169">
        <v>0</v>
      </c>
      <c r="BM170" s="169">
        <v>0</v>
      </c>
      <c r="BN170" s="169">
        <v>0</v>
      </c>
      <c r="BO170" s="169">
        <v>0</v>
      </c>
      <c r="BP170" s="169">
        <v>0</v>
      </c>
      <c r="BQ170" s="169">
        <v>0</v>
      </c>
      <c r="BR170" s="169">
        <v>0</v>
      </c>
      <c r="BS170" s="169">
        <v>0</v>
      </c>
      <c r="BT170" s="169">
        <v>0</v>
      </c>
      <c r="BU170" s="169">
        <v>0</v>
      </c>
      <c r="BV170" s="169">
        <v>0</v>
      </c>
    </row>
    <row r="171" spans="2:74" s="125" customFormat="1" ht="15.75" hidden="1" customHeight="1" outlineLevel="1" x14ac:dyDescent="0.2">
      <c r="B171" s="160" t="s">
        <v>124</v>
      </c>
      <c r="C171" s="169">
        <v>0</v>
      </c>
      <c r="D171" s="169">
        <v>0</v>
      </c>
      <c r="E171" s="169">
        <v>0</v>
      </c>
      <c r="F171" s="169">
        <v>0</v>
      </c>
      <c r="G171" s="169">
        <v>0</v>
      </c>
      <c r="H171" s="169">
        <v>0</v>
      </c>
      <c r="I171" s="169">
        <v>0</v>
      </c>
      <c r="J171" s="169">
        <v>0</v>
      </c>
      <c r="K171" s="169">
        <v>0</v>
      </c>
      <c r="L171" s="169">
        <v>0</v>
      </c>
      <c r="M171" s="169">
        <v>0</v>
      </c>
      <c r="N171" s="169">
        <v>0</v>
      </c>
      <c r="O171" s="169">
        <v>0</v>
      </c>
      <c r="P171" s="169">
        <v>0</v>
      </c>
      <c r="Q171" s="169">
        <v>0</v>
      </c>
      <c r="R171" s="169">
        <v>0</v>
      </c>
      <c r="S171" s="169">
        <v>0</v>
      </c>
      <c r="T171" s="169">
        <v>0</v>
      </c>
      <c r="U171" s="169">
        <v>0</v>
      </c>
      <c r="V171" s="169">
        <v>0</v>
      </c>
      <c r="W171" s="169">
        <v>0</v>
      </c>
      <c r="X171" s="169">
        <v>0</v>
      </c>
      <c r="Y171" s="169">
        <v>0</v>
      </c>
      <c r="Z171" s="169">
        <v>0</v>
      </c>
      <c r="AA171" s="169">
        <v>0</v>
      </c>
      <c r="AB171" s="169">
        <v>0</v>
      </c>
      <c r="AC171" s="169">
        <v>0</v>
      </c>
      <c r="AD171" s="169">
        <v>0</v>
      </c>
      <c r="AE171" s="169">
        <v>0</v>
      </c>
      <c r="AF171" s="169">
        <v>0</v>
      </c>
      <c r="AG171" s="169">
        <v>0</v>
      </c>
      <c r="AH171" s="169">
        <v>0</v>
      </c>
      <c r="AI171" s="169">
        <v>0</v>
      </c>
      <c r="AJ171" s="169">
        <v>0</v>
      </c>
      <c r="AK171" s="169">
        <v>0</v>
      </c>
      <c r="AL171" s="169">
        <v>0</v>
      </c>
      <c r="AM171" s="169">
        <v>0</v>
      </c>
      <c r="AN171" s="169">
        <v>0</v>
      </c>
      <c r="AO171" s="169">
        <v>0</v>
      </c>
      <c r="AP171" s="169">
        <v>0</v>
      </c>
      <c r="AQ171" s="169">
        <v>0</v>
      </c>
      <c r="AR171" s="169">
        <v>0</v>
      </c>
      <c r="AS171" s="169">
        <v>0</v>
      </c>
      <c r="AT171" s="169">
        <v>0</v>
      </c>
      <c r="AU171" s="169">
        <v>0</v>
      </c>
      <c r="AV171" s="169">
        <v>0</v>
      </c>
      <c r="AW171" s="169">
        <v>0</v>
      </c>
      <c r="AX171" s="169">
        <v>0</v>
      </c>
      <c r="AY171" s="169">
        <v>0</v>
      </c>
      <c r="AZ171" s="169">
        <v>0</v>
      </c>
      <c r="BA171" s="169">
        <v>0</v>
      </c>
      <c r="BB171" s="169">
        <v>0</v>
      </c>
      <c r="BC171" s="169">
        <v>0</v>
      </c>
      <c r="BD171" s="169">
        <v>0</v>
      </c>
      <c r="BE171" s="169">
        <v>0</v>
      </c>
      <c r="BF171" s="169">
        <v>0</v>
      </c>
      <c r="BG171" s="169">
        <v>0</v>
      </c>
      <c r="BH171" s="169">
        <v>0</v>
      </c>
      <c r="BI171" s="169">
        <v>0</v>
      </c>
      <c r="BJ171" s="169">
        <v>0</v>
      </c>
      <c r="BK171" s="169">
        <v>0</v>
      </c>
      <c r="BL171" s="169">
        <v>0</v>
      </c>
      <c r="BM171" s="169">
        <v>0</v>
      </c>
      <c r="BN171" s="169">
        <v>0</v>
      </c>
      <c r="BO171" s="169">
        <v>0</v>
      </c>
      <c r="BP171" s="169">
        <v>0</v>
      </c>
      <c r="BQ171" s="169">
        <v>0</v>
      </c>
      <c r="BR171" s="169">
        <v>0</v>
      </c>
      <c r="BS171" s="169">
        <v>0</v>
      </c>
      <c r="BT171" s="169">
        <v>0</v>
      </c>
      <c r="BU171" s="169">
        <v>0</v>
      </c>
      <c r="BV171" s="169">
        <v>0</v>
      </c>
    </row>
    <row r="172" spans="2:74" s="125" customFormat="1" ht="15.75" hidden="1" customHeight="1" outlineLevel="1" x14ac:dyDescent="0.2">
      <c r="B172" s="160" t="s">
        <v>125</v>
      </c>
      <c r="C172" s="169">
        <v>0</v>
      </c>
      <c r="D172" s="169">
        <v>0</v>
      </c>
      <c r="E172" s="169">
        <v>0</v>
      </c>
      <c r="F172" s="169">
        <v>0</v>
      </c>
      <c r="G172" s="169">
        <v>0</v>
      </c>
      <c r="H172" s="169">
        <v>0</v>
      </c>
      <c r="I172" s="169">
        <v>0</v>
      </c>
      <c r="J172" s="169">
        <v>0</v>
      </c>
      <c r="K172" s="169">
        <v>0</v>
      </c>
      <c r="L172" s="169">
        <v>0</v>
      </c>
      <c r="M172" s="169">
        <v>0</v>
      </c>
      <c r="N172" s="169">
        <v>0</v>
      </c>
      <c r="O172" s="169">
        <v>0</v>
      </c>
      <c r="P172" s="169">
        <v>0</v>
      </c>
      <c r="Q172" s="169">
        <v>0</v>
      </c>
      <c r="R172" s="169">
        <v>0</v>
      </c>
      <c r="S172" s="169">
        <v>0</v>
      </c>
      <c r="T172" s="169">
        <v>0</v>
      </c>
      <c r="U172" s="169">
        <v>0</v>
      </c>
      <c r="V172" s="169">
        <v>0</v>
      </c>
      <c r="W172" s="169">
        <v>0</v>
      </c>
      <c r="X172" s="169">
        <v>0</v>
      </c>
      <c r="Y172" s="169">
        <v>0</v>
      </c>
      <c r="Z172" s="169">
        <v>0</v>
      </c>
      <c r="AA172" s="169">
        <v>0</v>
      </c>
      <c r="AB172" s="169">
        <v>0</v>
      </c>
      <c r="AC172" s="169">
        <v>0</v>
      </c>
      <c r="AD172" s="169">
        <v>0</v>
      </c>
      <c r="AE172" s="169">
        <v>0</v>
      </c>
      <c r="AF172" s="169">
        <v>0</v>
      </c>
      <c r="AG172" s="169">
        <v>0</v>
      </c>
      <c r="AH172" s="169">
        <v>0</v>
      </c>
      <c r="AI172" s="169">
        <v>0</v>
      </c>
      <c r="AJ172" s="169">
        <v>0</v>
      </c>
      <c r="AK172" s="169">
        <v>0</v>
      </c>
      <c r="AL172" s="169">
        <v>0</v>
      </c>
      <c r="AM172" s="169">
        <v>0</v>
      </c>
      <c r="AN172" s="169">
        <v>0</v>
      </c>
      <c r="AO172" s="169">
        <v>0</v>
      </c>
      <c r="AP172" s="169">
        <v>0</v>
      </c>
      <c r="AQ172" s="169">
        <v>0</v>
      </c>
      <c r="AR172" s="169">
        <v>0</v>
      </c>
      <c r="AS172" s="169">
        <v>0</v>
      </c>
      <c r="AT172" s="169">
        <v>0</v>
      </c>
      <c r="AU172" s="169">
        <v>0</v>
      </c>
      <c r="AV172" s="169">
        <v>0</v>
      </c>
      <c r="AW172" s="169">
        <v>0</v>
      </c>
      <c r="AX172" s="169">
        <v>0</v>
      </c>
      <c r="AY172" s="169">
        <v>0</v>
      </c>
      <c r="AZ172" s="169">
        <v>0</v>
      </c>
      <c r="BA172" s="169">
        <v>0</v>
      </c>
      <c r="BB172" s="169">
        <v>0</v>
      </c>
      <c r="BC172" s="169">
        <v>0</v>
      </c>
      <c r="BD172" s="169">
        <v>0</v>
      </c>
      <c r="BE172" s="169">
        <v>0</v>
      </c>
      <c r="BF172" s="169">
        <v>0</v>
      </c>
      <c r="BG172" s="169">
        <v>0</v>
      </c>
      <c r="BH172" s="169">
        <v>0</v>
      </c>
      <c r="BI172" s="169">
        <v>0</v>
      </c>
      <c r="BJ172" s="169">
        <v>0</v>
      </c>
      <c r="BK172" s="169">
        <v>0</v>
      </c>
      <c r="BL172" s="169">
        <v>0</v>
      </c>
      <c r="BM172" s="169">
        <v>0</v>
      </c>
      <c r="BN172" s="169">
        <v>0</v>
      </c>
      <c r="BO172" s="169">
        <v>0</v>
      </c>
      <c r="BP172" s="169">
        <v>0</v>
      </c>
      <c r="BQ172" s="169">
        <v>0</v>
      </c>
      <c r="BR172" s="169">
        <v>0</v>
      </c>
      <c r="BS172" s="169">
        <v>0</v>
      </c>
      <c r="BT172" s="169">
        <v>0</v>
      </c>
      <c r="BU172" s="169">
        <v>0</v>
      </c>
      <c r="BV172" s="169">
        <v>0</v>
      </c>
    </row>
    <row r="173" spans="2:74" s="125" customFormat="1" ht="15.75" hidden="1" customHeight="1" outlineLevel="1" x14ac:dyDescent="0.2">
      <c r="B173" s="160" t="s">
        <v>126</v>
      </c>
      <c r="C173" s="169">
        <v>0</v>
      </c>
      <c r="D173" s="169">
        <v>0</v>
      </c>
      <c r="E173" s="169">
        <v>0</v>
      </c>
      <c r="F173" s="169">
        <v>0</v>
      </c>
      <c r="G173" s="169">
        <v>0</v>
      </c>
      <c r="H173" s="169">
        <v>0</v>
      </c>
      <c r="I173" s="169">
        <v>0</v>
      </c>
      <c r="J173" s="169">
        <v>0</v>
      </c>
      <c r="K173" s="169">
        <v>0</v>
      </c>
      <c r="L173" s="169">
        <v>0</v>
      </c>
      <c r="M173" s="169">
        <v>0</v>
      </c>
      <c r="N173" s="169">
        <v>0</v>
      </c>
      <c r="O173" s="169">
        <v>0</v>
      </c>
      <c r="P173" s="169">
        <v>0</v>
      </c>
      <c r="Q173" s="169">
        <v>0</v>
      </c>
      <c r="R173" s="169">
        <v>0</v>
      </c>
      <c r="S173" s="169">
        <v>0</v>
      </c>
      <c r="T173" s="169">
        <v>0</v>
      </c>
      <c r="U173" s="169">
        <v>0</v>
      </c>
      <c r="V173" s="169">
        <v>0</v>
      </c>
      <c r="W173" s="169">
        <v>0</v>
      </c>
      <c r="X173" s="169">
        <v>0</v>
      </c>
      <c r="Y173" s="169">
        <v>0</v>
      </c>
      <c r="Z173" s="169">
        <v>0</v>
      </c>
      <c r="AA173" s="169">
        <v>0</v>
      </c>
      <c r="AB173" s="169">
        <v>0</v>
      </c>
      <c r="AC173" s="169">
        <v>0</v>
      </c>
      <c r="AD173" s="169">
        <v>0</v>
      </c>
      <c r="AE173" s="169">
        <v>0</v>
      </c>
      <c r="AF173" s="169">
        <v>0</v>
      </c>
      <c r="AG173" s="169">
        <v>0</v>
      </c>
      <c r="AH173" s="169">
        <v>0</v>
      </c>
      <c r="AI173" s="169">
        <v>0</v>
      </c>
      <c r="AJ173" s="169">
        <v>0</v>
      </c>
      <c r="AK173" s="169">
        <v>0</v>
      </c>
      <c r="AL173" s="169">
        <v>0</v>
      </c>
      <c r="AM173" s="169">
        <v>0</v>
      </c>
      <c r="AN173" s="169">
        <v>0</v>
      </c>
      <c r="AO173" s="169">
        <v>0</v>
      </c>
      <c r="AP173" s="169">
        <v>0</v>
      </c>
      <c r="AQ173" s="169">
        <v>0</v>
      </c>
      <c r="AR173" s="169">
        <v>0</v>
      </c>
      <c r="AS173" s="169">
        <v>0</v>
      </c>
      <c r="AT173" s="169">
        <v>0</v>
      </c>
      <c r="AU173" s="169">
        <v>0</v>
      </c>
      <c r="AV173" s="169">
        <v>0</v>
      </c>
      <c r="AW173" s="169">
        <v>0</v>
      </c>
      <c r="AX173" s="169">
        <v>0</v>
      </c>
      <c r="AY173" s="169">
        <v>0</v>
      </c>
      <c r="AZ173" s="169">
        <v>0</v>
      </c>
      <c r="BA173" s="169">
        <v>0</v>
      </c>
      <c r="BB173" s="169">
        <v>0</v>
      </c>
      <c r="BC173" s="169">
        <v>0</v>
      </c>
      <c r="BD173" s="169">
        <v>0</v>
      </c>
      <c r="BE173" s="169">
        <v>0</v>
      </c>
      <c r="BF173" s="169">
        <v>0</v>
      </c>
      <c r="BG173" s="169">
        <v>0</v>
      </c>
      <c r="BH173" s="169">
        <v>0</v>
      </c>
      <c r="BI173" s="169">
        <v>0</v>
      </c>
      <c r="BJ173" s="169">
        <v>0</v>
      </c>
      <c r="BK173" s="169">
        <v>0</v>
      </c>
      <c r="BL173" s="169">
        <v>0</v>
      </c>
      <c r="BM173" s="169">
        <v>0</v>
      </c>
      <c r="BN173" s="169">
        <v>0</v>
      </c>
      <c r="BO173" s="169">
        <v>0</v>
      </c>
      <c r="BP173" s="169">
        <v>0</v>
      </c>
      <c r="BQ173" s="169">
        <v>0</v>
      </c>
      <c r="BR173" s="169">
        <v>0</v>
      </c>
      <c r="BS173" s="169">
        <v>0</v>
      </c>
      <c r="BT173" s="169">
        <v>0</v>
      </c>
      <c r="BU173" s="169">
        <v>0</v>
      </c>
      <c r="BV173" s="169">
        <v>0</v>
      </c>
    </row>
    <row r="174" spans="2:74" s="125" customFormat="1" ht="15.75" customHeight="1" collapsed="1" x14ac:dyDescent="0.2">
      <c r="B174" s="128" t="s">
        <v>75</v>
      </c>
      <c r="C174" s="106">
        <f t="shared" ref="C174:AH174" si="193">+SUM(C175:C184)</f>
        <v>25950</v>
      </c>
      <c r="D174" s="106">
        <f t="shared" si="193"/>
        <v>25950</v>
      </c>
      <c r="E174" s="106">
        <f t="shared" si="193"/>
        <v>25950</v>
      </c>
      <c r="F174" s="106">
        <f t="shared" si="193"/>
        <v>25950</v>
      </c>
      <c r="G174" s="106">
        <f t="shared" si="193"/>
        <v>25950</v>
      </c>
      <c r="H174" s="106">
        <f t="shared" si="193"/>
        <v>25950</v>
      </c>
      <c r="I174" s="106">
        <f t="shared" si="193"/>
        <v>25950</v>
      </c>
      <c r="J174" s="106">
        <f t="shared" si="193"/>
        <v>25950</v>
      </c>
      <c r="K174" s="106">
        <f t="shared" si="193"/>
        <v>25950</v>
      </c>
      <c r="L174" s="106">
        <f t="shared" si="193"/>
        <v>25950</v>
      </c>
      <c r="M174" s="106">
        <f t="shared" si="193"/>
        <v>25950</v>
      </c>
      <c r="N174" s="106">
        <f t="shared" si="193"/>
        <v>25950</v>
      </c>
      <c r="O174" s="106">
        <f t="shared" si="193"/>
        <v>25950</v>
      </c>
      <c r="P174" s="106">
        <f t="shared" si="193"/>
        <v>25950</v>
      </c>
      <c r="Q174" s="106">
        <f t="shared" si="193"/>
        <v>25950</v>
      </c>
      <c r="R174" s="106">
        <f t="shared" si="193"/>
        <v>25950</v>
      </c>
      <c r="S174" s="106">
        <f t="shared" si="193"/>
        <v>25950</v>
      </c>
      <c r="T174" s="106">
        <f t="shared" si="193"/>
        <v>25950</v>
      </c>
      <c r="U174" s="106">
        <f t="shared" si="193"/>
        <v>25950</v>
      </c>
      <c r="V174" s="106">
        <f t="shared" si="193"/>
        <v>25950</v>
      </c>
      <c r="W174" s="106">
        <f t="shared" si="193"/>
        <v>25950</v>
      </c>
      <c r="X174" s="106">
        <f t="shared" si="193"/>
        <v>25950</v>
      </c>
      <c r="Y174" s="106">
        <f t="shared" si="193"/>
        <v>25950</v>
      </c>
      <c r="Z174" s="106">
        <f t="shared" si="193"/>
        <v>25950</v>
      </c>
      <c r="AA174" s="106">
        <f t="shared" si="193"/>
        <v>25950</v>
      </c>
      <c r="AB174" s="106">
        <f t="shared" si="193"/>
        <v>25950</v>
      </c>
      <c r="AC174" s="106">
        <f t="shared" si="193"/>
        <v>25950</v>
      </c>
      <c r="AD174" s="106">
        <f t="shared" si="193"/>
        <v>25950</v>
      </c>
      <c r="AE174" s="106">
        <f t="shared" si="193"/>
        <v>25950</v>
      </c>
      <c r="AF174" s="106">
        <f t="shared" si="193"/>
        <v>25950</v>
      </c>
      <c r="AG174" s="106">
        <f t="shared" si="193"/>
        <v>25950</v>
      </c>
      <c r="AH174" s="106">
        <f t="shared" si="193"/>
        <v>25950</v>
      </c>
      <c r="AI174" s="106">
        <f t="shared" ref="AI174:BN174" si="194">+SUM(AI175:AI184)</f>
        <v>25950</v>
      </c>
      <c r="AJ174" s="106">
        <f t="shared" si="194"/>
        <v>25950</v>
      </c>
      <c r="AK174" s="106">
        <f t="shared" si="194"/>
        <v>25950</v>
      </c>
      <c r="AL174" s="106">
        <f t="shared" si="194"/>
        <v>25950</v>
      </c>
      <c r="AM174" s="106">
        <f t="shared" si="194"/>
        <v>25950</v>
      </c>
      <c r="AN174" s="106">
        <f t="shared" si="194"/>
        <v>25950</v>
      </c>
      <c r="AO174" s="106">
        <f t="shared" si="194"/>
        <v>25950</v>
      </c>
      <c r="AP174" s="106">
        <f t="shared" si="194"/>
        <v>25950</v>
      </c>
      <c r="AQ174" s="106">
        <f t="shared" si="194"/>
        <v>25950</v>
      </c>
      <c r="AR174" s="106">
        <f t="shared" si="194"/>
        <v>25950</v>
      </c>
      <c r="AS174" s="106">
        <f t="shared" si="194"/>
        <v>25950</v>
      </c>
      <c r="AT174" s="106">
        <f t="shared" si="194"/>
        <v>25950</v>
      </c>
      <c r="AU174" s="106">
        <f t="shared" si="194"/>
        <v>25950</v>
      </c>
      <c r="AV174" s="106">
        <f t="shared" si="194"/>
        <v>25950</v>
      </c>
      <c r="AW174" s="106">
        <f t="shared" si="194"/>
        <v>25950</v>
      </c>
      <c r="AX174" s="106">
        <f t="shared" si="194"/>
        <v>25950</v>
      </c>
      <c r="AY174" s="106">
        <f t="shared" si="194"/>
        <v>25950</v>
      </c>
      <c r="AZ174" s="106">
        <f t="shared" si="194"/>
        <v>25950</v>
      </c>
      <c r="BA174" s="106">
        <f t="shared" si="194"/>
        <v>25950</v>
      </c>
      <c r="BB174" s="106">
        <f t="shared" si="194"/>
        <v>25950</v>
      </c>
      <c r="BC174" s="106">
        <f t="shared" si="194"/>
        <v>25950</v>
      </c>
      <c r="BD174" s="106">
        <f t="shared" si="194"/>
        <v>25950</v>
      </c>
      <c r="BE174" s="106">
        <f t="shared" si="194"/>
        <v>25950</v>
      </c>
      <c r="BF174" s="106">
        <f t="shared" si="194"/>
        <v>25950</v>
      </c>
      <c r="BG174" s="106">
        <f t="shared" si="194"/>
        <v>25950</v>
      </c>
      <c r="BH174" s="106">
        <f t="shared" si="194"/>
        <v>25950</v>
      </c>
      <c r="BI174" s="106">
        <f t="shared" si="194"/>
        <v>25950</v>
      </c>
      <c r="BJ174" s="106">
        <f t="shared" si="194"/>
        <v>25950</v>
      </c>
      <c r="BK174" s="106">
        <f t="shared" si="194"/>
        <v>25950</v>
      </c>
      <c r="BL174" s="106">
        <f t="shared" si="194"/>
        <v>25950</v>
      </c>
      <c r="BM174" s="106">
        <f t="shared" si="194"/>
        <v>25950</v>
      </c>
      <c r="BN174" s="106">
        <f t="shared" si="194"/>
        <v>25950</v>
      </c>
      <c r="BO174" s="106">
        <f t="shared" ref="BO174:BV174" si="195">+SUM(BO175:BO184)</f>
        <v>25950</v>
      </c>
      <c r="BP174" s="106">
        <f t="shared" si="195"/>
        <v>25950</v>
      </c>
      <c r="BQ174" s="106">
        <f t="shared" si="195"/>
        <v>25950</v>
      </c>
      <c r="BR174" s="106">
        <f t="shared" si="195"/>
        <v>25950</v>
      </c>
      <c r="BS174" s="106">
        <f t="shared" si="195"/>
        <v>25950</v>
      </c>
      <c r="BT174" s="106">
        <f t="shared" si="195"/>
        <v>25950</v>
      </c>
      <c r="BU174" s="106">
        <f t="shared" si="195"/>
        <v>25950</v>
      </c>
      <c r="BV174" s="106">
        <f t="shared" si="195"/>
        <v>25950</v>
      </c>
    </row>
    <row r="175" spans="2:74" s="125" customFormat="1" ht="15.75" hidden="1" customHeight="1" outlineLevel="1" x14ac:dyDescent="0.2">
      <c r="B175" s="160" t="s">
        <v>152</v>
      </c>
      <c r="C175" s="169">
        <v>600</v>
      </c>
      <c r="D175" s="169">
        <v>600</v>
      </c>
      <c r="E175" s="169">
        <v>600</v>
      </c>
      <c r="F175" s="169">
        <v>600</v>
      </c>
      <c r="G175" s="169">
        <v>600</v>
      </c>
      <c r="H175" s="169">
        <v>600</v>
      </c>
      <c r="I175" s="169">
        <v>600</v>
      </c>
      <c r="J175" s="169">
        <v>600</v>
      </c>
      <c r="K175" s="169">
        <v>600</v>
      </c>
      <c r="L175" s="169">
        <v>600</v>
      </c>
      <c r="M175" s="169">
        <v>600</v>
      </c>
      <c r="N175" s="169">
        <v>600</v>
      </c>
      <c r="O175" s="169">
        <v>600</v>
      </c>
      <c r="P175" s="169">
        <v>600</v>
      </c>
      <c r="Q175" s="169">
        <v>600</v>
      </c>
      <c r="R175" s="169">
        <v>600</v>
      </c>
      <c r="S175" s="169">
        <v>600</v>
      </c>
      <c r="T175" s="169">
        <v>600</v>
      </c>
      <c r="U175" s="169">
        <v>600</v>
      </c>
      <c r="V175" s="169">
        <v>600</v>
      </c>
      <c r="W175" s="169">
        <v>600</v>
      </c>
      <c r="X175" s="169">
        <v>600</v>
      </c>
      <c r="Y175" s="169">
        <v>600</v>
      </c>
      <c r="Z175" s="169">
        <v>600</v>
      </c>
      <c r="AA175" s="169">
        <v>600</v>
      </c>
      <c r="AB175" s="169">
        <v>600</v>
      </c>
      <c r="AC175" s="169">
        <v>600</v>
      </c>
      <c r="AD175" s="169">
        <v>600</v>
      </c>
      <c r="AE175" s="169">
        <v>600</v>
      </c>
      <c r="AF175" s="169">
        <v>600</v>
      </c>
      <c r="AG175" s="169">
        <v>600</v>
      </c>
      <c r="AH175" s="169">
        <v>600</v>
      </c>
      <c r="AI175" s="169">
        <v>600</v>
      </c>
      <c r="AJ175" s="169">
        <v>600</v>
      </c>
      <c r="AK175" s="169">
        <v>600</v>
      </c>
      <c r="AL175" s="169">
        <v>600</v>
      </c>
      <c r="AM175" s="169">
        <v>600</v>
      </c>
      <c r="AN175" s="169">
        <v>600</v>
      </c>
      <c r="AO175" s="169">
        <v>600</v>
      </c>
      <c r="AP175" s="169">
        <v>600</v>
      </c>
      <c r="AQ175" s="169">
        <v>600</v>
      </c>
      <c r="AR175" s="169">
        <v>600</v>
      </c>
      <c r="AS175" s="169">
        <v>600</v>
      </c>
      <c r="AT175" s="169">
        <v>600</v>
      </c>
      <c r="AU175" s="169">
        <v>600</v>
      </c>
      <c r="AV175" s="169">
        <v>600</v>
      </c>
      <c r="AW175" s="169">
        <v>600</v>
      </c>
      <c r="AX175" s="169">
        <v>600</v>
      </c>
      <c r="AY175" s="169">
        <v>600</v>
      </c>
      <c r="AZ175" s="169">
        <v>600</v>
      </c>
      <c r="BA175" s="169">
        <v>600</v>
      </c>
      <c r="BB175" s="169">
        <v>600</v>
      </c>
      <c r="BC175" s="169">
        <v>600</v>
      </c>
      <c r="BD175" s="169">
        <v>600</v>
      </c>
      <c r="BE175" s="169">
        <v>600</v>
      </c>
      <c r="BF175" s="169">
        <v>600</v>
      </c>
      <c r="BG175" s="169">
        <v>600</v>
      </c>
      <c r="BH175" s="169">
        <v>600</v>
      </c>
      <c r="BI175" s="169">
        <v>600</v>
      </c>
      <c r="BJ175" s="169">
        <v>600</v>
      </c>
      <c r="BK175" s="169">
        <v>600</v>
      </c>
      <c r="BL175" s="169">
        <v>600</v>
      </c>
      <c r="BM175" s="169">
        <v>600</v>
      </c>
      <c r="BN175" s="169">
        <v>600</v>
      </c>
      <c r="BO175" s="169">
        <v>600</v>
      </c>
      <c r="BP175" s="169">
        <v>600</v>
      </c>
      <c r="BQ175" s="169">
        <v>600</v>
      </c>
      <c r="BR175" s="169">
        <v>600</v>
      </c>
      <c r="BS175" s="169">
        <v>600</v>
      </c>
      <c r="BT175" s="169">
        <v>600</v>
      </c>
      <c r="BU175" s="169">
        <v>600</v>
      </c>
      <c r="BV175" s="169">
        <v>600</v>
      </c>
    </row>
    <row r="176" spans="2:74" s="125" customFormat="1" ht="15.75" hidden="1" customHeight="1" outlineLevel="1" x14ac:dyDescent="0.2">
      <c r="B176" s="160" t="s">
        <v>52</v>
      </c>
      <c r="C176" s="169">
        <v>300</v>
      </c>
      <c r="D176" s="169">
        <v>300</v>
      </c>
      <c r="E176" s="169">
        <v>300</v>
      </c>
      <c r="F176" s="169">
        <v>300</v>
      </c>
      <c r="G176" s="169">
        <v>300</v>
      </c>
      <c r="H176" s="169">
        <v>300</v>
      </c>
      <c r="I176" s="169">
        <v>300</v>
      </c>
      <c r="J176" s="169">
        <v>300</v>
      </c>
      <c r="K176" s="169">
        <v>300</v>
      </c>
      <c r="L176" s="169">
        <v>300</v>
      </c>
      <c r="M176" s="169">
        <v>300</v>
      </c>
      <c r="N176" s="169">
        <v>300</v>
      </c>
      <c r="O176" s="169">
        <v>300</v>
      </c>
      <c r="P176" s="169">
        <v>300</v>
      </c>
      <c r="Q176" s="169">
        <v>300</v>
      </c>
      <c r="R176" s="169">
        <v>300</v>
      </c>
      <c r="S176" s="169">
        <v>300</v>
      </c>
      <c r="T176" s="169">
        <v>300</v>
      </c>
      <c r="U176" s="169">
        <v>300</v>
      </c>
      <c r="V176" s="169">
        <v>300</v>
      </c>
      <c r="W176" s="169">
        <v>300</v>
      </c>
      <c r="X176" s="169">
        <v>300</v>
      </c>
      <c r="Y176" s="169">
        <v>300</v>
      </c>
      <c r="Z176" s="169">
        <v>300</v>
      </c>
      <c r="AA176" s="169">
        <v>300</v>
      </c>
      <c r="AB176" s="169">
        <v>300</v>
      </c>
      <c r="AC176" s="169">
        <v>300</v>
      </c>
      <c r="AD176" s="169">
        <v>300</v>
      </c>
      <c r="AE176" s="169">
        <v>300</v>
      </c>
      <c r="AF176" s="169">
        <v>300</v>
      </c>
      <c r="AG176" s="169">
        <v>300</v>
      </c>
      <c r="AH176" s="169">
        <v>300</v>
      </c>
      <c r="AI176" s="169">
        <v>300</v>
      </c>
      <c r="AJ176" s="169">
        <v>300</v>
      </c>
      <c r="AK176" s="169">
        <v>300</v>
      </c>
      <c r="AL176" s="169">
        <v>300</v>
      </c>
      <c r="AM176" s="169">
        <v>300</v>
      </c>
      <c r="AN176" s="169">
        <v>300</v>
      </c>
      <c r="AO176" s="169">
        <v>300</v>
      </c>
      <c r="AP176" s="169">
        <v>300</v>
      </c>
      <c r="AQ176" s="169">
        <v>300</v>
      </c>
      <c r="AR176" s="169">
        <v>300</v>
      </c>
      <c r="AS176" s="169">
        <v>300</v>
      </c>
      <c r="AT176" s="169">
        <v>300</v>
      </c>
      <c r="AU176" s="169">
        <v>300</v>
      </c>
      <c r="AV176" s="169">
        <v>300</v>
      </c>
      <c r="AW176" s="169">
        <v>300</v>
      </c>
      <c r="AX176" s="169">
        <v>300</v>
      </c>
      <c r="AY176" s="169">
        <v>300</v>
      </c>
      <c r="AZ176" s="169">
        <v>300</v>
      </c>
      <c r="BA176" s="169">
        <v>300</v>
      </c>
      <c r="BB176" s="169">
        <v>300</v>
      </c>
      <c r="BC176" s="169">
        <v>300</v>
      </c>
      <c r="BD176" s="169">
        <v>300</v>
      </c>
      <c r="BE176" s="169">
        <v>300</v>
      </c>
      <c r="BF176" s="169">
        <v>300</v>
      </c>
      <c r="BG176" s="169">
        <v>300</v>
      </c>
      <c r="BH176" s="169">
        <v>300</v>
      </c>
      <c r="BI176" s="169">
        <v>300</v>
      </c>
      <c r="BJ176" s="169">
        <v>300</v>
      </c>
      <c r="BK176" s="169">
        <v>300</v>
      </c>
      <c r="BL176" s="169">
        <v>300</v>
      </c>
      <c r="BM176" s="169">
        <v>300</v>
      </c>
      <c r="BN176" s="169">
        <v>300</v>
      </c>
      <c r="BO176" s="169">
        <v>300</v>
      </c>
      <c r="BP176" s="169">
        <v>300</v>
      </c>
      <c r="BQ176" s="169">
        <v>300</v>
      </c>
      <c r="BR176" s="169">
        <v>300</v>
      </c>
      <c r="BS176" s="169">
        <v>300</v>
      </c>
      <c r="BT176" s="169">
        <v>300</v>
      </c>
      <c r="BU176" s="169">
        <v>300</v>
      </c>
      <c r="BV176" s="169">
        <v>300</v>
      </c>
    </row>
    <row r="177" spans="2:74" s="125" customFormat="1" ht="15.75" hidden="1" customHeight="1" outlineLevel="1" x14ac:dyDescent="0.2">
      <c r="B177" s="160" t="s">
        <v>153</v>
      </c>
      <c r="C177" s="169">
        <v>650</v>
      </c>
      <c r="D177" s="169">
        <v>650</v>
      </c>
      <c r="E177" s="169">
        <v>650</v>
      </c>
      <c r="F177" s="169">
        <v>650</v>
      </c>
      <c r="G177" s="169">
        <v>650</v>
      </c>
      <c r="H177" s="169">
        <v>650</v>
      </c>
      <c r="I177" s="169">
        <v>650</v>
      </c>
      <c r="J177" s="169">
        <v>650</v>
      </c>
      <c r="K177" s="169">
        <v>650</v>
      </c>
      <c r="L177" s="169">
        <v>650</v>
      </c>
      <c r="M177" s="169">
        <v>650</v>
      </c>
      <c r="N177" s="169">
        <v>650</v>
      </c>
      <c r="O177" s="169">
        <v>650</v>
      </c>
      <c r="P177" s="169">
        <v>650</v>
      </c>
      <c r="Q177" s="169">
        <v>650</v>
      </c>
      <c r="R177" s="169">
        <v>650</v>
      </c>
      <c r="S177" s="169">
        <v>650</v>
      </c>
      <c r="T177" s="169">
        <v>650</v>
      </c>
      <c r="U177" s="169">
        <v>650</v>
      </c>
      <c r="V177" s="169">
        <v>650</v>
      </c>
      <c r="W177" s="169">
        <v>650</v>
      </c>
      <c r="X177" s="169">
        <v>650</v>
      </c>
      <c r="Y177" s="169">
        <v>650</v>
      </c>
      <c r="Z177" s="169">
        <v>650</v>
      </c>
      <c r="AA177" s="169">
        <v>650</v>
      </c>
      <c r="AB177" s="169">
        <v>650</v>
      </c>
      <c r="AC177" s="169">
        <v>650</v>
      </c>
      <c r="AD177" s="169">
        <v>650</v>
      </c>
      <c r="AE177" s="169">
        <v>650</v>
      </c>
      <c r="AF177" s="169">
        <v>650</v>
      </c>
      <c r="AG177" s="169">
        <v>650</v>
      </c>
      <c r="AH177" s="169">
        <v>650</v>
      </c>
      <c r="AI177" s="169">
        <v>650</v>
      </c>
      <c r="AJ177" s="169">
        <v>650</v>
      </c>
      <c r="AK177" s="169">
        <v>650</v>
      </c>
      <c r="AL177" s="169">
        <v>650</v>
      </c>
      <c r="AM177" s="169">
        <v>650</v>
      </c>
      <c r="AN177" s="169">
        <v>650</v>
      </c>
      <c r="AO177" s="169">
        <v>650</v>
      </c>
      <c r="AP177" s="169">
        <v>650</v>
      </c>
      <c r="AQ177" s="169">
        <v>650</v>
      </c>
      <c r="AR177" s="169">
        <v>650</v>
      </c>
      <c r="AS177" s="169">
        <v>650</v>
      </c>
      <c r="AT177" s="169">
        <v>650</v>
      </c>
      <c r="AU177" s="169">
        <v>650</v>
      </c>
      <c r="AV177" s="169">
        <v>650</v>
      </c>
      <c r="AW177" s="169">
        <v>650</v>
      </c>
      <c r="AX177" s="169">
        <v>650</v>
      </c>
      <c r="AY177" s="169">
        <v>650</v>
      </c>
      <c r="AZ177" s="169">
        <v>650</v>
      </c>
      <c r="BA177" s="169">
        <v>650</v>
      </c>
      <c r="BB177" s="169">
        <v>650</v>
      </c>
      <c r="BC177" s="169">
        <v>650</v>
      </c>
      <c r="BD177" s="169">
        <v>650</v>
      </c>
      <c r="BE177" s="169">
        <v>650</v>
      </c>
      <c r="BF177" s="169">
        <v>650</v>
      </c>
      <c r="BG177" s="169">
        <v>650</v>
      </c>
      <c r="BH177" s="169">
        <v>650</v>
      </c>
      <c r="BI177" s="169">
        <v>650</v>
      </c>
      <c r="BJ177" s="169">
        <v>650</v>
      </c>
      <c r="BK177" s="169">
        <v>650</v>
      </c>
      <c r="BL177" s="169">
        <v>650</v>
      </c>
      <c r="BM177" s="169">
        <v>650</v>
      </c>
      <c r="BN177" s="169">
        <v>650</v>
      </c>
      <c r="BO177" s="169">
        <v>650</v>
      </c>
      <c r="BP177" s="169">
        <v>650</v>
      </c>
      <c r="BQ177" s="169">
        <v>650</v>
      </c>
      <c r="BR177" s="169">
        <v>650</v>
      </c>
      <c r="BS177" s="169">
        <v>650</v>
      </c>
      <c r="BT177" s="169">
        <v>650</v>
      </c>
      <c r="BU177" s="169">
        <v>650</v>
      </c>
      <c r="BV177" s="169">
        <v>650</v>
      </c>
    </row>
    <row r="178" spans="2:74" s="125" customFormat="1" ht="15.75" hidden="1" customHeight="1" outlineLevel="1" x14ac:dyDescent="0.2">
      <c r="B178" s="160" t="s">
        <v>154</v>
      </c>
      <c r="C178" s="169">
        <v>2500</v>
      </c>
      <c r="D178" s="169">
        <v>2500</v>
      </c>
      <c r="E178" s="169">
        <v>2500</v>
      </c>
      <c r="F178" s="169">
        <v>2500</v>
      </c>
      <c r="G178" s="169">
        <v>2500</v>
      </c>
      <c r="H178" s="169">
        <v>2500</v>
      </c>
      <c r="I178" s="169">
        <v>2500</v>
      </c>
      <c r="J178" s="169">
        <v>2500</v>
      </c>
      <c r="K178" s="169">
        <v>2500</v>
      </c>
      <c r="L178" s="169">
        <v>2500</v>
      </c>
      <c r="M178" s="169">
        <v>2500</v>
      </c>
      <c r="N178" s="169">
        <v>2500</v>
      </c>
      <c r="O178" s="169">
        <v>2500</v>
      </c>
      <c r="P178" s="169">
        <v>2500</v>
      </c>
      <c r="Q178" s="169">
        <v>2500</v>
      </c>
      <c r="R178" s="169">
        <v>2500</v>
      </c>
      <c r="S178" s="169">
        <v>2500</v>
      </c>
      <c r="T178" s="169">
        <v>2500</v>
      </c>
      <c r="U178" s="169">
        <v>2500</v>
      </c>
      <c r="V178" s="169">
        <v>2500</v>
      </c>
      <c r="W178" s="169">
        <v>2500</v>
      </c>
      <c r="X178" s="169">
        <v>2500</v>
      </c>
      <c r="Y178" s="169">
        <v>2500</v>
      </c>
      <c r="Z178" s="169">
        <v>2500</v>
      </c>
      <c r="AA178" s="169">
        <v>2500</v>
      </c>
      <c r="AB178" s="169">
        <v>2500</v>
      </c>
      <c r="AC178" s="169">
        <v>2500</v>
      </c>
      <c r="AD178" s="169">
        <v>2500</v>
      </c>
      <c r="AE178" s="169">
        <v>2500</v>
      </c>
      <c r="AF178" s="169">
        <v>2500</v>
      </c>
      <c r="AG178" s="169">
        <v>2500</v>
      </c>
      <c r="AH178" s="169">
        <v>2500</v>
      </c>
      <c r="AI178" s="169">
        <v>2500</v>
      </c>
      <c r="AJ178" s="169">
        <v>2500</v>
      </c>
      <c r="AK178" s="169">
        <v>2500</v>
      </c>
      <c r="AL178" s="169">
        <v>2500</v>
      </c>
      <c r="AM178" s="169">
        <v>2500</v>
      </c>
      <c r="AN178" s="169">
        <v>2500</v>
      </c>
      <c r="AO178" s="169">
        <v>2500</v>
      </c>
      <c r="AP178" s="169">
        <v>2500</v>
      </c>
      <c r="AQ178" s="169">
        <v>2500</v>
      </c>
      <c r="AR178" s="169">
        <v>2500</v>
      </c>
      <c r="AS178" s="169">
        <v>2500</v>
      </c>
      <c r="AT178" s="169">
        <v>2500</v>
      </c>
      <c r="AU178" s="169">
        <v>2500</v>
      </c>
      <c r="AV178" s="169">
        <v>2500</v>
      </c>
      <c r="AW178" s="169">
        <v>2500</v>
      </c>
      <c r="AX178" s="169">
        <v>2500</v>
      </c>
      <c r="AY178" s="169">
        <v>2500</v>
      </c>
      <c r="AZ178" s="169">
        <v>2500</v>
      </c>
      <c r="BA178" s="169">
        <v>2500</v>
      </c>
      <c r="BB178" s="169">
        <v>2500</v>
      </c>
      <c r="BC178" s="169">
        <v>2500</v>
      </c>
      <c r="BD178" s="169">
        <v>2500</v>
      </c>
      <c r="BE178" s="169">
        <v>2500</v>
      </c>
      <c r="BF178" s="169">
        <v>2500</v>
      </c>
      <c r="BG178" s="169">
        <v>2500</v>
      </c>
      <c r="BH178" s="169">
        <v>2500</v>
      </c>
      <c r="BI178" s="169">
        <v>2500</v>
      </c>
      <c r="BJ178" s="169">
        <v>2500</v>
      </c>
      <c r="BK178" s="169">
        <v>2500</v>
      </c>
      <c r="BL178" s="169">
        <v>2500</v>
      </c>
      <c r="BM178" s="169">
        <v>2500</v>
      </c>
      <c r="BN178" s="169">
        <v>2500</v>
      </c>
      <c r="BO178" s="169">
        <v>2500</v>
      </c>
      <c r="BP178" s="169">
        <v>2500</v>
      </c>
      <c r="BQ178" s="169">
        <v>2500</v>
      </c>
      <c r="BR178" s="169">
        <v>2500</v>
      </c>
      <c r="BS178" s="169">
        <v>2500</v>
      </c>
      <c r="BT178" s="169">
        <v>2500</v>
      </c>
      <c r="BU178" s="169">
        <v>2500</v>
      </c>
      <c r="BV178" s="169">
        <v>2500</v>
      </c>
    </row>
    <row r="179" spans="2:74" s="125" customFormat="1" ht="15.75" hidden="1" customHeight="1" outlineLevel="1" x14ac:dyDescent="0.2">
      <c r="B179" s="160" t="s">
        <v>156</v>
      </c>
      <c r="C179" s="169">
        <v>1900</v>
      </c>
      <c r="D179" s="169">
        <v>1900</v>
      </c>
      <c r="E179" s="169">
        <v>1900</v>
      </c>
      <c r="F179" s="169">
        <v>1900</v>
      </c>
      <c r="G179" s="169">
        <v>1900</v>
      </c>
      <c r="H179" s="169">
        <v>1900</v>
      </c>
      <c r="I179" s="169">
        <v>1900</v>
      </c>
      <c r="J179" s="169">
        <v>1900</v>
      </c>
      <c r="K179" s="169">
        <v>1900</v>
      </c>
      <c r="L179" s="169">
        <v>1900</v>
      </c>
      <c r="M179" s="169">
        <v>1900</v>
      </c>
      <c r="N179" s="169">
        <v>1900</v>
      </c>
      <c r="O179" s="169">
        <v>1900</v>
      </c>
      <c r="P179" s="169">
        <v>1900</v>
      </c>
      <c r="Q179" s="169">
        <v>1900</v>
      </c>
      <c r="R179" s="169">
        <v>1900</v>
      </c>
      <c r="S179" s="169">
        <v>1900</v>
      </c>
      <c r="T179" s="169">
        <v>1900</v>
      </c>
      <c r="U179" s="169">
        <v>1900</v>
      </c>
      <c r="V179" s="169">
        <v>1900</v>
      </c>
      <c r="W179" s="169">
        <v>1900</v>
      </c>
      <c r="X179" s="169">
        <v>1900</v>
      </c>
      <c r="Y179" s="169">
        <v>1900</v>
      </c>
      <c r="Z179" s="169">
        <v>1900</v>
      </c>
      <c r="AA179" s="169">
        <v>1900</v>
      </c>
      <c r="AB179" s="169">
        <v>1900</v>
      </c>
      <c r="AC179" s="169">
        <v>1900</v>
      </c>
      <c r="AD179" s="169">
        <v>1900</v>
      </c>
      <c r="AE179" s="169">
        <v>1900</v>
      </c>
      <c r="AF179" s="169">
        <v>1900</v>
      </c>
      <c r="AG179" s="169">
        <v>1900</v>
      </c>
      <c r="AH179" s="169">
        <v>1900</v>
      </c>
      <c r="AI179" s="169">
        <v>1900</v>
      </c>
      <c r="AJ179" s="169">
        <v>1900</v>
      </c>
      <c r="AK179" s="169">
        <v>1900</v>
      </c>
      <c r="AL179" s="169">
        <v>1900</v>
      </c>
      <c r="AM179" s="169">
        <v>1900</v>
      </c>
      <c r="AN179" s="169">
        <v>1900</v>
      </c>
      <c r="AO179" s="169">
        <v>1900</v>
      </c>
      <c r="AP179" s="169">
        <v>1900</v>
      </c>
      <c r="AQ179" s="169">
        <v>1900</v>
      </c>
      <c r="AR179" s="169">
        <v>1900</v>
      </c>
      <c r="AS179" s="169">
        <v>1900</v>
      </c>
      <c r="AT179" s="169">
        <v>1900</v>
      </c>
      <c r="AU179" s="169">
        <v>1900</v>
      </c>
      <c r="AV179" s="169">
        <v>1900</v>
      </c>
      <c r="AW179" s="169">
        <v>1900</v>
      </c>
      <c r="AX179" s="169">
        <v>1900</v>
      </c>
      <c r="AY179" s="169">
        <v>1900</v>
      </c>
      <c r="AZ179" s="169">
        <v>1900</v>
      </c>
      <c r="BA179" s="169">
        <v>1900</v>
      </c>
      <c r="BB179" s="169">
        <v>1900</v>
      </c>
      <c r="BC179" s="169">
        <v>1900</v>
      </c>
      <c r="BD179" s="169">
        <v>1900</v>
      </c>
      <c r="BE179" s="169">
        <v>1900</v>
      </c>
      <c r="BF179" s="169">
        <v>1900</v>
      </c>
      <c r="BG179" s="169">
        <v>1900</v>
      </c>
      <c r="BH179" s="169">
        <v>1900</v>
      </c>
      <c r="BI179" s="169">
        <v>1900</v>
      </c>
      <c r="BJ179" s="169">
        <v>1900</v>
      </c>
      <c r="BK179" s="169">
        <v>1900</v>
      </c>
      <c r="BL179" s="169">
        <v>1900</v>
      </c>
      <c r="BM179" s="169">
        <v>1900</v>
      </c>
      <c r="BN179" s="169">
        <v>1900</v>
      </c>
      <c r="BO179" s="169">
        <v>1900</v>
      </c>
      <c r="BP179" s="169">
        <v>1900</v>
      </c>
      <c r="BQ179" s="169">
        <v>1900</v>
      </c>
      <c r="BR179" s="169">
        <v>1900</v>
      </c>
      <c r="BS179" s="169">
        <v>1900</v>
      </c>
      <c r="BT179" s="169">
        <v>1900</v>
      </c>
      <c r="BU179" s="169">
        <v>1900</v>
      </c>
      <c r="BV179" s="169">
        <v>1900</v>
      </c>
    </row>
    <row r="180" spans="2:74" s="125" customFormat="1" ht="15.75" hidden="1" customHeight="1" outlineLevel="1" x14ac:dyDescent="0.2">
      <c r="B180" s="160" t="s">
        <v>159</v>
      </c>
      <c r="C180" s="169">
        <v>10000</v>
      </c>
      <c r="D180" s="169">
        <v>10000</v>
      </c>
      <c r="E180" s="169">
        <v>10000</v>
      </c>
      <c r="F180" s="169">
        <v>10000</v>
      </c>
      <c r="G180" s="169">
        <v>10000</v>
      </c>
      <c r="H180" s="169">
        <v>10000</v>
      </c>
      <c r="I180" s="169">
        <v>10000</v>
      </c>
      <c r="J180" s="169">
        <v>10000</v>
      </c>
      <c r="K180" s="169">
        <v>10000</v>
      </c>
      <c r="L180" s="169">
        <v>10000</v>
      </c>
      <c r="M180" s="169">
        <v>10000</v>
      </c>
      <c r="N180" s="169">
        <v>10000</v>
      </c>
      <c r="O180" s="169">
        <v>10000</v>
      </c>
      <c r="P180" s="169">
        <v>10000</v>
      </c>
      <c r="Q180" s="169">
        <v>10000</v>
      </c>
      <c r="R180" s="169">
        <v>10000</v>
      </c>
      <c r="S180" s="169">
        <v>10000</v>
      </c>
      <c r="T180" s="169">
        <v>10000</v>
      </c>
      <c r="U180" s="169">
        <v>10000</v>
      </c>
      <c r="V180" s="169">
        <v>10000</v>
      </c>
      <c r="W180" s="169">
        <v>10000</v>
      </c>
      <c r="X180" s="169">
        <v>10000</v>
      </c>
      <c r="Y180" s="169">
        <v>10000</v>
      </c>
      <c r="Z180" s="169">
        <v>10000</v>
      </c>
      <c r="AA180" s="169">
        <v>10000</v>
      </c>
      <c r="AB180" s="169">
        <v>10000</v>
      </c>
      <c r="AC180" s="169">
        <v>10000</v>
      </c>
      <c r="AD180" s="169">
        <v>10000</v>
      </c>
      <c r="AE180" s="169">
        <v>10000</v>
      </c>
      <c r="AF180" s="169">
        <v>10000</v>
      </c>
      <c r="AG180" s="169">
        <v>10000</v>
      </c>
      <c r="AH180" s="169">
        <v>10000</v>
      </c>
      <c r="AI180" s="169">
        <v>10000</v>
      </c>
      <c r="AJ180" s="169">
        <v>10000</v>
      </c>
      <c r="AK180" s="169">
        <v>10000</v>
      </c>
      <c r="AL180" s="169">
        <v>10000</v>
      </c>
      <c r="AM180" s="169">
        <v>10000</v>
      </c>
      <c r="AN180" s="169">
        <v>10000</v>
      </c>
      <c r="AO180" s="169">
        <v>10000</v>
      </c>
      <c r="AP180" s="169">
        <v>10000</v>
      </c>
      <c r="AQ180" s="169">
        <v>10000</v>
      </c>
      <c r="AR180" s="169">
        <v>10000</v>
      </c>
      <c r="AS180" s="169">
        <v>10000</v>
      </c>
      <c r="AT180" s="169">
        <v>10000</v>
      </c>
      <c r="AU180" s="169">
        <v>10000</v>
      </c>
      <c r="AV180" s="169">
        <v>10000</v>
      </c>
      <c r="AW180" s="169">
        <v>10000</v>
      </c>
      <c r="AX180" s="169">
        <v>10000</v>
      </c>
      <c r="AY180" s="169">
        <v>10000</v>
      </c>
      <c r="AZ180" s="169">
        <v>10000</v>
      </c>
      <c r="BA180" s="169">
        <v>10000</v>
      </c>
      <c r="BB180" s="169">
        <v>10000</v>
      </c>
      <c r="BC180" s="169">
        <v>10000</v>
      </c>
      <c r="BD180" s="169">
        <v>10000</v>
      </c>
      <c r="BE180" s="169">
        <v>10000</v>
      </c>
      <c r="BF180" s="169">
        <v>10000</v>
      </c>
      <c r="BG180" s="169">
        <v>10000</v>
      </c>
      <c r="BH180" s="169">
        <v>10000</v>
      </c>
      <c r="BI180" s="169">
        <v>10000</v>
      </c>
      <c r="BJ180" s="169">
        <v>10000</v>
      </c>
      <c r="BK180" s="169">
        <v>10000</v>
      </c>
      <c r="BL180" s="169">
        <v>10000</v>
      </c>
      <c r="BM180" s="169">
        <v>10000</v>
      </c>
      <c r="BN180" s="169">
        <v>10000</v>
      </c>
      <c r="BO180" s="169">
        <v>10000</v>
      </c>
      <c r="BP180" s="169">
        <v>10000</v>
      </c>
      <c r="BQ180" s="169">
        <v>10000</v>
      </c>
      <c r="BR180" s="169">
        <v>10000</v>
      </c>
      <c r="BS180" s="169">
        <v>10000</v>
      </c>
      <c r="BT180" s="169">
        <v>10000</v>
      </c>
      <c r="BU180" s="169">
        <v>10000</v>
      </c>
      <c r="BV180" s="169">
        <v>10000</v>
      </c>
    </row>
    <row r="181" spans="2:74" s="125" customFormat="1" ht="15.75" hidden="1" customHeight="1" outlineLevel="1" x14ac:dyDescent="0.2">
      <c r="B181" s="160" t="s">
        <v>160</v>
      </c>
      <c r="C181" s="169">
        <v>10000</v>
      </c>
      <c r="D181" s="169">
        <v>10000</v>
      </c>
      <c r="E181" s="169">
        <v>10000</v>
      </c>
      <c r="F181" s="169">
        <v>10000</v>
      </c>
      <c r="G181" s="169">
        <v>10000</v>
      </c>
      <c r="H181" s="169">
        <v>10000</v>
      </c>
      <c r="I181" s="169">
        <v>10000</v>
      </c>
      <c r="J181" s="169">
        <v>10000</v>
      </c>
      <c r="K181" s="169">
        <v>10000</v>
      </c>
      <c r="L181" s="169">
        <v>10000</v>
      </c>
      <c r="M181" s="169">
        <v>10000</v>
      </c>
      <c r="N181" s="169">
        <v>10000</v>
      </c>
      <c r="O181" s="169">
        <v>10000</v>
      </c>
      <c r="P181" s="169">
        <v>10000</v>
      </c>
      <c r="Q181" s="169">
        <v>10000</v>
      </c>
      <c r="R181" s="169">
        <v>10000</v>
      </c>
      <c r="S181" s="169">
        <v>10000</v>
      </c>
      <c r="T181" s="169">
        <v>10000</v>
      </c>
      <c r="U181" s="169">
        <v>10000</v>
      </c>
      <c r="V181" s="169">
        <v>10000</v>
      </c>
      <c r="W181" s="169">
        <v>10000</v>
      </c>
      <c r="X181" s="169">
        <v>10000</v>
      </c>
      <c r="Y181" s="169">
        <v>10000</v>
      </c>
      <c r="Z181" s="169">
        <v>10000</v>
      </c>
      <c r="AA181" s="169">
        <v>10000</v>
      </c>
      <c r="AB181" s="169">
        <v>10000</v>
      </c>
      <c r="AC181" s="169">
        <v>10000</v>
      </c>
      <c r="AD181" s="169">
        <v>10000</v>
      </c>
      <c r="AE181" s="169">
        <v>10000</v>
      </c>
      <c r="AF181" s="169">
        <v>10000</v>
      </c>
      <c r="AG181" s="169">
        <v>10000</v>
      </c>
      <c r="AH181" s="169">
        <v>10000</v>
      </c>
      <c r="AI181" s="169">
        <v>10000</v>
      </c>
      <c r="AJ181" s="169">
        <v>10000</v>
      </c>
      <c r="AK181" s="169">
        <v>10000</v>
      </c>
      <c r="AL181" s="169">
        <v>10000</v>
      </c>
      <c r="AM181" s="169">
        <v>10000</v>
      </c>
      <c r="AN181" s="169">
        <v>10000</v>
      </c>
      <c r="AO181" s="169">
        <v>10000</v>
      </c>
      <c r="AP181" s="169">
        <v>10000</v>
      </c>
      <c r="AQ181" s="169">
        <v>10000</v>
      </c>
      <c r="AR181" s="169">
        <v>10000</v>
      </c>
      <c r="AS181" s="169">
        <v>10000</v>
      </c>
      <c r="AT181" s="169">
        <v>10000</v>
      </c>
      <c r="AU181" s="169">
        <v>10000</v>
      </c>
      <c r="AV181" s="169">
        <v>10000</v>
      </c>
      <c r="AW181" s="169">
        <v>10000</v>
      </c>
      <c r="AX181" s="169">
        <v>10000</v>
      </c>
      <c r="AY181" s="169">
        <v>10000</v>
      </c>
      <c r="AZ181" s="169">
        <v>10000</v>
      </c>
      <c r="BA181" s="169">
        <v>10000</v>
      </c>
      <c r="BB181" s="169">
        <v>10000</v>
      </c>
      <c r="BC181" s="169">
        <v>10000</v>
      </c>
      <c r="BD181" s="169">
        <v>10000</v>
      </c>
      <c r="BE181" s="169">
        <v>10000</v>
      </c>
      <c r="BF181" s="169">
        <v>10000</v>
      </c>
      <c r="BG181" s="169">
        <v>10000</v>
      </c>
      <c r="BH181" s="169">
        <v>10000</v>
      </c>
      <c r="BI181" s="169">
        <v>10000</v>
      </c>
      <c r="BJ181" s="169">
        <v>10000</v>
      </c>
      <c r="BK181" s="169">
        <v>10000</v>
      </c>
      <c r="BL181" s="169">
        <v>10000</v>
      </c>
      <c r="BM181" s="169">
        <v>10000</v>
      </c>
      <c r="BN181" s="169">
        <v>10000</v>
      </c>
      <c r="BO181" s="169">
        <v>10000</v>
      </c>
      <c r="BP181" s="169">
        <v>10000</v>
      </c>
      <c r="BQ181" s="169">
        <v>10000</v>
      </c>
      <c r="BR181" s="169">
        <v>10000</v>
      </c>
      <c r="BS181" s="169">
        <v>10000</v>
      </c>
      <c r="BT181" s="169">
        <v>10000</v>
      </c>
      <c r="BU181" s="169">
        <v>10000</v>
      </c>
      <c r="BV181" s="169">
        <v>10000</v>
      </c>
    </row>
    <row r="182" spans="2:74" s="125" customFormat="1" ht="15.75" hidden="1" customHeight="1" outlineLevel="1" x14ac:dyDescent="0.2">
      <c r="B182" s="160" t="s">
        <v>127</v>
      </c>
      <c r="C182" s="169">
        <v>0</v>
      </c>
      <c r="D182" s="169">
        <v>0</v>
      </c>
      <c r="E182" s="169">
        <v>0</v>
      </c>
      <c r="F182" s="169">
        <v>0</v>
      </c>
      <c r="G182" s="169">
        <v>0</v>
      </c>
      <c r="H182" s="169">
        <v>0</v>
      </c>
      <c r="I182" s="169">
        <v>0</v>
      </c>
      <c r="J182" s="169">
        <v>0</v>
      </c>
      <c r="K182" s="169">
        <v>0</v>
      </c>
      <c r="L182" s="169">
        <v>0</v>
      </c>
      <c r="M182" s="169">
        <v>0</v>
      </c>
      <c r="N182" s="169">
        <v>0</v>
      </c>
      <c r="O182" s="169">
        <v>0</v>
      </c>
      <c r="P182" s="169">
        <v>0</v>
      </c>
      <c r="Q182" s="169">
        <v>0</v>
      </c>
      <c r="R182" s="169">
        <v>0</v>
      </c>
      <c r="S182" s="169">
        <v>0</v>
      </c>
      <c r="T182" s="169">
        <v>0</v>
      </c>
      <c r="U182" s="169">
        <v>0</v>
      </c>
      <c r="V182" s="169">
        <v>0</v>
      </c>
      <c r="W182" s="169">
        <v>0</v>
      </c>
      <c r="X182" s="169">
        <v>0</v>
      </c>
      <c r="Y182" s="169">
        <v>0</v>
      </c>
      <c r="Z182" s="169">
        <v>0</v>
      </c>
      <c r="AA182" s="169">
        <v>0</v>
      </c>
      <c r="AB182" s="169">
        <v>0</v>
      </c>
      <c r="AC182" s="169">
        <v>0</v>
      </c>
      <c r="AD182" s="169">
        <v>0</v>
      </c>
      <c r="AE182" s="169">
        <v>0</v>
      </c>
      <c r="AF182" s="169">
        <v>0</v>
      </c>
      <c r="AG182" s="169">
        <v>0</v>
      </c>
      <c r="AH182" s="169">
        <v>0</v>
      </c>
      <c r="AI182" s="169">
        <v>0</v>
      </c>
      <c r="AJ182" s="169">
        <v>0</v>
      </c>
      <c r="AK182" s="169">
        <v>0</v>
      </c>
      <c r="AL182" s="169">
        <v>0</v>
      </c>
      <c r="AM182" s="169">
        <v>0</v>
      </c>
      <c r="AN182" s="169">
        <v>0</v>
      </c>
      <c r="AO182" s="169">
        <v>0</v>
      </c>
      <c r="AP182" s="169">
        <v>0</v>
      </c>
      <c r="AQ182" s="169">
        <v>0</v>
      </c>
      <c r="AR182" s="169">
        <v>0</v>
      </c>
      <c r="AS182" s="169">
        <v>0</v>
      </c>
      <c r="AT182" s="169">
        <v>0</v>
      </c>
      <c r="AU182" s="169">
        <v>0</v>
      </c>
      <c r="AV182" s="169">
        <v>0</v>
      </c>
      <c r="AW182" s="169">
        <v>0</v>
      </c>
      <c r="AX182" s="169">
        <v>0</v>
      </c>
      <c r="AY182" s="169">
        <v>0</v>
      </c>
      <c r="AZ182" s="169">
        <v>0</v>
      </c>
      <c r="BA182" s="169">
        <v>0</v>
      </c>
      <c r="BB182" s="169">
        <v>0</v>
      </c>
      <c r="BC182" s="169">
        <v>0</v>
      </c>
      <c r="BD182" s="169">
        <v>0</v>
      </c>
      <c r="BE182" s="169">
        <v>0</v>
      </c>
      <c r="BF182" s="169">
        <v>0</v>
      </c>
      <c r="BG182" s="169">
        <v>0</v>
      </c>
      <c r="BH182" s="169">
        <v>0</v>
      </c>
      <c r="BI182" s="169">
        <v>0</v>
      </c>
      <c r="BJ182" s="169">
        <v>0</v>
      </c>
      <c r="BK182" s="169">
        <v>0</v>
      </c>
      <c r="BL182" s="169">
        <v>0</v>
      </c>
      <c r="BM182" s="169">
        <v>0</v>
      </c>
      <c r="BN182" s="169">
        <v>0</v>
      </c>
      <c r="BO182" s="169">
        <v>0</v>
      </c>
      <c r="BP182" s="169">
        <v>0</v>
      </c>
      <c r="BQ182" s="169">
        <v>0</v>
      </c>
      <c r="BR182" s="169">
        <v>0</v>
      </c>
      <c r="BS182" s="169">
        <v>0</v>
      </c>
      <c r="BT182" s="169">
        <v>0</v>
      </c>
      <c r="BU182" s="169">
        <v>0</v>
      </c>
      <c r="BV182" s="169">
        <v>0</v>
      </c>
    </row>
    <row r="183" spans="2:74" s="125" customFormat="1" ht="15.75" hidden="1" customHeight="1" outlineLevel="1" x14ac:dyDescent="0.2">
      <c r="B183" s="160" t="s">
        <v>128</v>
      </c>
      <c r="C183" s="169">
        <v>0</v>
      </c>
      <c r="D183" s="169">
        <v>0</v>
      </c>
      <c r="E183" s="169">
        <v>0</v>
      </c>
      <c r="F183" s="169">
        <v>0</v>
      </c>
      <c r="G183" s="169">
        <v>0</v>
      </c>
      <c r="H183" s="169">
        <v>0</v>
      </c>
      <c r="I183" s="169">
        <v>0</v>
      </c>
      <c r="J183" s="169">
        <v>0</v>
      </c>
      <c r="K183" s="169">
        <v>0</v>
      </c>
      <c r="L183" s="169">
        <v>0</v>
      </c>
      <c r="M183" s="169">
        <v>0</v>
      </c>
      <c r="N183" s="169">
        <v>0</v>
      </c>
      <c r="O183" s="169">
        <v>0</v>
      </c>
      <c r="P183" s="169">
        <v>0</v>
      </c>
      <c r="Q183" s="169">
        <v>0</v>
      </c>
      <c r="R183" s="169">
        <v>0</v>
      </c>
      <c r="S183" s="169">
        <v>0</v>
      </c>
      <c r="T183" s="169">
        <v>0</v>
      </c>
      <c r="U183" s="169">
        <v>0</v>
      </c>
      <c r="V183" s="169">
        <v>0</v>
      </c>
      <c r="W183" s="169">
        <v>0</v>
      </c>
      <c r="X183" s="169">
        <v>0</v>
      </c>
      <c r="Y183" s="169">
        <v>0</v>
      </c>
      <c r="Z183" s="169">
        <v>0</v>
      </c>
      <c r="AA183" s="169">
        <v>0</v>
      </c>
      <c r="AB183" s="169">
        <v>0</v>
      </c>
      <c r="AC183" s="169">
        <v>0</v>
      </c>
      <c r="AD183" s="169">
        <v>0</v>
      </c>
      <c r="AE183" s="169">
        <v>0</v>
      </c>
      <c r="AF183" s="169">
        <v>0</v>
      </c>
      <c r="AG183" s="169">
        <v>0</v>
      </c>
      <c r="AH183" s="169">
        <v>0</v>
      </c>
      <c r="AI183" s="169">
        <v>0</v>
      </c>
      <c r="AJ183" s="169">
        <v>0</v>
      </c>
      <c r="AK183" s="169">
        <v>0</v>
      </c>
      <c r="AL183" s="169">
        <v>0</v>
      </c>
      <c r="AM183" s="169">
        <v>0</v>
      </c>
      <c r="AN183" s="169">
        <v>0</v>
      </c>
      <c r="AO183" s="169">
        <v>0</v>
      </c>
      <c r="AP183" s="169">
        <v>0</v>
      </c>
      <c r="AQ183" s="169">
        <v>0</v>
      </c>
      <c r="AR183" s="169">
        <v>0</v>
      </c>
      <c r="AS183" s="169">
        <v>0</v>
      </c>
      <c r="AT183" s="169">
        <v>0</v>
      </c>
      <c r="AU183" s="169">
        <v>0</v>
      </c>
      <c r="AV183" s="169">
        <v>0</v>
      </c>
      <c r="AW183" s="169">
        <v>0</v>
      </c>
      <c r="AX183" s="169">
        <v>0</v>
      </c>
      <c r="AY183" s="169">
        <v>0</v>
      </c>
      <c r="AZ183" s="169">
        <v>0</v>
      </c>
      <c r="BA183" s="169">
        <v>0</v>
      </c>
      <c r="BB183" s="169">
        <v>0</v>
      </c>
      <c r="BC183" s="169">
        <v>0</v>
      </c>
      <c r="BD183" s="169">
        <v>0</v>
      </c>
      <c r="BE183" s="169">
        <v>0</v>
      </c>
      <c r="BF183" s="169">
        <v>0</v>
      </c>
      <c r="BG183" s="169">
        <v>0</v>
      </c>
      <c r="BH183" s="169">
        <v>0</v>
      </c>
      <c r="BI183" s="169">
        <v>0</v>
      </c>
      <c r="BJ183" s="169">
        <v>0</v>
      </c>
      <c r="BK183" s="169">
        <v>0</v>
      </c>
      <c r="BL183" s="169">
        <v>0</v>
      </c>
      <c r="BM183" s="169">
        <v>0</v>
      </c>
      <c r="BN183" s="169">
        <v>0</v>
      </c>
      <c r="BO183" s="169">
        <v>0</v>
      </c>
      <c r="BP183" s="169">
        <v>0</v>
      </c>
      <c r="BQ183" s="169">
        <v>0</v>
      </c>
      <c r="BR183" s="169">
        <v>0</v>
      </c>
      <c r="BS183" s="169">
        <v>0</v>
      </c>
      <c r="BT183" s="169">
        <v>0</v>
      </c>
      <c r="BU183" s="169">
        <v>0</v>
      </c>
      <c r="BV183" s="169">
        <v>0</v>
      </c>
    </row>
    <row r="184" spans="2:74" s="125" customFormat="1" ht="15.75" hidden="1" customHeight="1" outlineLevel="1" x14ac:dyDescent="0.2">
      <c r="B184" s="160" t="s">
        <v>129</v>
      </c>
      <c r="C184" s="169">
        <v>0</v>
      </c>
      <c r="D184" s="169">
        <v>0</v>
      </c>
      <c r="E184" s="169">
        <v>0</v>
      </c>
      <c r="F184" s="169">
        <v>0</v>
      </c>
      <c r="G184" s="169">
        <v>0</v>
      </c>
      <c r="H184" s="169">
        <v>0</v>
      </c>
      <c r="I184" s="169">
        <v>0</v>
      </c>
      <c r="J184" s="169">
        <v>0</v>
      </c>
      <c r="K184" s="169">
        <v>0</v>
      </c>
      <c r="L184" s="169">
        <v>0</v>
      </c>
      <c r="M184" s="169">
        <v>0</v>
      </c>
      <c r="N184" s="169">
        <v>0</v>
      </c>
      <c r="O184" s="169">
        <v>0</v>
      </c>
      <c r="P184" s="169">
        <v>0</v>
      </c>
      <c r="Q184" s="169">
        <v>0</v>
      </c>
      <c r="R184" s="169">
        <v>0</v>
      </c>
      <c r="S184" s="169">
        <v>0</v>
      </c>
      <c r="T184" s="169">
        <v>0</v>
      </c>
      <c r="U184" s="169">
        <v>0</v>
      </c>
      <c r="V184" s="169">
        <v>0</v>
      </c>
      <c r="W184" s="169">
        <v>0</v>
      </c>
      <c r="X184" s="169">
        <v>0</v>
      </c>
      <c r="Y184" s="169">
        <v>0</v>
      </c>
      <c r="Z184" s="169">
        <v>0</v>
      </c>
      <c r="AA184" s="169">
        <v>0</v>
      </c>
      <c r="AB184" s="169">
        <v>0</v>
      </c>
      <c r="AC184" s="169">
        <v>0</v>
      </c>
      <c r="AD184" s="169">
        <v>0</v>
      </c>
      <c r="AE184" s="169">
        <v>0</v>
      </c>
      <c r="AF184" s="169">
        <v>0</v>
      </c>
      <c r="AG184" s="169">
        <v>0</v>
      </c>
      <c r="AH184" s="169">
        <v>0</v>
      </c>
      <c r="AI184" s="169">
        <v>0</v>
      </c>
      <c r="AJ184" s="169">
        <v>0</v>
      </c>
      <c r="AK184" s="169">
        <v>0</v>
      </c>
      <c r="AL184" s="169">
        <v>0</v>
      </c>
      <c r="AM184" s="169">
        <v>0</v>
      </c>
      <c r="AN184" s="169">
        <v>0</v>
      </c>
      <c r="AO184" s="169">
        <v>0</v>
      </c>
      <c r="AP184" s="169">
        <v>0</v>
      </c>
      <c r="AQ184" s="169">
        <v>0</v>
      </c>
      <c r="AR184" s="169">
        <v>0</v>
      </c>
      <c r="AS184" s="169">
        <v>0</v>
      </c>
      <c r="AT184" s="169">
        <v>0</v>
      </c>
      <c r="AU184" s="169">
        <v>0</v>
      </c>
      <c r="AV184" s="169">
        <v>0</v>
      </c>
      <c r="AW184" s="169">
        <v>0</v>
      </c>
      <c r="AX184" s="169">
        <v>0</v>
      </c>
      <c r="AY184" s="169">
        <v>0</v>
      </c>
      <c r="AZ184" s="169">
        <v>0</v>
      </c>
      <c r="BA184" s="169">
        <v>0</v>
      </c>
      <c r="BB184" s="169">
        <v>0</v>
      </c>
      <c r="BC184" s="169">
        <v>0</v>
      </c>
      <c r="BD184" s="169">
        <v>0</v>
      </c>
      <c r="BE184" s="169">
        <v>0</v>
      </c>
      <c r="BF184" s="169">
        <v>0</v>
      </c>
      <c r="BG184" s="169">
        <v>0</v>
      </c>
      <c r="BH184" s="169">
        <v>0</v>
      </c>
      <c r="BI184" s="169">
        <v>0</v>
      </c>
      <c r="BJ184" s="169">
        <v>0</v>
      </c>
      <c r="BK184" s="169">
        <v>0</v>
      </c>
      <c r="BL184" s="169">
        <v>0</v>
      </c>
      <c r="BM184" s="169">
        <v>0</v>
      </c>
      <c r="BN184" s="169">
        <v>0</v>
      </c>
      <c r="BO184" s="169">
        <v>0</v>
      </c>
      <c r="BP184" s="169">
        <v>0</v>
      </c>
      <c r="BQ184" s="169">
        <v>0</v>
      </c>
      <c r="BR184" s="169">
        <v>0</v>
      </c>
      <c r="BS184" s="169">
        <v>0</v>
      </c>
      <c r="BT184" s="169">
        <v>0</v>
      </c>
      <c r="BU184" s="169">
        <v>0</v>
      </c>
      <c r="BV184" s="169">
        <v>0</v>
      </c>
    </row>
    <row r="185" spans="2:74" s="125" customFormat="1" ht="15.75" customHeight="1" collapsed="1" thickBot="1" x14ac:dyDescent="0.25">
      <c r="B185" s="161" t="s">
        <v>87</v>
      </c>
      <c r="C185" s="101">
        <f t="shared" ref="C185:AH185" si="196">+C116-C119-C130-C141-C152-C163-C174</f>
        <v>-65325</v>
      </c>
      <c r="D185" s="101">
        <f t="shared" si="196"/>
        <v>-63863.75</v>
      </c>
      <c r="E185" s="102">
        <f t="shared" si="196"/>
        <v>-62316.887499999997</v>
      </c>
      <c r="F185" s="102">
        <f t="shared" si="196"/>
        <v>-60678.748531250007</v>
      </c>
      <c r="G185" s="102">
        <f t="shared" si="196"/>
        <v>-58943.248206953132</v>
      </c>
      <c r="H185" s="102">
        <f t="shared" si="196"/>
        <v>-57103.845916091217</v>
      </c>
      <c r="I185" s="102">
        <f t="shared" si="196"/>
        <v>-55153.507401480398</v>
      </c>
      <c r="J185" s="102">
        <f t="shared" si="196"/>
        <v>-53084.663428747488</v>
      </c>
      <c r="K185" s="102">
        <f t="shared" si="196"/>
        <v>-50889.164724501381</v>
      </c>
      <c r="L185" s="102">
        <f t="shared" si="196"/>
        <v>-48558.232830761655</v>
      </c>
      <c r="M185" s="102">
        <f t="shared" si="196"/>
        <v>-49194.897440541165</v>
      </c>
      <c r="N185" s="102">
        <f t="shared" si="196"/>
        <v>-43451.483124855411</v>
      </c>
      <c r="O185" s="102">
        <f t="shared" si="196"/>
        <v>-40654.454979415452</v>
      </c>
      <c r="P185" s="102">
        <f t="shared" si="196"/>
        <v>-37679.439355081762</v>
      </c>
      <c r="Q185" s="102">
        <f t="shared" si="196"/>
        <v>-34513.602434610119</v>
      </c>
      <c r="R185" s="102">
        <f t="shared" si="196"/>
        <v>-31143.076044621077</v>
      </c>
      <c r="S185" s="102">
        <f t="shared" si="196"/>
        <v>-27552.866690781782</v>
      </c>
      <c r="T185" s="102">
        <f t="shared" si="196"/>
        <v>-23726.756120962847</v>
      </c>
      <c r="U185" s="102">
        <f t="shared" si="196"/>
        <v>-19647.19260043175</v>
      </c>
      <c r="V185" s="102">
        <f t="shared" si="196"/>
        <v>-15295.17200311528</v>
      </c>
      <c r="W185" s="102">
        <f t="shared" si="196"/>
        <v>-10650.107735010723</v>
      </c>
      <c r="X185" s="102">
        <f t="shared" si="196"/>
        <v>-5689.6884091590182</v>
      </c>
      <c r="Y185" s="102">
        <f t="shared" si="196"/>
        <v>-10158.052011765729</v>
      </c>
      <c r="Z185" s="102">
        <f t="shared" si="196"/>
        <v>5276.0342290883127</v>
      </c>
      <c r="AA185" s="102">
        <f t="shared" si="196"/>
        <v>11336.061249289516</v>
      </c>
      <c r="AB185" s="102">
        <f t="shared" si="196"/>
        <v>17821.281826891558</v>
      </c>
      <c r="AC185" s="102">
        <f t="shared" si="196"/>
        <v>24765.284836128325</v>
      </c>
      <c r="AD185" s="102">
        <f t="shared" si="196"/>
        <v>32204.570430763517</v>
      </c>
      <c r="AE185" s="102">
        <f t="shared" si="196"/>
        <v>40178.818757959147</v>
      </c>
      <c r="AF185" s="102">
        <f t="shared" si="196"/>
        <v>48731.184421272279</v>
      </c>
      <c r="AG185" s="102">
        <f t="shared" si="196"/>
        <v>57908.619211511832</v>
      </c>
      <c r="AH185" s="102">
        <f t="shared" si="196"/>
        <v>67762.225873244082</v>
      </c>
      <c r="AI185" s="102">
        <f t="shared" ref="AI185:BN185" si="197">+AI116-AI119-AI130-AI141-AI152-AI163-AI174</f>
        <v>78347.645948565478</v>
      </c>
      <c r="AJ185" s="102">
        <f t="shared" si="197"/>
        <v>89725.485040821048</v>
      </c>
      <c r="AK185" s="102">
        <f t="shared" si="197"/>
        <v>101961.77917195504</v>
      </c>
      <c r="AL185" s="102">
        <f t="shared" si="197"/>
        <v>115128.50627113756</v>
      </c>
      <c r="AM185" s="102">
        <f t="shared" si="197"/>
        <v>129304.14723247642</v>
      </c>
      <c r="AN185" s="102">
        <f t="shared" si="197"/>
        <v>144574.30141964267</v>
      </c>
      <c r="AO185" s="102">
        <f t="shared" si="197"/>
        <v>161032.36197905583</v>
      </c>
      <c r="AP185" s="102">
        <f t="shared" si="197"/>
        <v>178780.25685528829</v>
      </c>
      <c r="AQ185" s="102">
        <f t="shared" si="197"/>
        <v>197929.26198734553</v>
      </c>
      <c r="AR185" s="102">
        <f t="shared" si="197"/>
        <v>218600.89380776521</v>
      </c>
      <c r="AS185" s="102">
        <f t="shared" si="197"/>
        <v>240927.88887385634</v>
      </c>
      <c r="AT185" s="102">
        <f t="shared" si="197"/>
        <v>265055.27923827973</v>
      </c>
      <c r="AU185" s="102">
        <f t="shared" si="197"/>
        <v>291141.57302158989</v>
      </c>
      <c r="AV185" s="102">
        <f t="shared" si="197"/>
        <v>319360.05059003696</v>
      </c>
      <c r="AW185" s="102">
        <f t="shared" si="197"/>
        <v>349900.18777642283</v>
      </c>
      <c r="AX185" s="102">
        <f t="shared" si="197"/>
        <v>382969.21871942375</v>
      </c>
      <c r="AY185" s="102">
        <f t="shared" si="197"/>
        <v>418793.85214789835</v>
      </c>
      <c r="AZ185" s="102">
        <f t="shared" si="197"/>
        <v>457622.15631256741</v>
      </c>
      <c r="BA185" s="102">
        <f t="shared" si="197"/>
        <v>499725.6292805816</v>
      </c>
      <c r="BB185" s="102">
        <f t="shared" si="197"/>
        <v>545401.47297257697</v>
      </c>
      <c r="BC185" s="102">
        <f t="shared" si="197"/>
        <v>594975.09115193272</v>
      </c>
      <c r="BD185" s="102">
        <f t="shared" si="197"/>
        <v>648802.83358868724</v>
      </c>
      <c r="BE185" s="102">
        <f t="shared" si="197"/>
        <v>707275.01083416154</v>
      </c>
      <c r="BF185" s="102">
        <f t="shared" si="197"/>
        <v>770819.20647686662</v>
      </c>
      <c r="BG185" s="102">
        <f t="shared" si="197"/>
        <v>839903.91642779612</v>
      </c>
      <c r="BH185" s="102">
        <f t="shared" si="197"/>
        <v>915042.5477280044</v>
      </c>
      <c r="BI185" s="102">
        <f t="shared" si="197"/>
        <v>996797.81261014333</v>
      </c>
      <c r="BJ185" s="102">
        <f t="shared" si="197"/>
        <v>1085786.5571077671</v>
      </c>
      <c r="BK185" s="102">
        <f t="shared" si="197"/>
        <v>1182685.0674239979</v>
      </c>
      <c r="BL185" s="102">
        <f t="shared" si="197"/>
        <v>1288234.9015801414</v>
      </c>
      <c r="BM185" s="102">
        <f t="shared" si="197"/>
        <v>1403249.2986041075</v>
      </c>
      <c r="BN185" s="102">
        <f t="shared" si="197"/>
        <v>1528620.2227310776</v>
      </c>
      <c r="BO185" s="102">
        <f t="shared" ref="BO185:BV185" si="198">+BO116-BO119-BO130-BO141-BO152-BO163-BO174</f>
        <v>1665326.105821989</v>
      </c>
      <c r="BP185" s="102">
        <f t="shared" si="198"/>
        <v>1814440.357511186</v>
      </c>
      <c r="BQ185" s="102">
        <f t="shared" si="198"/>
        <v>1977140.7195301782</v>
      </c>
      <c r="BR185" s="102">
        <f t="shared" si="198"/>
        <v>2154719.5482828384</v>
      </c>
      <c r="BS185" s="102">
        <f t="shared" si="198"/>
        <v>2348595.1181377368</v>
      </c>
      <c r="BT185" s="102">
        <f t="shared" si="198"/>
        <v>2560324.0471319542</v>
      </c>
      <c r="BU185" s="102">
        <f t="shared" si="198"/>
        <v>2791614.956931198</v>
      </c>
      <c r="BV185" s="102">
        <f t="shared" si="198"/>
        <v>3044343.4900557417</v>
      </c>
    </row>
    <row r="186" spans="2:74" s="125" customFormat="1" ht="16" thickTop="1" x14ac:dyDescent="0.2">
      <c r="B186" s="162"/>
      <c r="C186" s="93"/>
      <c r="D186" s="94"/>
      <c r="E186" s="95"/>
      <c r="F186" s="95"/>
      <c r="G186" s="95"/>
      <c r="H186" s="95"/>
      <c r="I186" s="95"/>
      <c r="J186" s="95"/>
      <c r="K186" s="95"/>
      <c r="L186" s="95"/>
      <c r="M186" s="95"/>
      <c r="N186" s="95"/>
      <c r="O186" s="95"/>
      <c r="P186" s="95"/>
      <c r="Q186" s="95"/>
      <c r="R186" s="95"/>
      <c r="S186" s="95"/>
      <c r="T186" s="95"/>
      <c r="U186" s="95"/>
      <c r="V186" s="95"/>
      <c r="W186" s="95"/>
      <c r="X186" s="95"/>
      <c r="Y186" s="95"/>
      <c r="Z186" s="95"/>
      <c r="AA186" s="95"/>
      <c r="AB186" s="95"/>
      <c r="AC186" s="95"/>
      <c r="AD186" s="95"/>
      <c r="AE186" s="95"/>
      <c r="AF186" s="95"/>
      <c r="AG186" s="95"/>
      <c r="AH186" s="95"/>
      <c r="AI186" s="95"/>
      <c r="AJ186" s="95"/>
      <c r="AK186" s="95"/>
      <c r="AL186" s="95"/>
      <c r="AM186" s="95"/>
      <c r="AN186" s="95"/>
      <c r="AO186" s="95"/>
      <c r="AP186" s="95"/>
      <c r="AQ186" s="95"/>
      <c r="AR186" s="95"/>
      <c r="AS186" s="95"/>
      <c r="AT186" s="95"/>
      <c r="AU186" s="95"/>
      <c r="AV186" s="95"/>
      <c r="AW186" s="95"/>
      <c r="AX186" s="95"/>
      <c r="AY186" s="95"/>
      <c r="AZ186" s="95"/>
      <c r="BA186" s="95"/>
      <c r="BB186" s="95"/>
      <c r="BC186" s="95"/>
      <c r="BD186" s="95"/>
      <c r="BE186" s="95"/>
      <c r="BF186" s="95"/>
      <c r="BG186" s="95"/>
      <c r="BH186" s="95"/>
      <c r="BI186" s="95"/>
      <c r="BJ186" s="95"/>
      <c r="BK186" s="95"/>
      <c r="BL186" s="95"/>
      <c r="BM186" s="95"/>
      <c r="BN186" s="95"/>
      <c r="BO186" s="95"/>
      <c r="BP186" s="95"/>
      <c r="BQ186" s="95"/>
      <c r="BR186" s="95"/>
      <c r="BS186" s="95"/>
      <c r="BT186" s="95"/>
      <c r="BU186" s="95"/>
      <c r="BV186" s="95"/>
    </row>
    <row r="187" spans="2:74" s="125" customFormat="1" ht="22.5" customHeight="1" x14ac:dyDescent="0.2">
      <c r="B187" s="163" t="s">
        <v>130</v>
      </c>
      <c r="C187" s="103"/>
      <c r="D187" s="104"/>
      <c r="E187" s="105"/>
      <c r="F187" s="105"/>
      <c r="G187" s="105"/>
      <c r="H187" s="105"/>
      <c r="I187" s="105"/>
      <c r="J187" s="105"/>
      <c r="K187" s="105"/>
      <c r="L187" s="105"/>
      <c r="M187" s="105"/>
      <c r="N187" s="105"/>
      <c r="O187" s="105"/>
      <c r="P187" s="105"/>
      <c r="Q187" s="105"/>
      <c r="R187" s="105"/>
      <c r="S187" s="105"/>
      <c r="T187" s="105"/>
      <c r="U187" s="105"/>
      <c r="V187" s="105"/>
      <c r="W187" s="105"/>
      <c r="X187" s="105"/>
      <c r="Y187" s="105"/>
      <c r="Z187" s="105"/>
      <c r="AA187" s="105"/>
      <c r="AB187" s="105"/>
      <c r="AC187" s="105"/>
      <c r="AD187" s="105"/>
      <c r="AE187" s="105"/>
      <c r="AF187" s="105"/>
      <c r="AG187" s="105"/>
      <c r="AH187" s="105"/>
      <c r="AI187" s="105"/>
      <c r="AJ187" s="105"/>
      <c r="AK187" s="105"/>
      <c r="AL187" s="105"/>
      <c r="AM187" s="105"/>
      <c r="AN187" s="105"/>
      <c r="AO187" s="105"/>
      <c r="AP187" s="105"/>
      <c r="AQ187" s="105"/>
      <c r="AR187" s="105"/>
      <c r="AS187" s="105"/>
      <c r="AT187" s="105"/>
      <c r="AU187" s="105"/>
      <c r="AV187" s="105"/>
      <c r="AW187" s="105"/>
      <c r="AX187" s="105"/>
      <c r="AY187" s="105"/>
      <c r="AZ187" s="105"/>
      <c r="BA187" s="105"/>
      <c r="BB187" s="105"/>
      <c r="BC187" s="105"/>
      <c r="BD187" s="105"/>
      <c r="BE187" s="105"/>
      <c r="BF187" s="105"/>
      <c r="BG187" s="105"/>
      <c r="BH187" s="105"/>
      <c r="BI187" s="105"/>
      <c r="BJ187" s="105"/>
      <c r="BK187" s="105"/>
      <c r="BL187" s="105"/>
      <c r="BM187" s="105"/>
      <c r="BN187" s="105"/>
      <c r="BO187" s="105"/>
      <c r="BP187" s="105"/>
      <c r="BQ187" s="105"/>
      <c r="BR187" s="105"/>
      <c r="BS187" s="105"/>
      <c r="BT187" s="105"/>
      <c r="BU187" s="105"/>
      <c r="BV187" s="105"/>
    </row>
    <row r="188" spans="2:74" s="125" customFormat="1" x14ac:dyDescent="0.2">
      <c r="B188" s="162"/>
      <c r="C188" s="93"/>
      <c r="D188" s="94"/>
      <c r="E188" s="95"/>
      <c r="F188" s="95"/>
      <c r="G188" s="95"/>
      <c r="H188" s="95"/>
      <c r="I188" s="95"/>
      <c r="J188" s="95"/>
      <c r="K188" s="95"/>
      <c r="L188" s="95"/>
      <c r="M188" s="95"/>
      <c r="N188" s="95"/>
      <c r="O188" s="95"/>
      <c r="P188" s="95"/>
      <c r="Q188" s="95"/>
      <c r="R188" s="95"/>
      <c r="S188" s="95"/>
      <c r="T188" s="95"/>
      <c r="U188" s="95"/>
      <c r="V188" s="95"/>
      <c r="W188" s="95"/>
      <c r="X188" s="95"/>
      <c r="Y188" s="95"/>
      <c r="Z188" s="95"/>
      <c r="AA188" s="95"/>
      <c r="AB188" s="95"/>
      <c r="AC188" s="95"/>
      <c r="AD188" s="95"/>
      <c r="AE188" s="95"/>
      <c r="AF188" s="95"/>
      <c r="AG188" s="95"/>
      <c r="AH188" s="95"/>
      <c r="AI188" s="95"/>
      <c r="AJ188" s="95"/>
      <c r="AK188" s="95"/>
      <c r="AL188" s="95"/>
      <c r="AM188" s="95"/>
      <c r="AN188" s="95"/>
      <c r="AO188" s="95"/>
      <c r="AP188" s="95"/>
      <c r="AQ188" s="95"/>
      <c r="AR188" s="95"/>
      <c r="AS188" s="95"/>
      <c r="AT188" s="95"/>
      <c r="AU188" s="95"/>
      <c r="AV188" s="95"/>
      <c r="AW188" s="95"/>
      <c r="AX188" s="95"/>
      <c r="AY188" s="95"/>
      <c r="AZ188" s="95"/>
      <c r="BA188" s="95"/>
      <c r="BB188" s="95"/>
      <c r="BC188" s="95"/>
      <c r="BD188" s="95"/>
      <c r="BE188" s="95"/>
      <c r="BF188" s="95"/>
      <c r="BG188" s="95"/>
      <c r="BH188" s="95"/>
      <c r="BI188" s="95"/>
      <c r="BJ188" s="95"/>
      <c r="BK188" s="95"/>
      <c r="BL188" s="95"/>
      <c r="BM188" s="95"/>
      <c r="BN188" s="95"/>
      <c r="BO188" s="95"/>
      <c r="BP188" s="95"/>
      <c r="BQ188" s="95"/>
      <c r="BR188" s="95"/>
      <c r="BS188" s="95"/>
      <c r="BT188" s="95"/>
      <c r="BU188" s="95"/>
      <c r="BV188" s="95"/>
    </row>
    <row r="189" spans="2:74" s="166" customFormat="1" ht="17.25" customHeight="1" thickBot="1" x14ac:dyDescent="0.25">
      <c r="B189" s="124" t="s">
        <v>68</v>
      </c>
      <c r="C189" s="164">
        <f t="shared" ref="C189:AH189" si="199">+C191-C190</f>
        <v>0</v>
      </c>
      <c r="D189" s="164">
        <f t="shared" si="199"/>
        <v>0</v>
      </c>
      <c r="E189" s="165">
        <f t="shared" si="199"/>
        <v>0</v>
      </c>
      <c r="F189" s="165">
        <f t="shared" si="199"/>
        <v>0</v>
      </c>
      <c r="G189" s="165">
        <f t="shared" si="199"/>
        <v>0</v>
      </c>
      <c r="H189" s="165">
        <f t="shared" si="199"/>
        <v>0</v>
      </c>
      <c r="I189" s="165">
        <f t="shared" si="199"/>
        <v>0</v>
      </c>
      <c r="J189" s="165">
        <f t="shared" si="199"/>
        <v>0</v>
      </c>
      <c r="K189" s="165">
        <f t="shared" si="199"/>
        <v>0</v>
      </c>
      <c r="L189" s="165">
        <f t="shared" si="199"/>
        <v>0</v>
      </c>
      <c r="M189" s="165">
        <f t="shared" si="199"/>
        <v>0</v>
      </c>
      <c r="N189" s="165">
        <f t="shared" si="199"/>
        <v>0</v>
      </c>
      <c r="O189" s="165">
        <f t="shared" si="199"/>
        <v>0</v>
      </c>
      <c r="P189" s="165">
        <f t="shared" si="199"/>
        <v>0</v>
      </c>
      <c r="Q189" s="165">
        <f t="shared" si="199"/>
        <v>0</v>
      </c>
      <c r="R189" s="165">
        <f t="shared" si="199"/>
        <v>0</v>
      </c>
      <c r="S189" s="165">
        <f t="shared" si="199"/>
        <v>0</v>
      </c>
      <c r="T189" s="165">
        <f t="shared" si="199"/>
        <v>0</v>
      </c>
      <c r="U189" s="165">
        <f t="shared" si="199"/>
        <v>0</v>
      </c>
      <c r="V189" s="165">
        <f t="shared" si="199"/>
        <v>0</v>
      </c>
      <c r="W189" s="165">
        <f t="shared" si="199"/>
        <v>0</v>
      </c>
      <c r="X189" s="165">
        <f t="shared" si="199"/>
        <v>0</v>
      </c>
      <c r="Y189" s="165">
        <f t="shared" si="199"/>
        <v>0</v>
      </c>
      <c r="Z189" s="165">
        <f t="shared" si="199"/>
        <v>0</v>
      </c>
      <c r="AA189" s="165">
        <f t="shared" si="199"/>
        <v>0</v>
      </c>
      <c r="AB189" s="165">
        <f t="shared" si="199"/>
        <v>0</v>
      </c>
      <c r="AC189" s="165">
        <f t="shared" si="199"/>
        <v>0</v>
      </c>
      <c r="AD189" s="165">
        <f t="shared" si="199"/>
        <v>0</v>
      </c>
      <c r="AE189" s="165">
        <f t="shared" si="199"/>
        <v>0</v>
      </c>
      <c r="AF189" s="165">
        <f t="shared" si="199"/>
        <v>0</v>
      </c>
      <c r="AG189" s="165">
        <f t="shared" si="199"/>
        <v>0</v>
      </c>
      <c r="AH189" s="165">
        <f t="shared" si="199"/>
        <v>0</v>
      </c>
      <c r="AI189" s="165">
        <f t="shared" ref="AI189:BN189" si="200">+AI191-AI190</f>
        <v>0</v>
      </c>
      <c r="AJ189" s="165">
        <f t="shared" si="200"/>
        <v>0</v>
      </c>
      <c r="AK189" s="165">
        <f t="shared" si="200"/>
        <v>0</v>
      </c>
      <c r="AL189" s="165">
        <f t="shared" si="200"/>
        <v>0</v>
      </c>
      <c r="AM189" s="165">
        <f t="shared" si="200"/>
        <v>0</v>
      </c>
      <c r="AN189" s="165">
        <f t="shared" si="200"/>
        <v>0</v>
      </c>
      <c r="AO189" s="165">
        <f t="shared" si="200"/>
        <v>0</v>
      </c>
      <c r="AP189" s="165">
        <f t="shared" si="200"/>
        <v>0</v>
      </c>
      <c r="AQ189" s="165">
        <f t="shared" si="200"/>
        <v>0</v>
      </c>
      <c r="AR189" s="165">
        <f t="shared" si="200"/>
        <v>0</v>
      </c>
      <c r="AS189" s="165">
        <f t="shared" si="200"/>
        <v>0</v>
      </c>
      <c r="AT189" s="165">
        <f t="shared" si="200"/>
        <v>0</v>
      </c>
      <c r="AU189" s="165">
        <f t="shared" si="200"/>
        <v>0</v>
      </c>
      <c r="AV189" s="165">
        <f t="shared" si="200"/>
        <v>0</v>
      </c>
      <c r="AW189" s="165">
        <f t="shared" si="200"/>
        <v>0</v>
      </c>
      <c r="AX189" s="165">
        <f t="shared" si="200"/>
        <v>0</v>
      </c>
      <c r="AY189" s="165">
        <f t="shared" si="200"/>
        <v>0</v>
      </c>
      <c r="AZ189" s="165">
        <f t="shared" si="200"/>
        <v>0</v>
      </c>
      <c r="BA189" s="165">
        <f t="shared" si="200"/>
        <v>0</v>
      </c>
      <c r="BB189" s="165">
        <f t="shared" si="200"/>
        <v>0</v>
      </c>
      <c r="BC189" s="165">
        <f t="shared" si="200"/>
        <v>0</v>
      </c>
      <c r="BD189" s="165">
        <f t="shared" si="200"/>
        <v>0</v>
      </c>
      <c r="BE189" s="165">
        <f t="shared" si="200"/>
        <v>0</v>
      </c>
      <c r="BF189" s="165">
        <f t="shared" si="200"/>
        <v>0</v>
      </c>
      <c r="BG189" s="165">
        <f t="shared" si="200"/>
        <v>0</v>
      </c>
      <c r="BH189" s="165">
        <f t="shared" si="200"/>
        <v>0</v>
      </c>
      <c r="BI189" s="165">
        <f t="shared" si="200"/>
        <v>0</v>
      </c>
      <c r="BJ189" s="165">
        <f t="shared" si="200"/>
        <v>0</v>
      </c>
      <c r="BK189" s="165">
        <f t="shared" si="200"/>
        <v>0</v>
      </c>
      <c r="BL189" s="165">
        <f t="shared" si="200"/>
        <v>0</v>
      </c>
      <c r="BM189" s="165">
        <f t="shared" si="200"/>
        <v>0</v>
      </c>
      <c r="BN189" s="165">
        <f t="shared" si="200"/>
        <v>0</v>
      </c>
      <c r="BO189" s="165">
        <f t="shared" ref="BO189:BV189" si="201">+BO191-BO190</f>
        <v>0</v>
      </c>
      <c r="BP189" s="165">
        <f t="shared" si="201"/>
        <v>0</v>
      </c>
      <c r="BQ189" s="165">
        <f t="shared" si="201"/>
        <v>0</v>
      </c>
      <c r="BR189" s="165">
        <f t="shared" si="201"/>
        <v>0</v>
      </c>
      <c r="BS189" s="165">
        <f t="shared" si="201"/>
        <v>0</v>
      </c>
      <c r="BT189" s="165">
        <f t="shared" si="201"/>
        <v>0</v>
      </c>
      <c r="BU189" s="165">
        <f t="shared" si="201"/>
        <v>0</v>
      </c>
      <c r="BV189" s="165">
        <f t="shared" si="201"/>
        <v>0</v>
      </c>
    </row>
    <row r="190" spans="2:74" s="127" customFormat="1" ht="17.25" hidden="1" customHeight="1" outlineLevel="1" x14ac:dyDescent="0.2">
      <c r="B190" s="167" t="s">
        <v>66</v>
      </c>
      <c r="C190" s="54"/>
      <c r="D190" s="55"/>
      <c r="E190" s="56"/>
      <c r="F190" s="56"/>
      <c r="G190" s="56"/>
      <c r="H190" s="56"/>
      <c r="I190" s="56"/>
      <c r="J190" s="56"/>
      <c r="K190" s="56"/>
      <c r="L190" s="56"/>
      <c r="M190" s="56"/>
      <c r="N190" s="56"/>
      <c r="O190" s="56"/>
      <c r="P190" s="56"/>
      <c r="Q190" s="56"/>
      <c r="R190" s="56"/>
      <c r="S190" s="56"/>
      <c r="T190" s="56"/>
      <c r="U190" s="56"/>
      <c r="V190" s="56"/>
      <c r="W190" s="56"/>
      <c r="X190" s="56"/>
      <c r="Y190" s="56"/>
      <c r="Z190" s="56"/>
      <c r="AA190" s="56"/>
      <c r="AB190" s="56"/>
      <c r="AC190" s="56"/>
      <c r="AD190" s="56"/>
      <c r="AE190" s="56"/>
      <c r="AF190" s="56"/>
      <c r="AG190" s="56"/>
      <c r="AH190" s="56"/>
      <c r="AI190" s="56"/>
      <c r="AJ190" s="56"/>
      <c r="AK190" s="56"/>
      <c r="AL190" s="56"/>
      <c r="AM190" s="56"/>
      <c r="AN190" s="56"/>
      <c r="AO190" s="56"/>
      <c r="AP190" s="56"/>
      <c r="AQ190" s="56"/>
      <c r="AR190" s="56"/>
      <c r="AS190" s="56"/>
      <c r="AT190" s="56"/>
      <c r="AU190" s="56"/>
      <c r="AV190" s="56"/>
      <c r="AW190" s="56"/>
      <c r="AX190" s="56"/>
      <c r="AY190" s="56"/>
      <c r="AZ190" s="56"/>
      <c r="BA190" s="56"/>
      <c r="BB190" s="56"/>
      <c r="BC190" s="56"/>
      <c r="BD190" s="56"/>
      <c r="BE190" s="56"/>
      <c r="BF190" s="56"/>
      <c r="BG190" s="56"/>
      <c r="BH190" s="56"/>
      <c r="BI190" s="56"/>
      <c r="BJ190" s="56"/>
      <c r="BK190" s="56"/>
      <c r="BL190" s="56"/>
      <c r="BM190" s="56"/>
      <c r="BN190" s="56"/>
      <c r="BO190" s="56"/>
      <c r="BP190" s="56"/>
      <c r="BQ190" s="56"/>
      <c r="BR190" s="56"/>
      <c r="BS190" s="56"/>
      <c r="BT190" s="56"/>
      <c r="BU190" s="56"/>
      <c r="BV190" s="56"/>
    </row>
    <row r="191" spans="2:74" s="127" customFormat="1" ht="17.25" hidden="1" customHeight="1" outlineLevel="1" thickBot="1" x14ac:dyDescent="0.25">
      <c r="B191" s="167" t="s">
        <v>67</v>
      </c>
      <c r="C191" s="87"/>
      <c r="D191" s="88"/>
      <c r="E191" s="89"/>
      <c r="F191" s="89"/>
      <c r="G191" s="89"/>
      <c r="H191" s="89"/>
      <c r="I191" s="89"/>
      <c r="J191" s="89"/>
      <c r="K191" s="89"/>
      <c r="L191" s="89"/>
      <c r="M191" s="89"/>
      <c r="N191" s="89"/>
      <c r="O191" s="89"/>
      <c r="P191" s="89"/>
      <c r="Q191" s="89"/>
      <c r="R191" s="89"/>
      <c r="S191" s="89"/>
      <c r="T191" s="89"/>
      <c r="U191" s="89"/>
      <c r="V191" s="89"/>
      <c r="W191" s="89"/>
      <c r="X191" s="89"/>
      <c r="Y191" s="89"/>
      <c r="Z191" s="89"/>
      <c r="AA191" s="89"/>
      <c r="AB191" s="89"/>
      <c r="AC191" s="89"/>
      <c r="AD191" s="89"/>
      <c r="AE191" s="89"/>
      <c r="AF191" s="89"/>
      <c r="AG191" s="89"/>
      <c r="AH191" s="89"/>
      <c r="AI191" s="89"/>
      <c r="AJ191" s="89"/>
      <c r="AK191" s="89"/>
      <c r="AL191" s="89"/>
      <c r="AM191" s="89"/>
      <c r="AN191" s="89"/>
      <c r="AO191" s="89"/>
      <c r="AP191" s="89"/>
      <c r="AQ191" s="89"/>
      <c r="AR191" s="89"/>
      <c r="AS191" s="89"/>
      <c r="AT191" s="89"/>
      <c r="AU191" s="89"/>
      <c r="AV191" s="89"/>
      <c r="AW191" s="89"/>
      <c r="AX191" s="89"/>
      <c r="AY191" s="89"/>
      <c r="AZ191" s="89"/>
      <c r="BA191" s="89"/>
      <c r="BB191" s="89"/>
      <c r="BC191" s="89"/>
      <c r="BD191" s="89"/>
      <c r="BE191" s="89"/>
      <c r="BF191" s="89"/>
      <c r="BG191" s="89"/>
      <c r="BH191" s="89"/>
      <c r="BI191" s="89"/>
      <c r="BJ191" s="89"/>
      <c r="BK191" s="89"/>
      <c r="BL191" s="89"/>
      <c r="BM191" s="89"/>
      <c r="BN191" s="89"/>
      <c r="BO191" s="89"/>
      <c r="BP191" s="89"/>
      <c r="BQ191" s="89"/>
      <c r="BR191" s="89"/>
      <c r="BS191" s="89"/>
      <c r="BT191" s="89"/>
      <c r="BU191" s="89"/>
      <c r="BV191" s="89"/>
    </row>
    <row r="192" spans="2:74" s="166" customFormat="1" ht="17.25" customHeight="1" collapsed="1" thickBot="1" x14ac:dyDescent="0.25">
      <c r="B192" s="124" t="s">
        <v>133</v>
      </c>
      <c r="C192" s="164">
        <f t="shared" ref="C192:AH192" si="202">+C194-C193</f>
        <v>0</v>
      </c>
      <c r="D192" s="164">
        <f t="shared" si="202"/>
        <v>0</v>
      </c>
      <c r="E192" s="165">
        <f t="shared" si="202"/>
        <v>0</v>
      </c>
      <c r="F192" s="165">
        <f t="shared" si="202"/>
        <v>0</v>
      </c>
      <c r="G192" s="165">
        <f t="shared" si="202"/>
        <v>0</v>
      </c>
      <c r="H192" s="165">
        <f t="shared" si="202"/>
        <v>0</v>
      </c>
      <c r="I192" s="165">
        <f t="shared" si="202"/>
        <v>0</v>
      </c>
      <c r="J192" s="165">
        <f t="shared" si="202"/>
        <v>0</v>
      </c>
      <c r="K192" s="165">
        <f t="shared" si="202"/>
        <v>0</v>
      </c>
      <c r="L192" s="165">
        <f t="shared" si="202"/>
        <v>0</v>
      </c>
      <c r="M192" s="165">
        <f t="shared" si="202"/>
        <v>0</v>
      </c>
      <c r="N192" s="165">
        <f t="shared" si="202"/>
        <v>0</v>
      </c>
      <c r="O192" s="165">
        <f t="shared" si="202"/>
        <v>0</v>
      </c>
      <c r="P192" s="165">
        <f t="shared" si="202"/>
        <v>0</v>
      </c>
      <c r="Q192" s="165">
        <f t="shared" si="202"/>
        <v>0</v>
      </c>
      <c r="R192" s="165">
        <f t="shared" si="202"/>
        <v>0</v>
      </c>
      <c r="S192" s="165">
        <f t="shared" si="202"/>
        <v>0</v>
      </c>
      <c r="T192" s="165">
        <f t="shared" si="202"/>
        <v>0</v>
      </c>
      <c r="U192" s="165">
        <f t="shared" si="202"/>
        <v>0</v>
      </c>
      <c r="V192" s="165">
        <f t="shared" si="202"/>
        <v>0</v>
      </c>
      <c r="W192" s="165">
        <f t="shared" si="202"/>
        <v>0</v>
      </c>
      <c r="X192" s="165">
        <f t="shared" si="202"/>
        <v>0</v>
      </c>
      <c r="Y192" s="165">
        <f t="shared" si="202"/>
        <v>0</v>
      </c>
      <c r="Z192" s="165">
        <f t="shared" si="202"/>
        <v>0</v>
      </c>
      <c r="AA192" s="165">
        <f t="shared" si="202"/>
        <v>0</v>
      </c>
      <c r="AB192" s="165">
        <f t="shared" si="202"/>
        <v>0</v>
      </c>
      <c r="AC192" s="165">
        <f t="shared" si="202"/>
        <v>0</v>
      </c>
      <c r="AD192" s="165">
        <f t="shared" si="202"/>
        <v>0</v>
      </c>
      <c r="AE192" s="165">
        <f t="shared" si="202"/>
        <v>0</v>
      </c>
      <c r="AF192" s="165">
        <f t="shared" si="202"/>
        <v>0</v>
      </c>
      <c r="AG192" s="165">
        <f t="shared" si="202"/>
        <v>0</v>
      </c>
      <c r="AH192" s="165">
        <f t="shared" si="202"/>
        <v>0</v>
      </c>
      <c r="AI192" s="165">
        <f t="shared" ref="AI192:BN192" si="203">+AI194-AI193</f>
        <v>0</v>
      </c>
      <c r="AJ192" s="165">
        <f t="shared" si="203"/>
        <v>0</v>
      </c>
      <c r="AK192" s="165">
        <f t="shared" si="203"/>
        <v>0</v>
      </c>
      <c r="AL192" s="165">
        <f t="shared" si="203"/>
        <v>0</v>
      </c>
      <c r="AM192" s="165">
        <f t="shared" si="203"/>
        <v>0</v>
      </c>
      <c r="AN192" s="165">
        <f t="shared" si="203"/>
        <v>0</v>
      </c>
      <c r="AO192" s="165">
        <f t="shared" si="203"/>
        <v>0</v>
      </c>
      <c r="AP192" s="165">
        <f t="shared" si="203"/>
        <v>0</v>
      </c>
      <c r="AQ192" s="165">
        <f t="shared" si="203"/>
        <v>0</v>
      </c>
      <c r="AR192" s="165">
        <f t="shared" si="203"/>
        <v>0</v>
      </c>
      <c r="AS192" s="165">
        <f t="shared" si="203"/>
        <v>0</v>
      </c>
      <c r="AT192" s="165">
        <f t="shared" si="203"/>
        <v>0</v>
      </c>
      <c r="AU192" s="165">
        <f t="shared" si="203"/>
        <v>0</v>
      </c>
      <c r="AV192" s="165">
        <f t="shared" si="203"/>
        <v>0</v>
      </c>
      <c r="AW192" s="165">
        <f t="shared" si="203"/>
        <v>0</v>
      </c>
      <c r="AX192" s="165">
        <f t="shared" si="203"/>
        <v>0</v>
      </c>
      <c r="AY192" s="165">
        <f t="shared" si="203"/>
        <v>0</v>
      </c>
      <c r="AZ192" s="165">
        <f t="shared" si="203"/>
        <v>0</v>
      </c>
      <c r="BA192" s="165">
        <f t="shared" si="203"/>
        <v>0</v>
      </c>
      <c r="BB192" s="165">
        <f t="shared" si="203"/>
        <v>0</v>
      </c>
      <c r="BC192" s="165">
        <f t="shared" si="203"/>
        <v>0</v>
      </c>
      <c r="BD192" s="165">
        <f t="shared" si="203"/>
        <v>0</v>
      </c>
      <c r="BE192" s="165">
        <f t="shared" si="203"/>
        <v>0</v>
      </c>
      <c r="BF192" s="165">
        <f t="shared" si="203"/>
        <v>0</v>
      </c>
      <c r="BG192" s="165">
        <f t="shared" si="203"/>
        <v>0</v>
      </c>
      <c r="BH192" s="165">
        <f t="shared" si="203"/>
        <v>0</v>
      </c>
      <c r="BI192" s="165">
        <f t="shared" si="203"/>
        <v>0</v>
      </c>
      <c r="BJ192" s="165">
        <f t="shared" si="203"/>
        <v>0</v>
      </c>
      <c r="BK192" s="165">
        <f t="shared" si="203"/>
        <v>0</v>
      </c>
      <c r="BL192" s="165">
        <f t="shared" si="203"/>
        <v>0</v>
      </c>
      <c r="BM192" s="165">
        <f t="shared" si="203"/>
        <v>0</v>
      </c>
      <c r="BN192" s="165">
        <f t="shared" si="203"/>
        <v>0</v>
      </c>
      <c r="BO192" s="165">
        <f t="shared" ref="BO192:BV192" si="204">+BO194-BO193</f>
        <v>0</v>
      </c>
      <c r="BP192" s="165">
        <f t="shared" si="204"/>
        <v>0</v>
      </c>
      <c r="BQ192" s="165">
        <f t="shared" si="204"/>
        <v>0</v>
      </c>
      <c r="BR192" s="165">
        <f t="shared" si="204"/>
        <v>0</v>
      </c>
      <c r="BS192" s="165">
        <f t="shared" si="204"/>
        <v>0</v>
      </c>
      <c r="BT192" s="165">
        <f t="shared" si="204"/>
        <v>0</v>
      </c>
      <c r="BU192" s="165">
        <f t="shared" si="204"/>
        <v>0</v>
      </c>
      <c r="BV192" s="165">
        <f t="shared" si="204"/>
        <v>0</v>
      </c>
    </row>
    <row r="193" spans="2:74" s="127" customFormat="1" ht="17.25" hidden="1" customHeight="1" outlineLevel="1" x14ac:dyDescent="0.2">
      <c r="B193" s="167" t="s">
        <v>161</v>
      </c>
      <c r="C193" s="54"/>
      <c r="D193" s="55"/>
      <c r="E193" s="56"/>
      <c r="F193" s="56"/>
      <c r="G193" s="56"/>
      <c r="H193" s="56"/>
      <c r="I193" s="56"/>
      <c r="J193" s="56"/>
      <c r="K193" s="56"/>
      <c r="L193" s="56"/>
      <c r="M193" s="56"/>
      <c r="N193" s="56"/>
      <c r="O193" s="56"/>
      <c r="P193" s="56"/>
      <c r="Q193" s="56"/>
      <c r="R193" s="56"/>
      <c r="S193" s="56"/>
      <c r="T193" s="56"/>
      <c r="U193" s="56"/>
      <c r="V193" s="56"/>
      <c r="W193" s="56"/>
      <c r="X193" s="56"/>
      <c r="Y193" s="56"/>
      <c r="Z193" s="56"/>
      <c r="AA193" s="56"/>
      <c r="AB193" s="56"/>
      <c r="AC193" s="56"/>
      <c r="AD193" s="56"/>
      <c r="AE193" s="56"/>
      <c r="AF193" s="56"/>
      <c r="AG193" s="56"/>
      <c r="AH193" s="56"/>
      <c r="AI193" s="56"/>
      <c r="AJ193" s="56"/>
      <c r="AK193" s="56"/>
      <c r="AL193" s="56"/>
      <c r="AM193" s="56"/>
      <c r="AN193" s="56"/>
      <c r="AO193" s="56"/>
      <c r="AP193" s="56"/>
      <c r="AQ193" s="56"/>
      <c r="AR193" s="56"/>
      <c r="AS193" s="56"/>
      <c r="AT193" s="56"/>
      <c r="AU193" s="56"/>
      <c r="AV193" s="56"/>
      <c r="AW193" s="56"/>
      <c r="AX193" s="56"/>
      <c r="AY193" s="56"/>
      <c r="AZ193" s="56"/>
      <c r="BA193" s="56"/>
      <c r="BB193" s="56"/>
      <c r="BC193" s="56"/>
      <c r="BD193" s="56"/>
      <c r="BE193" s="56"/>
      <c r="BF193" s="56"/>
      <c r="BG193" s="56"/>
      <c r="BH193" s="56"/>
      <c r="BI193" s="56"/>
      <c r="BJ193" s="56"/>
      <c r="BK193" s="56"/>
      <c r="BL193" s="56"/>
      <c r="BM193" s="56"/>
      <c r="BN193" s="56"/>
      <c r="BO193" s="56"/>
      <c r="BP193" s="56"/>
      <c r="BQ193" s="56"/>
      <c r="BR193" s="56"/>
      <c r="BS193" s="56"/>
      <c r="BT193" s="56"/>
      <c r="BU193" s="56"/>
      <c r="BV193" s="56"/>
    </row>
    <row r="194" spans="2:74" s="127" customFormat="1" ht="17.25" hidden="1" customHeight="1" outlineLevel="1" thickBot="1" x14ac:dyDescent="0.25">
      <c r="B194" s="167" t="s">
        <v>162</v>
      </c>
      <c r="C194" s="87"/>
      <c r="D194" s="88"/>
      <c r="E194" s="89"/>
      <c r="F194" s="89"/>
      <c r="G194" s="89"/>
      <c r="H194" s="89"/>
      <c r="I194" s="89"/>
      <c r="J194" s="89"/>
      <c r="K194" s="89"/>
      <c r="L194" s="89"/>
      <c r="M194" s="89"/>
      <c r="N194" s="89"/>
      <c r="O194" s="89"/>
      <c r="P194" s="89"/>
      <c r="Q194" s="89"/>
      <c r="R194" s="89"/>
      <c r="S194" s="89"/>
      <c r="T194" s="89"/>
      <c r="U194" s="89"/>
      <c r="V194" s="89"/>
      <c r="W194" s="89"/>
      <c r="X194" s="89"/>
      <c r="Y194" s="89"/>
      <c r="Z194" s="89"/>
      <c r="AA194" s="89"/>
      <c r="AB194" s="89"/>
      <c r="AC194" s="89"/>
      <c r="AD194" s="89"/>
      <c r="AE194" s="89"/>
      <c r="AF194" s="89"/>
      <c r="AG194" s="89"/>
      <c r="AH194" s="89"/>
      <c r="AI194" s="89"/>
      <c r="AJ194" s="89"/>
      <c r="AK194" s="89"/>
      <c r="AL194" s="89"/>
      <c r="AM194" s="89"/>
      <c r="AN194" s="89"/>
      <c r="AO194" s="89"/>
      <c r="AP194" s="89"/>
      <c r="AQ194" s="89"/>
      <c r="AR194" s="89"/>
      <c r="AS194" s="89"/>
      <c r="AT194" s="89"/>
      <c r="AU194" s="89"/>
      <c r="AV194" s="89"/>
      <c r="AW194" s="89"/>
      <c r="AX194" s="89"/>
      <c r="AY194" s="89"/>
      <c r="AZ194" s="89"/>
      <c r="BA194" s="89"/>
      <c r="BB194" s="89"/>
      <c r="BC194" s="89"/>
      <c r="BD194" s="89"/>
      <c r="BE194" s="89"/>
      <c r="BF194" s="89"/>
      <c r="BG194" s="89"/>
      <c r="BH194" s="89"/>
      <c r="BI194" s="89"/>
      <c r="BJ194" s="89"/>
      <c r="BK194" s="89"/>
      <c r="BL194" s="89"/>
      <c r="BM194" s="89"/>
      <c r="BN194" s="89"/>
      <c r="BO194" s="89"/>
      <c r="BP194" s="89"/>
      <c r="BQ194" s="89"/>
      <c r="BR194" s="89"/>
      <c r="BS194" s="89"/>
      <c r="BT194" s="89"/>
      <c r="BU194" s="89"/>
      <c r="BV194" s="89"/>
    </row>
    <row r="195" spans="2:74" s="125" customFormat="1" ht="17.25" customHeight="1" collapsed="1" thickBot="1" x14ac:dyDescent="0.25">
      <c r="B195" s="162" t="s">
        <v>131</v>
      </c>
      <c r="C195" s="90">
        <v>200000</v>
      </c>
      <c r="D195" s="91">
        <v>50000</v>
      </c>
      <c r="E195" s="92"/>
      <c r="F195" s="92"/>
      <c r="G195" s="92">
        <v>150000</v>
      </c>
      <c r="H195" s="92"/>
      <c r="I195" s="92"/>
      <c r="J195" s="92"/>
      <c r="K195" s="92"/>
      <c r="L195" s="92"/>
      <c r="M195" s="92"/>
      <c r="N195" s="92"/>
      <c r="O195" s="92"/>
      <c r="P195" s="92"/>
      <c r="Q195" s="92"/>
      <c r="R195" s="92"/>
      <c r="S195" s="92"/>
      <c r="T195" s="92"/>
      <c r="U195" s="92"/>
      <c r="V195" s="92"/>
      <c r="W195" s="92"/>
      <c r="X195" s="92"/>
      <c r="Y195" s="92"/>
      <c r="Z195" s="92"/>
      <c r="AA195" s="92"/>
      <c r="AB195" s="92"/>
      <c r="AC195" s="92"/>
      <c r="AD195" s="92"/>
      <c r="AE195" s="92"/>
      <c r="AF195" s="92"/>
      <c r="AG195" s="92"/>
      <c r="AH195" s="92"/>
      <c r="AI195" s="92"/>
      <c r="AJ195" s="92"/>
      <c r="AK195" s="92"/>
      <c r="AL195" s="92"/>
      <c r="AM195" s="92"/>
      <c r="AN195" s="92"/>
      <c r="AO195" s="92"/>
      <c r="AP195" s="92"/>
      <c r="AQ195" s="92"/>
      <c r="AR195" s="92"/>
      <c r="AS195" s="92"/>
      <c r="AT195" s="92"/>
      <c r="AU195" s="92"/>
      <c r="AV195" s="92"/>
      <c r="AW195" s="92"/>
      <c r="AX195" s="92"/>
      <c r="AY195" s="92"/>
      <c r="AZ195" s="92"/>
      <c r="BA195" s="92"/>
      <c r="BB195" s="92"/>
      <c r="BC195" s="92"/>
      <c r="BD195" s="92"/>
      <c r="BE195" s="92"/>
      <c r="BF195" s="92"/>
      <c r="BG195" s="92"/>
      <c r="BH195" s="92"/>
      <c r="BI195" s="92"/>
      <c r="BJ195" s="92"/>
      <c r="BK195" s="92"/>
      <c r="BL195" s="92"/>
      <c r="BM195" s="92"/>
      <c r="BN195" s="92"/>
      <c r="BO195" s="92"/>
      <c r="BP195" s="92"/>
      <c r="BQ195" s="92"/>
      <c r="BR195" s="92"/>
      <c r="BS195" s="92"/>
      <c r="BT195" s="92"/>
      <c r="BU195" s="92"/>
      <c r="BV195" s="92"/>
    </row>
    <row r="196" spans="2:74" s="125" customFormat="1" ht="18.75" customHeight="1" thickBot="1" x14ac:dyDescent="0.25">
      <c r="B196" s="168" t="s">
        <v>132</v>
      </c>
      <c r="C196" s="108">
        <f t="shared" ref="C196:AH196" si="205">+C185-C189-C192-C195</f>
        <v>-265325</v>
      </c>
      <c r="D196" s="108">
        <f t="shared" si="205"/>
        <v>-113863.75</v>
      </c>
      <c r="E196" s="108">
        <f t="shared" si="205"/>
        <v>-62316.887499999997</v>
      </c>
      <c r="F196" s="108">
        <f t="shared" si="205"/>
        <v>-60678.748531250007</v>
      </c>
      <c r="G196" s="108">
        <f t="shared" si="205"/>
        <v>-208943.24820695314</v>
      </c>
      <c r="H196" s="108">
        <f t="shared" si="205"/>
        <v>-57103.845916091217</v>
      </c>
      <c r="I196" s="108">
        <f t="shared" si="205"/>
        <v>-55153.507401480398</v>
      </c>
      <c r="J196" s="108">
        <f t="shared" si="205"/>
        <v>-53084.663428747488</v>
      </c>
      <c r="K196" s="108">
        <f t="shared" si="205"/>
        <v>-50889.164724501381</v>
      </c>
      <c r="L196" s="108">
        <f t="shared" si="205"/>
        <v>-48558.232830761655</v>
      </c>
      <c r="M196" s="108">
        <f t="shared" si="205"/>
        <v>-49194.897440541165</v>
      </c>
      <c r="N196" s="108">
        <f t="shared" si="205"/>
        <v>-43451.483124855411</v>
      </c>
      <c r="O196" s="108">
        <f t="shared" si="205"/>
        <v>-40654.454979415452</v>
      </c>
      <c r="P196" s="108">
        <f t="shared" si="205"/>
        <v>-37679.439355081762</v>
      </c>
      <c r="Q196" s="108">
        <f t="shared" si="205"/>
        <v>-34513.602434610119</v>
      </c>
      <c r="R196" s="108">
        <f t="shared" si="205"/>
        <v>-31143.076044621077</v>
      </c>
      <c r="S196" s="108">
        <f t="shared" si="205"/>
        <v>-27552.866690781782</v>
      </c>
      <c r="T196" s="108">
        <f t="shared" si="205"/>
        <v>-23726.756120962847</v>
      </c>
      <c r="U196" s="108">
        <f t="shared" si="205"/>
        <v>-19647.19260043175</v>
      </c>
      <c r="V196" s="108">
        <f t="shared" si="205"/>
        <v>-15295.17200311528</v>
      </c>
      <c r="W196" s="108">
        <f t="shared" si="205"/>
        <v>-10650.107735010723</v>
      </c>
      <c r="X196" s="108">
        <f t="shared" si="205"/>
        <v>-5689.6884091590182</v>
      </c>
      <c r="Y196" s="108">
        <f t="shared" si="205"/>
        <v>-10158.052011765729</v>
      </c>
      <c r="Z196" s="108">
        <f t="shared" si="205"/>
        <v>5276.0342290883127</v>
      </c>
      <c r="AA196" s="108">
        <f t="shared" si="205"/>
        <v>11336.061249289516</v>
      </c>
      <c r="AB196" s="108">
        <f t="shared" si="205"/>
        <v>17821.281826891558</v>
      </c>
      <c r="AC196" s="108">
        <f t="shared" si="205"/>
        <v>24765.284836128325</v>
      </c>
      <c r="AD196" s="108">
        <f t="shared" si="205"/>
        <v>32204.570430763517</v>
      </c>
      <c r="AE196" s="108">
        <f t="shared" si="205"/>
        <v>40178.818757959147</v>
      </c>
      <c r="AF196" s="108">
        <f t="shared" si="205"/>
        <v>48731.184421272279</v>
      </c>
      <c r="AG196" s="108">
        <f t="shared" si="205"/>
        <v>57908.619211511832</v>
      </c>
      <c r="AH196" s="108">
        <f t="shared" si="205"/>
        <v>67762.225873244082</v>
      </c>
      <c r="AI196" s="108">
        <f t="shared" ref="AI196:BN196" si="206">+AI185-AI189-AI192-AI195</f>
        <v>78347.645948565478</v>
      </c>
      <c r="AJ196" s="108">
        <f t="shared" si="206"/>
        <v>89725.485040821048</v>
      </c>
      <c r="AK196" s="108">
        <f t="shared" si="206"/>
        <v>101961.77917195504</v>
      </c>
      <c r="AL196" s="108">
        <f t="shared" si="206"/>
        <v>115128.50627113756</v>
      </c>
      <c r="AM196" s="108">
        <f t="shared" si="206"/>
        <v>129304.14723247642</v>
      </c>
      <c r="AN196" s="108">
        <f t="shared" si="206"/>
        <v>144574.30141964267</v>
      </c>
      <c r="AO196" s="108">
        <f t="shared" si="206"/>
        <v>161032.36197905583</v>
      </c>
      <c r="AP196" s="108">
        <f t="shared" si="206"/>
        <v>178780.25685528829</v>
      </c>
      <c r="AQ196" s="108">
        <f t="shared" si="206"/>
        <v>197929.26198734553</v>
      </c>
      <c r="AR196" s="108">
        <f t="shared" si="206"/>
        <v>218600.89380776521</v>
      </c>
      <c r="AS196" s="108">
        <f t="shared" si="206"/>
        <v>240927.88887385634</v>
      </c>
      <c r="AT196" s="108">
        <f t="shared" si="206"/>
        <v>265055.27923827973</v>
      </c>
      <c r="AU196" s="108">
        <f t="shared" si="206"/>
        <v>291141.57302158989</v>
      </c>
      <c r="AV196" s="108">
        <f t="shared" si="206"/>
        <v>319360.05059003696</v>
      </c>
      <c r="AW196" s="108">
        <f t="shared" si="206"/>
        <v>349900.18777642283</v>
      </c>
      <c r="AX196" s="108">
        <f t="shared" si="206"/>
        <v>382969.21871942375</v>
      </c>
      <c r="AY196" s="108">
        <f t="shared" si="206"/>
        <v>418793.85214789835</v>
      </c>
      <c r="AZ196" s="108">
        <f t="shared" si="206"/>
        <v>457622.15631256741</v>
      </c>
      <c r="BA196" s="108">
        <f t="shared" si="206"/>
        <v>499725.6292805816</v>
      </c>
      <c r="BB196" s="108">
        <f t="shared" si="206"/>
        <v>545401.47297257697</v>
      </c>
      <c r="BC196" s="108">
        <f t="shared" si="206"/>
        <v>594975.09115193272</v>
      </c>
      <c r="BD196" s="108">
        <f t="shared" si="206"/>
        <v>648802.83358868724</v>
      </c>
      <c r="BE196" s="108">
        <f t="shared" si="206"/>
        <v>707275.01083416154</v>
      </c>
      <c r="BF196" s="108">
        <f t="shared" si="206"/>
        <v>770819.20647686662</v>
      </c>
      <c r="BG196" s="108">
        <f t="shared" si="206"/>
        <v>839903.91642779612</v>
      </c>
      <c r="BH196" s="108">
        <f t="shared" si="206"/>
        <v>915042.5477280044</v>
      </c>
      <c r="BI196" s="108">
        <f t="shared" si="206"/>
        <v>996797.81261014333</v>
      </c>
      <c r="BJ196" s="108">
        <f t="shared" si="206"/>
        <v>1085786.5571077671</v>
      </c>
      <c r="BK196" s="108">
        <f t="shared" si="206"/>
        <v>1182685.0674239979</v>
      </c>
      <c r="BL196" s="108">
        <f t="shared" si="206"/>
        <v>1288234.9015801414</v>
      </c>
      <c r="BM196" s="108">
        <f t="shared" si="206"/>
        <v>1403249.2986041075</v>
      </c>
      <c r="BN196" s="108">
        <f t="shared" si="206"/>
        <v>1528620.2227310776</v>
      </c>
      <c r="BO196" s="108">
        <f t="shared" ref="BO196:BV196" si="207">+BO185-BO189-BO192-BO195</f>
        <v>1665326.105821989</v>
      </c>
      <c r="BP196" s="108">
        <f t="shared" si="207"/>
        <v>1814440.357511186</v>
      </c>
      <c r="BQ196" s="108">
        <f t="shared" si="207"/>
        <v>1977140.7195301782</v>
      </c>
      <c r="BR196" s="108">
        <f t="shared" si="207"/>
        <v>2154719.5482828384</v>
      </c>
      <c r="BS196" s="108">
        <f t="shared" si="207"/>
        <v>2348595.1181377368</v>
      </c>
      <c r="BT196" s="108">
        <f t="shared" si="207"/>
        <v>2560324.0471319542</v>
      </c>
      <c r="BU196" s="108">
        <f t="shared" si="207"/>
        <v>2791614.956931198</v>
      </c>
      <c r="BV196" s="108">
        <f t="shared" si="207"/>
        <v>3044343.4900557417</v>
      </c>
    </row>
    <row r="197" spans="2:74" ht="32.25" customHeight="1" thickTop="1" x14ac:dyDescent="0.2">
      <c r="B197" s="17"/>
      <c r="C197" s="18"/>
      <c r="D197" s="19"/>
      <c r="E197" s="20"/>
      <c r="F197" s="20"/>
      <c r="G197" s="20"/>
      <c r="H197" s="20"/>
      <c r="I197" s="20"/>
      <c r="J197" s="20"/>
      <c r="K197" s="20"/>
      <c r="L197" s="20"/>
      <c r="M197" s="20"/>
      <c r="N197" s="20"/>
      <c r="O197" s="20"/>
      <c r="P197" s="20"/>
      <c r="Q197" s="20"/>
      <c r="R197" s="20"/>
      <c r="S197" s="20"/>
      <c r="T197" s="20"/>
      <c r="U197" s="20"/>
      <c r="V197" s="20"/>
      <c r="W197" s="20"/>
      <c r="X197" s="20"/>
      <c r="Y197" s="20"/>
      <c r="Z197" s="20"/>
      <c r="AA197" s="20"/>
      <c r="AB197" s="20"/>
      <c r="AC197" s="20"/>
      <c r="AD197" s="20"/>
      <c r="AE197" s="20"/>
      <c r="AF197" s="20"/>
      <c r="AG197" s="20"/>
      <c r="AH197" s="20"/>
      <c r="AI197" s="20"/>
      <c r="AJ197" s="20"/>
      <c r="AK197" s="20"/>
      <c r="AL197" s="20"/>
    </row>
    <row r="198" spans="2:74" ht="32.25" customHeight="1" x14ac:dyDescent="0.2">
      <c r="B198" s="17"/>
      <c r="C198" s="18"/>
      <c r="D198" s="19"/>
      <c r="E198" s="20"/>
      <c r="F198" s="20"/>
      <c r="G198" s="20"/>
      <c r="H198" s="20"/>
      <c r="I198" s="20"/>
      <c r="J198" s="20"/>
      <c r="K198" s="20"/>
      <c r="L198" s="20"/>
      <c r="M198" s="20"/>
      <c r="N198" s="20"/>
      <c r="O198" s="20"/>
      <c r="P198" s="20"/>
      <c r="Q198" s="20"/>
      <c r="R198" s="20"/>
      <c r="S198" s="20"/>
      <c r="T198" s="20"/>
      <c r="U198" s="20"/>
      <c r="V198" s="20"/>
      <c r="W198" s="20"/>
      <c r="X198" s="20"/>
      <c r="Y198" s="20"/>
      <c r="Z198" s="20"/>
      <c r="AA198" s="20"/>
      <c r="AB198" s="20"/>
      <c r="AC198" s="20"/>
      <c r="AD198" s="20"/>
      <c r="AE198" s="20"/>
      <c r="AF198" s="20"/>
      <c r="AG198" s="20"/>
      <c r="AH198" s="20"/>
      <c r="AI198" s="20"/>
      <c r="AJ198" s="20"/>
      <c r="AK198" s="20"/>
      <c r="AL198" s="20"/>
    </row>
    <row r="199" spans="2:74" ht="32.25" customHeight="1" x14ac:dyDescent="0.2">
      <c r="B199" s="17"/>
      <c r="C199" s="18"/>
      <c r="D199" s="19"/>
      <c r="E199" s="20"/>
      <c r="F199" s="20"/>
      <c r="G199" s="20"/>
      <c r="H199" s="20"/>
      <c r="I199" s="20"/>
      <c r="J199" s="20"/>
      <c r="K199" s="20"/>
      <c r="L199" s="20"/>
      <c r="M199" s="20"/>
      <c r="N199" s="20"/>
      <c r="O199" s="20"/>
      <c r="P199" s="20"/>
      <c r="Q199" s="20"/>
      <c r="R199" s="20"/>
      <c r="S199" s="20"/>
      <c r="T199" s="20"/>
      <c r="U199" s="20"/>
      <c r="V199" s="20"/>
      <c r="W199" s="20"/>
      <c r="X199" s="20"/>
      <c r="Y199" s="20"/>
      <c r="Z199" s="20"/>
      <c r="AA199" s="20"/>
      <c r="AB199" s="20"/>
      <c r="AC199" s="20"/>
      <c r="AD199" s="20"/>
      <c r="AE199" s="20"/>
      <c r="AF199" s="20"/>
      <c r="AG199" s="20"/>
      <c r="AH199" s="20"/>
      <c r="AI199" s="20"/>
      <c r="AJ199" s="20"/>
      <c r="AK199" s="20"/>
      <c r="AL199" s="20"/>
    </row>
  </sheetData>
  <mergeCells count="1">
    <mergeCell ref="B1:F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_xludf.Expand">
                <anchor moveWithCells="1" sizeWithCells="1">
                  <from>
                    <xdr:col>0</xdr:col>
                    <xdr:colOff>431800</xdr:colOff>
                    <xdr:row>5</xdr:row>
                    <xdr:rowOff>76200</xdr:rowOff>
                  </from>
                  <to>
                    <xdr:col>1</xdr:col>
                    <xdr:colOff>469900</xdr:colOff>
                    <xdr:row>6</xdr:row>
                    <xdr:rowOff>215900</xdr:rowOff>
                  </to>
                </anchor>
              </controlPr>
            </control>
          </mc:Choice>
        </mc:AlternateContent>
        <mc:AlternateContent xmlns:mc="http://schemas.openxmlformats.org/markup-compatibility/2006">
          <mc:Choice Requires="x14">
            <control shapeId="5122" r:id="rId4" name="Button 2">
              <controlPr defaultSize="0" print="0" autoFill="0" autoPict="0" macro="[0]!Collapse">
                <anchor moveWithCells="1" sizeWithCells="1">
                  <from>
                    <xdr:col>1</xdr:col>
                    <xdr:colOff>711200</xdr:colOff>
                    <xdr:row>5</xdr:row>
                    <xdr:rowOff>76200</xdr:rowOff>
                  </from>
                  <to>
                    <xdr:col>1</xdr:col>
                    <xdr:colOff>1358900</xdr:colOff>
                    <xdr:row>6</xdr:row>
                    <xdr:rowOff>215900</xdr:rowOff>
                  </to>
                </anchor>
              </controlPr>
            </control>
          </mc:Choice>
        </mc:AlternateContent>
        <mc:AlternateContent xmlns:mc="http://schemas.openxmlformats.org/markup-compatibility/2006">
          <mc:Choice Requires="x14">
            <control shapeId="5123" r:id="rId5" name="Button 3">
              <controlPr defaultSize="0" print="0" autoFill="0" autoPict="0" macro="[0]!Copy_to_Burn">
                <anchor moveWithCells="1" sizeWithCells="1">
                  <from>
                    <xdr:col>8</xdr:col>
                    <xdr:colOff>393700</xdr:colOff>
                    <xdr:row>2</xdr:row>
                    <xdr:rowOff>368300</xdr:rowOff>
                  </from>
                  <to>
                    <xdr:col>10</xdr:col>
                    <xdr:colOff>520700</xdr:colOff>
                    <xdr:row>4</xdr:row>
                    <xdr:rowOff>254000</xdr:rowOff>
                  </to>
                </anchor>
              </controlPr>
            </control>
          </mc:Choice>
        </mc:AlternateContent>
        <mc:AlternateContent xmlns:mc="http://schemas.openxmlformats.org/markup-compatibility/2006">
          <mc:Choice Requires="x14">
            <control shapeId="5125" r:id="rId6" name="Button 5">
              <controlPr defaultSize="0" print="0" autoFill="0" autoPict="0" macro="[0]!Clear_PL">
                <anchor moveWithCells="1" sizeWithCells="1">
                  <from>
                    <xdr:col>13</xdr:col>
                    <xdr:colOff>88900</xdr:colOff>
                    <xdr:row>0</xdr:row>
                    <xdr:rowOff>114300</xdr:rowOff>
                  </from>
                  <to>
                    <xdr:col>14</xdr:col>
                    <xdr:colOff>0</xdr:colOff>
                    <xdr:row>0</xdr:row>
                    <xdr:rowOff>622300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4A11F-AC15-4441-9080-0850E08117FC}">
  <sheetPr codeName="Sheet4"/>
  <dimension ref="C1:BW40"/>
  <sheetViews>
    <sheetView topLeftCell="A21" workbookViewId="0">
      <selection activeCell="E53" sqref="E53"/>
    </sheetView>
  </sheetViews>
  <sheetFormatPr baseColWidth="10" defaultColWidth="8.83203125" defaultRowHeight="15" x14ac:dyDescent="0.2"/>
  <cols>
    <col min="3" max="3" width="20.1640625" bestFit="1" customWidth="1"/>
    <col min="4" max="4" width="13.83203125" bestFit="1" customWidth="1"/>
    <col min="5" max="10" width="12.5" bestFit="1" customWidth="1"/>
    <col min="11" max="11" width="11.5" bestFit="1" customWidth="1"/>
    <col min="12" max="13" width="12.5" bestFit="1" customWidth="1"/>
    <col min="14" max="15" width="11.5" bestFit="1" customWidth="1"/>
    <col min="16" max="16" width="17.5" bestFit="1" customWidth="1"/>
    <col min="17" max="20" width="12.5" bestFit="1" customWidth="1"/>
    <col min="21" max="30" width="11.5" bestFit="1" customWidth="1"/>
    <col min="31" max="40" width="12.5" bestFit="1" customWidth="1"/>
    <col min="41" max="59" width="14.33203125" bestFit="1" customWidth="1"/>
    <col min="60" max="75" width="15.33203125" bestFit="1" customWidth="1"/>
  </cols>
  <sheetData>
    <row r="1" spans="3:75" x14ac:dyDescent="0.2">
      <c r="D1" s="13"/>
    </row>
    <row r="2" spans="3:75" x14ac:dyDescent="0.2">
      <c r="D2" s="21"/>
    </row>
    <row r="3" spans="3:75" x14ac:dyDescent="0.2">
      <c r="D3" s="13"/>
    </row>
    <row r="4" spans="3:75" ht="16" thickBot="1" x14ac:dyDescent="0.25">
      <c r="D4">
        <v>1</v>
      </c>
      <c r="E4">
        <v>2</v>
      </c>
      <c r="F4">
        <v>3</v>
      </c>
      <c r="G4">
        <v>4</v>
      </c>
      <c r="H4">
        <v>5</v>
      </c>
      <c r="I4">
        <v>6</v>
      </c>
      <c r="J4">
        <v>7</v>
      </c>
      <c r="K4">
        <v>8</v>
      </c>
      <c r="L4">
        <v>9</v>
      </c>
      <c r="M4">
        <v>10</v>
      </c>
      <c r="N4">
        <v>11</v>
      </c>
      <c r="O4">
        <v>12</v>
      </c>
      <c r="P4">
        <v>13</v>
      </c>
      <c r="Q4">
        <v>14</v>
      </c>
      <c r="R4">
        <v>15</v>
      </c>
      <c r="S4">
        <v>16</v>
      </c>
      <c r="T4">
        <v>17</v>
      </c>
      <c r="U4">
        <v>18</v>
      </c>
      <c r="V4">
        <v>19</v>
      </c>
      <c r="W4">
        <v>20</v>
      </c>
      <c r="X4">
        <v>21</v>
      </c>
      <c r="Y4">
        <v>22</v>
      </c>
      <c r="Z4">
        <v>23</v>
      </c>
      <c r="AA4">
        <v>24</v>
      </c>
      <c r="AB4">
        <v>25</v>
      </c>
      <c r="AC4">
        <v>26</v>
      </c>
      <c r="AD4">
        <v>27</v>
      </c>
      <c r="AE4">
        <v>28</v>
      </c>
      <c r="AF4">
        <v>29</v>
      </c>
      <c r="AG4">
        <v>30</v>
      </c>
      <c r="AH4">
        <v>31</v>
      </c>
      <c r="AI4">
        <v>32</v>
      </c>
      <c r="AJ4">
        <v>33</v>
      </c>
      <c r="AK4">
        <v>34</v>
      </c>
      <c r="AL4">
        <v>35</v>
      </c>
      <c r="AM4">
        <v>36</v>
      </c>
      <c r="AN4">
        <v>37</v>
      </c>
      <c r="AO4">
        <v>38</v>
      </c>
      <c r="AP4">
        <v>39</v>
      </c>
      <c r="AQ4">
        <v>40</v>
      </c>
      <c r="AR4">
        <v>41</v>
      </c>
      <c r="AS4">
        <v>42</v>
      </c>
      <c r="AT4">
        <v>43</v>
      </c>
      <c r="AU4">
        <v>44</v>
      </c>
      <c r="AV4">
        <v>45</v>
      </c>
      <c r="AW4">
        <v>46</v>
      </c>
      <c r="AX4">
        <v>47</v>
      </c>
      <c r="AY4">
        <v>48</v>
      </c>
      <c r="AZ4">
        <v>49</v>
      </c>
      <c r="BA4">
        <v>50</v>
      </c>
      <c r="BB4">
        <v>51</v>
      </c>
      <c r="BC4">
        <v>52</v>
      </c>
      <c r="BD4">
        <v>53</v>
      </c>
      <c r="BE4">
        <v>54</v>
      </c>
      <c r="BF4">
        <v>55</v>
      </c>
      <c r="BG4">
        <v>56</v>
      </c>
      <c r="BH4">
        <v>57</v>
      </c>
      <c r="BI4">
        <v>58</v>
      </c>
      <c r="BJ4">
        <v>59</v>
      </c>
      <c r="BK4">
        <v>60</v>
      </c>
      <c r="BL4">
        <v>61</v>
      </c>
      <c r="BM4">
        <v>62</v>
      </c>
      <c r="BN4">
        <v>63</v>
      </c>
      <c r="BO4">
        <v>64</v>
      </c>
      <c r="BP4">
        <v>65</v>
      </c>
      <c r="BQ4">
        <v>66</v>
      </c>
      <c r="BR4">
        <v>67</v>
      </c>
      <c r="BS4">
        <v>68</v>
      </c>
      <c r="BT4">
        <v>69</v>
      </c>
      <c r="BU4">
        <v>70</v>
      </c>
      <c r="BV4">
        <v>71</v>
      </c>
      <c r="BW4">
        <v>72</v>
      </c>
    </row>
    <row r="5" spans="3:75" ht="16" thickBot="1" x14ac:dyDescent="0.25">
      <c r="D5" s="14">
        <f>+'2.Detailed Cash Burn (Optional)'!D10</f>
        <v>46143</v>
      </c>
      <c r="E5" s="15">
        <f>+'2.Detailed Cash Burn (Optional)'!E10</f>
        <v>46174</v>
      </c>
      <c r="F5" s="15">
        <f>+'2.Detailed Cash Burn (Optional)'!F10</f>
        <v>46204</v>
      </c>
      <c r="G5" s="15">
        <f>+'2.Detailed Cash Burn (Optional)'!G10</f>
        <v>46235</v>
      </c>
      <c r="H5" s="15">
        <f>+'2.Detailed Cash Burn (Optional)'!H10</f>
        <v>46266</v>
      </c>
      <c r="I5" s="15">
        <f>+'2.Detailed Cash Burn (Optional)'!I10</f>
        <v>46296</v>
      </c>
      <c r="J5" s="15">
        <f>+'2.Detailed Cash Burn (Optional)'!J10</f>
        <v>46327</v>
      </c>
      <c r="K5" s="15">
        <f>+'2.Detailed Cash Burn (Optional)'!K10</f>
        <v>46357</v>
      </c>
      <c r="L5" s="15">
        <f>+'2.Detailed Cash Burn (Optional)'!L10</f>
        <v>46388</v>
      </c>
      <c r="M5" s="15">
        <f>+'2.Detailed Cash Burn (Optional)'!M10</f>
        <v>46419</v>
      </c>
      <c r="N5" s="15">
        <f>+'2.Detailed Cash Burn (Optional)'!N10</f>
        <v>46447</v>
      </c>
      <c r="O5" s="15">
        <f>+'2.Detailed Cash Burn (Optional)'!O10</f>
        <v>46478</v>
      </c>
      <c r="P5" s="15">
        <f>+'2.Detailed Cash Burn (Optional)'!P10</f>
        <v>46508</v>
      </c>
      <c r="Q5" s="15">
        <f>+'2.Detailed Cash Burn (Optional)'!Q10</f>
        <v>46539</v>
      </c>
      <c r="R5" s="15">
        <f>+'2.Detailed Cash Burn (Optional)'!R10</f>
        <v>46569</v>
      </c>
      <c r="S5" s="15">
        <f>+'2.Detailed Cash Burn (Optional)'!S10</f>
        <v>46600</v>
      </c>
      <c r="T5" s="15">
        <f>+'2.Detailed Cash Burn (Optional)'!T10</f>
        <v>46631</v>
      </c>
      <c r="U5" s="15">
        <f>+'2.Detailed Cash Burn (Optional)'!U10</f>
        <v>46661</v>
      </c>
      <c r="V5" s="15">
        <f>+'2.Detailed Cash Burn (Optional)'!V10</f>
        <v>46692</v>
      </c>
      <c r="W5" s="15">
        <f>+'2.Detailed Cash Burn (Optional)'!W10</f>
        <v>46722</v>
      </c>
      <c r="X5" s="15">
        <f>+'2.Detailed Cash Burn (Optional)'!X10</f>
        <v>46753</v>
      </c>
      <c r="Y5" s="15">
        <f>+'2.Detailed Cash Burn (Optional)'!Y10</f>
        <v>46784</v>
      </c>
      <c r="Z5" s="15">
        <f>+'2.Detailed Cash Burn (Optional)'!Z10</f>
        <v>46813</v>
      </c>
      <c r="AA5" s="15">
        <f>+'2.Detailed Cash Burn (Optional)'!AA10</f>
        <v>46844</v>
      </c>
      <c r="AB5" s="15">
        <f>+'2.Detailed Cash Burn (Optional)'!AB10</f>
        <v>46874</v>
      </c>
      <c r="AC5" s="15">
        <f>+'2.Detailed Cash Burn (Optional)'!AC10</f>
        <v>46905</v>
      </c>
      <c r="AD5" s="15">
        <f>+'2.Detailed Cash Burn (Optional)'!AD10</f>
        <v>46935</v>
      </c>
      <c r="AE5" s="15">
        <f>+'2.Detailed Cash Burn (Optional)'!AE10</f>
        <v>46966</v>
      </c>
      <c r="AF5" s="15">
        <f>+'2.Detailed Cash Burn (Optional)'!AF10</f>
        <v>46997</v>
      </c>
      <c r="AG5" s="15">
        <f>+'2.Detailed Cash Burn (Optional)'!AG10</f>
        <v>47027</v>
      </c>
      <c r="AH5" s="15">
        <f>+'2.Detailed Cash Burn (Optional)'!AH10</f>
        <v>47058</v>
      </c>
      <c r="AI5" s="15">
        <f>+'2.Detailed Cash Burn (Optional)'!AI10</f>
        <v>47088</v>
      </c>
      <c r="AJ5" s="15">
        <f>+'2.Detailed Cash Burn (Optional)'!AJ10</f>
        <v>47119</v>
      </c>
      <c r="AK5" s="15">
        <f>+'2.Detailed Cash Burn (Optional)'!AK10</f>
        <v>47150</v>
      </c>
      <c r="AL5" s="15">
        <f>+'2.Detailed Cash Burn (Optional)'!AL10</f>
        <v>47178</v>
      </c>
      <c r="AM5" s="15">
        <f>+'2.Detailed Cash Burn (Optional)'!AM10</f>
        <v>47209</v>
      </c>
      <c r="AN5" s="15">
        <f>+'2.Detailed Cash Burn (Optional)'!AN10</f>
        <v>47239</v>
      </c>
      <c r="AO5" s="15">
        <f>+'2.Detailed Cash Burn (Optional)'!AO10</f>
        <v>47270</v>
      </c>
      <c r="AP5" s="15">
        <f>+'2.Detailed Cash Burn (Optional)'!AP10</f>
        <v>47300</v>
      </c>
      <c r="AQ5" s="15">
        <f>+'2.Detailed Cash Burn (Optional)'!AQ10</f>
        <v>47331</v>
      </c>
      <c r="AR5" s="15">
        <f>+'2.Detailed Cash Burn (Optional)'!AR10</f>
        <v>47362</v>
      </c>
      <c r="AS5" s="15">
        <f>+'2.Detailed Cash Burn (Optional)'!AS10</f>
        <v>47392</v>
      </c>
      <c r="AT5" s="15">
        <f>+'2.Detailed Cash Burn (Optional)'!AT10</f>
        <v>47423</v>
      </c>
      <c r="AU5" s="15">
        <f>+'2.Detailed Cash Burn (Optional)'!AU10</f>
        <v>47453</v>
      </c>
      <c r="AV5" s="15">
        <f>+'2.Detailed Cash Burn (Optional)'!AV10</f>
        <v>47484</v>
      </c>
      <c r="AW5" s="15">
        <f>+'2.Detailed Cash Burn (Optional)'!AW10</f>
        <v>47515</v>
      </c>
      <c r="AX5" s="15">
        <f>+'2.Detailed Cash Burn (Optional)'!AX10</f>
        <v>47543</v>
      </c>
      <c r="AY5" s="15">
        <f>+'2.Detailed Cash Burn (Optional)'!AY10</f>
        <v>47574</v>
      </c>
      <c r="AZ5" s="15">
        <f>+'2.Detailed Cash Burn (Optional)'!AZ10</f>
        <v>47604</v>
      </c>
      <c r="BA5" s="15">
        <f>+'2.Detailed Cash Burn (Optional)'!BA10</f>
        <v>47635</v>
      </c>
      <c r="BB5" s="15">
        <f>+'2.Detailed Cash Burn (Optional)'!BB10</f>
        <v>47665</v>
      </c>
      <c r="BC5" s="15">
        <f>+'2.Detailed Cash Burn (Optional)'!BC10</f>
        <v>47696</v>
      </c>
      <c r="BD5" s="15">
        <f>+'2.Detailed Cash Burn (Optional)'!BD10</f>
        <v>47727</v>
      </c>
      <c r="BE5" s="15">
        <f>+'2.Detailed Cash Burn (Optional)'!BE10</f>
        <v>47757</v>
      </c>
      <c r="BF5" s="15">
        <f>+'2.Detailed Cash Burn (Optional)'!BF10</f>
        <v>47788</v>
      </c>
      <c r="BG5" s="15">
        <f>+'2.Detailed Cash Burn (Optional)'!BG10</f>
        <v>47818</v>
      </c>
      <c r="BH5" s="15">
        <f>+'2.Detailed Cash Burn (Optional)'!BH10</f>
        <v>47849</v>
      </c>
      <c r="BI5" s="15">
        <f>+'2.Detailed Cash Burn (Optional)'!BI10</f>
        <v>47880</v>
      </c>
      <c r="BJ5" s="15">
        <f>+'2.Detailed Cash Burn (Optional)'!BJ10</f>
        <v>47908</v>
      </c>
      <c r="BK5" s="15">
        <f>+'2.Detailed Cash Burn (Optional)'!BK10</f>
        <v>47939</v>
      </c>
      <c r="BL5" s="15">
        <f>+'2.Detailed Cash Burn (Optional)'!BL10</f>
        <v>47969</v>
      </c>
      <c r="BM5" s="15">
        <f>+'2.Detailed Cash Burn (Optional)'!BM10</f>
        <v>48000</v>
      </c>
      <c r="BN5" s="15">
        <f>+'2.Detailed Cash Burn (Optional)'!BN10</f>
        <v>48030</v>
      </c>
      <c r="BO5" s="15">
        <f>+'2.Detailed Cash Burn (Optional)'!BO10</f>
        <v>48061</v>
      </c>
      <c r="BP5" s="15">
        <f>+'2.Detailed Cash Burn (Optional)'!BP10</f>
        <v>48092</v>
      </c>
      <c r="BQ5" s="15">
        <f>+'2.Detailed Cash Burn (Optional)'!BQ10</f>
        <v>48122</v>
      </c>
      <c r="BR5" s="15">
        <f>+'2.Detailed Cash Burn (Optional)'!BR10</f>
        <v>48153</v>
      </c>
      <c r="BS5" s="15">
        <f>+'2.Detailed Cash Burn (Optional)'!BS10</f>
        <v>48183</v>
      </c>
      <c r="BT5" s="15">
        <f>+'2.Detailed Cash Burn (Optional)'!BT10</f>
        <v>48214</v>
      </c>
      <c r="BU5" s="15">
        <f>+'2.Detailed Cash Burn (Optional)'!BU10</f>
        <v>48245</v>
      </c>
      <c r="BV5" s="15">
        <f>+'2.Detailed Cash Burn (Optional)'!BV10</f>
        <v>48274</v>
      </c>
      <c r="BW5" s="15">
        <f>+'2.Detailed Cash Burn (Optional)'!BW10</f>
        <v>48305</v>
      </c>
    </row>
    <row r="6" spans="3:75" ht="16" thickTop="1" x14ac:dyDescent="0.2">
      <c r="D6" s="22"/>
      <c r="E6" s="22"/>
      <c r="F6" s="22"/>
      <c r="G6" s="22"/>
      <c r="H6" s="22"/>
      <c r="I6" s="22"/>
      <c r="J6" s="22"/>
      <c r="K6" s="22"/>
      <c r="L6" s="22"/>
      <c r="M6" s="22"/>
      <c r="N6" s="22"/>
      <c r="O6" s="22"/>
      <c r="P6" s="22"/>
      <c r="Q6" s="22"/>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2"/>
      <c r="BG6" s="22"/>
      <c r="BH6" s="22"/>
      <c r="BI6" s="22"/>
      <c r="BJ6" s="22"/>
      <c r="BK6" s="22"/>
      <c r="BL6" s="22"/>
      <c r="BM6" s="22"/>
      <c r="BN6" s="22"/>
      <c r="BO6" s="22"/>
      <c r="BP6" s="22"/>
      <c r="BQ6" s="22"/>
      <c r="BR6" s="22"/>
      <c r="BS6" s="22"/>
      <c r="BT6" s="22"/>
      <c r="BU6" s="22"/>
      <c r="BV6" s="22"/>
      <c r="BW6" s="22"/>
    </row>
    <row r="7" spans="3:75" ht="16" thickBot="1" x14ac:dyDescent="0.25">
      <c r="C7" s="23" t="s">
        <v>36</v>
      </c>
      <c r="D7" s="23"/>
      <c r="E7" s="23"/>
      <c r="F7" s="23"/>
      <c r="G7" s="23"/>
      <c r="H7" s="23"/>
      <c r="I7" s="23"/>
      <c r="J7" s="23"/>
      <c r="K7" s="23"/>
      <c r="L7" s="23"/>
      <c r="M7" s="23"/>
      <c r="N7" s="23"/>
      <c r="O7" s="23"/>
      <c r="P7" s="23"/>
      <c r="Q7" s="23"/>
      <c r="R7" s="23"/>
      <c r="S7" s="23"/>
      <c r="T7" s="23"/>
      <c r="U7" s="23"/>
      <c r="V7" s="23"/>
      <c r="W7" s="23"/>
      <c r="X7" s="23"/>
      <c r="Y7" s="23"/>
      <c r="Z7" s="23"/>
      <c r="AA7" s="23"/>
      <c r="AB7" s="23"/>
      <c r="AC7" s="23"/>
      <c r="AD7" s="23"/>
      <c r="AE7" s="23"/>
      <c r="AF7" s="23"/>
      <c r="AG7" s="23"/>
      <c r="AH7" s="23"/>
      <c r="AI7" s="23"/>
      <c r="AJ7" s="23"/>
      <c r="AK7" s="23"/>
      <c r="AL7" s="23"/>
      <c r="AM7" s="23"/>
      <c r="AN7" s="23"/>
      <c r="AO7" s="23"/>
      <c r="AP7" s="23"/>
      <c r="AQ7" s="23"/>
      <c r="AR7" s="23"/>
      <c r="AS7" s="23"/>
      <c r="AT7" s="23"/>
      <c r="AU7" s="23"/>
      <c r="AV7" s="23"/>
      <c r="AW7" s="23"/>
      <c r="AX7" s="23"/>
      <c r="AY7" s="23"/>
      <c r="AZ7" s="23"/>
      <c r="BA7" s="23"/>
      <c r="BB7" s="23"/>
      <c r="BC7" s="23"/>
      <c r="BD7" s="23"/>
      <c r="BE7" s="23"/>
      <c r="BF7" s="23"/>
      <c r="BG7" s="23"/>
      <c r="BH7" s="23"/>
      <c r="BI7" s="23"/>
      <c r="BJ7" s="23"/>
      <c r="BK7" s="23"/>
      <c r="BL7" s="23"/>
      <c r="BM7" s="23"/>
      <c r="BN7" s="23"/>
      <c r="BO7" s="23"/>
      <c r="BP7" s="23"/>
      <c r="BQ7" s="23"/>
      <c r="BR7" s="23"/>
      <c r="BS7" s="23"/>
      <c r="BT7" s="23"/>
      <c r="BU7" s="23"/>
      <c r="BV7" s="23"/>
      <c r="BW7" s="23"/>
    </row>
    <row r="8" spans="3:75" ht="16" thickTop="1" x14ac:dyDescent="0.2">
      <c r="C8" t="s">
        <v>27</v>
      </c>
      <c r="D8" s="24">
        <f>+'1. Calculator'!C8</f>
        <v>500000</v>
      </c>
      <c r="E8" s="24">
        <f t="shared" ref="E8:AJ8" si="0">+D10</f>
        <v>425000</v>
      </c>
      <c r="F8" s="24">
        <f t="shared" si="0"/>
        <v>350000</v>
      </c>
      <c r="G8" s="24">
        <f t="shared" si="0"/>
        <v>275000</v>
      </c>
      <c r="H8" s="24">
        <f t="shared" si="0"/>
        <v>200000</v>
      </c>
      <c r="I8" s="24">
        <f t="shared" si="0"/>
        <v>125000</v>
      </c>
      <c r="J8" s="24">
        <f t="shared" si="0"/>
        <v>50000</v>
      </c>
      <c r="K8" s="24">
        <f t="shared" si="0"/>
        <v>-25000</v>
      </c>
      <c r="L8" s="24">
        <f t="shared" si="0"/>
        <v>-100000</v>
      </c>
      <c r="M8" s="24">
        <f t="shared" si="0"/>
        <v>-175000</v>
      </c>
      <c r="N8" s="24">
        <f t="shared" si="0"/>
        <v>-250000</v>
      </c>
      <c r="O8" s="24">
        <f t="shared" si="0"/>
        <v>-325000</v>
      </c>
      <c r="P8" s="24">
        <f t="shared" si="0"/>
        <v>-400000</v>
      </c>
      <c r="Q8" s="24">
        <f t="shared" si="0"/>
        <v>-525000</v>
      </c>
      <c r="R8" s="24">
        <f t="shared" si="0"/>
        <v>-650000</v>
      </c>
      <c r="S8" s="24">
        <f t="shared" si="0"/>
        <v>-775000</v>
      </c>
      <c r="T8" s="24">
        <f t="shared" si="0"/>
        <v>-900000</v>
      </c>
      <c r="U8" s="24">
        <f t="shared" si="0"/>
        <v>-1025000</v>
      </c>
      <c r="V8" s="24">
        <f t="shared" si="0"/>
        <v>-1150000</v>
      </c>
      <c r="W8" s="24">
        <f t="shared" si="0"/>
        <v>-1275000</v>
      </c>
      <c r="X8" s="24">
        <f t="shared" si="0"/>
        <v>-1400000</v>
      </c>
      <c r="Y8" s="24">
        <f t="shared" si="0"/>
        <v>-1525000</v>
      </c>
      <c r="Z8" s="24">
        <f t="shared" si="0"/>
        <v>-1650000</v>
      </c>
      <c r="AA8" s="24">
        <f t="shared" si="0"/>
        <v>-1775000</v>
      </c>
      <c r="AB8" s="24">
        <f t="shared" si="0"/>
        <v>-1900000</v>
      </c>
      <c r="AC8" s="24">
        <f t="shared" si="0"/>
        <v>-1980000</v>
      </c>
      <c r="AD8" s="24">
        <f t="shared" si="0"/>
        <v>-2060000</v>
      </c>
      <c r="AE8" s="24">
        <f t="shared" si="0"/>
        <v>-2140000</v>
      </c>
      <c r="AF8" s="24">
        <f t="shared" si="0"/>
        <v>-2220000</v>
      </c>
      <c r="AG8" s="24">
        <f t="shared" si="0"/>
        <v>-2300000</v>
      </c>
      <c r="AH8" s="24">
        <f t="shared" si="0"/>
        <v>-2380000</v>
      </c>
      <c r="AI8" s="24">
        <f t="shared" si="0"/>
        <v>-2460000</v>
      </c>
      <c r="AJ8" s="24">
        <f t="shared" si="0"/>
        <v>-2540000</v>
      </c>
      <c r="AK8" s="24">
        <f t="shared" ref="AK8:BP8" si="1">+AJ10</f>
        <v>-2620000</v>
      </c>
      <c r="AL8" s="24">
        <f t="shared" si="1"/>
        <v>-2700000</v>
      </c>
      <c r="AM8" s="24">
        <f t="shared" si="1"/>
        <v>-2780000</v>
      </c>
      <c r="AN8" s="24">
        <f t="shared" si="1"/>
        <v>-2860000</v>
      </c>
      <c r="AO8" s="24">
        <f t="shared" si="1"/>
        <v>-2940000</v>
      </c>
      <c r="AP8" s="24">
        <f t="shared" si="1"/>
        <v>-3020000</v>
      </c>
      <c r="AQ8" s="24">
        <f t="shared" si="1"/>
        <v>-3100000</v>
      </c>
      <c r="AR8" s="24">
        <f t="shared" si="1"/>
        <v>-3180000</v>
      </c>
      <c r="AS8" s="24">
        <f t="shared" si="1"/>
        <v>-3260000</v>
      </c>
      <c r="AT8" s="24">
        <f t="shared" si="1"/>
        <v>-3340000</v>
      </c>
      <c r="AU8" s="24">
        <f t="shared" si="1"/>
        <v>-3420000</v>
      </c>
      <c r="AV8" s="24">
        <f t="shared" si="1"/>
        <v>-3500000</v>
      </c>
      <c r="AW8" s="24">
        <f t="shared" si="1"/>
        <v>-3580000</v>
      </c>
      <c r="AX8" s="24">
        <f t="shared" si="1"/>
        <v>-3660000</v>
      </c>
      <c r="AY8" s="24">
        <f t="shared" si="1"/>
        <v>-3740000</v>
      </c>
      <c r="AZ8" s="24">
        <f t="shared" si="1"/>
        <v>-3820000</v>
      </c>
      <c r="BA8" s="24">
        <f t="shared" si="1"/>
        <v>-3900000</v>
      </c>
      <c r="BB8" s="24">
        <f t="shared" si="1"/>
        <v>-3980000</v>
      </c>
      <c r="BC8" s="24">
        <f t="shared" si="1"/>
        <v>-4060000</v>
      </c>
      <c r="BD8" s="24">
        <f t="shared" si="1"/>
        <v>-4140000</v>
      </c>
      <c r="BE8" s="24">
        <f t="shared" si="1"/>
        <v>-4220000</v>
      </c>
      <c r="BF8" s="24">
        <f t="shared" si="1"/>
        <v>-4300000</v>
      </c>
      <c r="BG8" s="24">
        <f t="shared" si="1"/>
        <v>-4380000</v>
      </c>
      <c r="BH8" s="24">
        <f t="shared" si="1"/>
        <v>-4460000</v>
      </c>
      <c r="BI8" s="24">
        <f t="shared" si="1"/>
        <v>-4540000</v>
      </c>
      <c r="BJ8" s="24">
        <f t="shared" si="1"/>
        <v>-4620000</v>
      </c>
      <c r="BK8" s="24">
        <f t="shared" si="1"/>
        <v>-4700000</v>
      </c>
      <c r="BL8" s="24">
        <f t="shared" si="1"/>
        <v>-4780000</v>
      </c>
      <c r="BM8" s="24">
        <f t="shared" si="1"/>
        <v>-4860000</v>
      </c>
      <c r="BN8" s="24">
        <f t="shared" si="1"/>
        <v>-4940000</v>
      </c>
      <c r="BO8" s="24">
        <f t="shared" si="1"/>
        <v>-5020000</v>
      </c>
      <c r="BP8" s="24">
        <f t="shared" si="1"/>
        <v>-5100000</v>
      </c>
      <c r="BQ8" s="24">
        <f t="shared" ref="BQ8:BW8" si="2">+BP10</f>
        <v>-5180000</v>
      </c>
      <c r="BR8" s="24">
        <f t="shared" si="2"/>
        <v>-5260000</v>
      </c>
      <c r="BS8" s="24">
        <f t="shared" si="2"/>
        <v>-5340000</v>
      </c>
      <c r="BT8" s="24">
        <f t="shared" si="2"/>
        <v>-5420000</v>
      </c>
      <c r="BU8" s="24">
        <f t="shared" si="2"/>
        <v>-5500000</v>
      </c>
      <c r="BV8" s="24">
        <f t="shared" si="2"/>
        <v>-5580000</v>
      </c>
      <c r="BW8" s="24">
        <f t="shared" si="2"/>
        <v>-5660000</v>
      </c>
    </row>
    <row r="9" spans="3:75" x14ac:dyDescent="0.2">
      <c r="C9" t="s">
        <v>31</v>
      </c>
      <c r="D9" s="24">
        <f>+IF(COUNTA('2.Detailed Cash Burn (Optional)'!$D$11:$AM$11)=0,'1. Calculator'!$C$14,'2.Detailed Cash Burn (Optional)'!D11*VLOOKUP('1. Calculator'!$C$5,'Assumption Customization'!$B$12:$C$14,2,FALSE))</f>
        <v>-75000</v>
      </c>
      <c r="E9" s="24">
        <f>+IF(COUNTA('2.Detailed Cash Burn (Optional)'!$D$11:$AM$11)=0,'1. Calculator'!$C$14,'2.Detailed Cash Burn (Optional)'!E11*VLOOKUP('1. Calculator'!$C$5,'Assumption Customization'!$B$12:$C$14,2,FALSE))</f>
        <v>-75000</v>
      </c>
      <c r="F9" s="24">
        <f>+IF(COUNTA('2.Detailed Cash Burn (Optional)'!$D$11:$AM$11)=0,'1. Calculator'!$C$14,'2.Detailed Cash Burn (Optional)'!F11*VLOOKUP('1. Calculator'!$C$5,'Assumption Customization'!$B$12:$C$14,2,FALSE))</f>
        <v>-75000</v>
      </c>
      <c r="G9" s="24">
        <f>+IF(COUNTA('2.Detailed Cash Burn (Optional)'!$D$11:$AM$11)=0,'1. Calculator'!$C$14,'2.Detailed Cash Burn (Optional)'!G11*VLOOKUP('1. Calculator'!$C$5,'Assumption Customization'!$B$12:$C$14,2,FALSE))</f>
        <v>-75000</v>
      </c>
      <c r="H9" s="24">
        <f>+IF(COUNTA('2.Detailed Cash Burn (Optional)'!$D$11:$AM$11)=0,'1. Calculator'!$C$14,'2.Detailed Cash Burn (Optional)'!H11*VLOOKUP('1. Calculator'!$C$5,'Assumption Customization'!$B$12:$C$14,2,FALSE))</f>
        <v>-75000</v>
      </c>
      <c r="I9" s="24">
        <f>+IF(COUNTA('2.Detailed Cash Burn (Optional)'!$D$11:$AM$11)=0,'1. Calculator'!$C$14,'2.Detailed Cash Burn (Optional)'!I11*VLOOKUP('1. Calculator'!$C$5,'Assumption Customization'!$B$12:$C$14,2,FALSE))</f>
        <v>-75000</v>
      </c>
      <c r="J9" s="24">
        <f>+IF(COUNTA('2.Detailed Cash Burn (Optional)'!$D$11:$AM$11)=0,'1. Calculator'!$C$14,'2.Detailed Cash Burn (Optional)'!J11*VLOOKUP('1. Calculator'!$C$5,'Assumption Customization'!$B$12:$C$14,2,FALSE))</f>
        <v>-75000</v>
      </c>
      <c r="K9" s="24">
        <f>+IF(COUNTA('2.Detailed Cash Burn (Optional)'!$D$11:$AM$11)=0,'1. Calculator'!$C$14,'2.Detailed Cash Burn (Optional)'!K11*VLOOKUP('1. Calculator'!$C$5,'Assumption Customization'!$B$12:$C$14,2,FALSE))</f>
        <v>-75000</v>
      </c>
      <c r="L9" s="24">
        <f>+IF(COUNTA('2.Detailed Cash Burn (Optional)'!$D$11:$AM$11)=0,'1. Calculator'!$C$14,'2.Detailed Cash Burn (Optional)'!L11*VLOOKUP('1. Calculator'!$C$5,'Assumption Customization'!$B$12:$C$14,2,FALSE))</f>
        <v>-75000</v>
      </c>
      <c r="M9" s="24">
        <f>+IF(COUNTA('2.Detailed Cash Burn (Optional)'!$D$11:$AM$11)=0,'1. Calculator'!$C$14,'2.Detailed Cash Burn (Optional)'!M11*VLOOKUP('1. Calculator'!$C$5,'Assumption Customization'!$B$12:$C$14,2,FALSE))</f>
        <v>-75000</v>
      </c>
      <c r="N9" s="24">
        <f>+IF(COUNTA('2.Detailed Cash Burn (Optional)'!$D$11:$AM$11)=0,'1. Calculator'!$C$14,'2.Detailed Cash Burn (Optional)'!N11*VLOOKUP('1. Calculator'!$C$5,'Assumption Customization'!$B$12:$C$14,2,FALSE))</f>
        <v>-75000</v>
      </c>
      <c r="O9" s="24">
        <f>+IF(COUNTA('2.Detailed Cash Burn (Optional)'!$D$11:$AM$11)=0,'1. Calculator'!$C$14,'2.Detailed Cash Burn (Optional)'!O11*VLOOKUP('1. Calculator'!$C$5,'Assumption Customization'!$B$12:$C$14,2,FALSE))</f>
        <v>-75000</v>
      </c>
      <c r="P9" s="24">
        <f>+IF(COUNTA('2.Detailed Cash Burn (Optional)'!$D$11:$AM$11)=0,'1. Calculator'!$C$15,'2.Detailed Cash Burn (Optional)'!P11*VLOOKUP('1. Calculator'!$C$5,'Assumption Customization'!$B$12:$C$14,2,FALSE))</f>
        <v>-125000</v>
      </c>
      <c r="Q9" s="24">
        <f>+IF(COUNTA('2.Detailed Cash Burn (Optional)'!$D$11:$AM$11)=0,'1. Calculator'!$C$15,'2.Detailed Cash Burn (Optional)'!Q11*VLOOKUP('1. Calculator'!$C$5,'Assumption Customization'!$B$12:$C$14,2,FALSE))</f>
        <v>-125000</v>
      </c>
      <c r="R9" s="24">
        <f>+IF(COUNTA('2.Detailed Cash Burn (Optional)'!$D$11:$AM$11)=0,'1. Calculator'!$C$15,'2.Detailed Cash Burn (Optional)'!R11*VLOOKUP('1. Calculator'!$C$5,'Assumption Customization'!$B$12:$C$14,2,FALSE))</f>
        <v>-125000</v>
      </c>
      <c r="S9" s="24">
        <f>+IF(COUNTA('2.Detailed Cash Burn (Optional)'!$D$11:$AM$11)=0,'1. Calculator'!$C$15,'2.Detailed Cash Burn (Optional)'!S11*VLOOKUP('1. Calculator'!$C$5,'Assumption Customization'!$B$12:$C$14,2,FALSE))</f>
        <v>-125000</v>
      </c>
      <c r="T9" s="24">
        <f>+IF(COUNTA('2.Detailed Cash Burn (Optional)'!$D$11:$AM$11)=0,'1. Calculator'!$C$15,'2.Detailed Cash Burn (Optional)'!T11*VLOOKUP('1. Calculator'!$C$5,'Assumption Customization'!$B$12:$C$14,2,FALSE))</f>
        <v>-125000</v>
      </c>
      <c r="U9" s="24">
        <f>+IF(COUNTA('2.Detailed Cash Burn (Optional)'!$D$11:$AM$11)=0,'1. Calculator'!$C$15,'2.Detailed Cash Burn (Optional)'!U11*VLOOKUP('1. Calculator'!$C$5,'Assumption Customization'!$B$12:$C$14,2,FALSE))</f>
        <v>-125000</v>
      </c>
      <c r="V9" s="24">
        <f>+IF(COUNTA('2.Detailed Cash Burn (Optional)'!$D$11:$AM$11)=0,'1. Calculator'!$C$15,'2.Detailed Cash Burn (Optional)'!V11*VLOOKUP('1. Calculator'!$C$5,'Assumption Customization'!$B$12:$C$14,2,FALSE))</f>
        <v>-125000</v>
      </c>
      <c r="W9" s="24">
        <f>+IF(COUNTA('2.Detailed Cash Burn (Optional)'!$D$11:$AM$11)=0,'1. Calculator'!$C$15,'2.Detailed Cash Burn (Optional)'!W11*VLOOKUP('1. Calculator'!$C$5,'Assumption Customization'!$B$12:$C$14,2,FALSE))</f>
        <v>-125000</v>
      </c>
      <c r="X9" s="24">
        <f>+IF(COUNTA('2.Detailed Cash Burn (Optional)'!$D$11:$AM$11)=0,'1. Calculator'!$C$15,'2.Detailed Cash Burn (Optional)'!X11*VLOOKUP('1. Calculator'!$C$5,'Assumption Customization'!$B$12:$C$14,2,FALSE))</f>
        <v>-125000</v>
      </c>
      <c r="Y9" s="24">
        <f>+IF(COUNTA('2.Detailed Cash Burn (Optional)'!$D$11:$AM$11)=0,'1. Calculator'!$C$15,'2.Detailed Cash Burn (Optional)'!Y11*VLOOKUP('1. Calculator'!$C$5,'Assumption Customization'!$B$12:$C$14,2,FALSE))</f>
        <v>-125000</v>
      </c>
      <c r="Z9" s="24">
        <f>+IF(COUNTA('2.Detailed Cash Burn (Optional)'!$D$11:$AM$11)=0,'1. Calculator'!$C$15,'2.Detailed Cash Burn (Optional)'!Z11*VLOOKUP('1. Calculator'!$C$5,'Assumption Customization'!$B$12:$C$14,2,FALSE))</f>
        <v>-125000</v>
      </c>
      <c r="AA9" s="24">
        <f>+IF(COUNTA('2.Detailed Cash Burn (Optional)'!$D$11:$AM$11)=0,'1. Calculator'!$C$15,'2.Detailed Cash Burn (Optional)'!AA11*VLOOKUP('1. Calculator'!$C$5,'Assumption Customization'!$B$12:$C$14,2,FALSE))</f>
        <v>-125000</v>
      </c>
      <c r="AB9" s="24">
        <f>+IF(COUNTA('2.Detailed Cash Burn (Optional)'!$D$11:$AM$11)=0,'1. Calculator'!$C$16,'2.Detailed Cash Burn (Optional)'!AB11*VLOOKUP('1. Calculator'!$C$5,'Assumption Customization'!$B$12:$C$14,2,FALSE))</f>
        <v>-80000</v>
      </c>
      <c r="AC9" s="24">
        <f>+IF(COUNTA('2.Detailed Cash Burn (Optional)'!$D$11:$AM$11)=0,'1. Calculator'!$C$16,'2.Detailed Cash Burn (Optional)'!AC11*VLOOKUP('1. Calculator'!$C$5,'Assumption Customization'!$B$12:$C$14,2,FALSE))</f>
        <v>-80000</v>
      </c>
      <c r="AD9" s="24">
        <f>+IF(COUNTA('2.Detailed Cash Burn (Optional)'!$D$11:$AM$11)=0,'1. Calculator'!$C$16,'2.Detailed Cash Burn (Optional)'!AD11*VLOOKUP('1. Calculator'!$C$5,'Assumption Customization'!$B$12:$C$14,2,FALSE))</f>
        <v>-80000</v>
      </c>
      <c r="AE9" s="24">
        <f>+IF(COUNTA('2.Detailed Cash Burn (Optional)'!$D$11:$AM$11)=0,'1. Calculator'!$C$16,'2.Detailed Cash Burn (Optional)'!AE11*VLOOKUP('1. Calculator'!$C$5,'Assumption Customization'!$B$12:$C$14,2,FALSE))</f>
        <v>-80000</v>
      </c>
      <c r="AF9" s="24">
        <f>+IF(COUNTA('2.Detailed Cash Burn (Optional)'!$D$11:$AM$11)=0,'1. Calculator'!$C$16,'2.Detailed Cash Burn (Optional)'!AF11*VLOOKUP('1. Calculator'!$C$5,'Assumption Customization'!$B$12:$C$14,2,FALSE))</f>
        <v>-80000</v>
      </c>
      <c r="AG9" s="24">
        <f>+IF(COUNTA('2.Detailed Cash Burn (Optional)'!$D$11:$AM$11)=0,'1. Calculator'!$C$16,'2.Detailed Cash Burn (Optional)'!AG11*VLOOKUP('1. Calculator'!$C$5,'Assumption Customization'!$B$12:$C$14,2,FALSE))</f>
        <v>-80000</v>
      </c>
      <c r="AH9" s="24">
        <f>+IF(COUNTA('2.Detailed Cash Burn (Optional)'!$D$11:$AM$11)=0,'1. Calculator'!$C$16,'2.Detailed Cash Burn (Optional)'!AH11*VLOOKUP('1. Calculator'!$C$5,'Assumption Customization'!$B$12:$C$14,2,FALSE))</f>
        <v>-80000</v>
      </c>
      <c r="AI9" s="24">
        <f>+IF(COUNTA('2.Detailed Cash Burn (Optional)'!$D$11:$AM$11)=0,'1. Calculator'!$C$16,'2.Detailed Cash Burn (Optional)'!AI11*VLOOKUP('1. Calculator'!$C$5,'Assumption Customization'!$B$12:$C$14,2,FALSE))</f>
        <v>-80000</v>
      </c>
      <c r="AJ9" s="24">
        <f>+IF(COUNTA('2.Detailed Cash Burn (Optional)'!$D$11:$AM$11)=0,'1. Calculator'!$C$16,'2.Detailed Cash Burn (Optional)'!AJ11*VLOOKUP('1. Calculator'!$C$5,'Assumption Customization'!$B$12:$C$14,2,FALSE))</f>
        <v>-80000</v>
      </c>
      <c r="AK9" s="24">
        <f>+IF(COUNTA('2.Detailed Cash Burn (Optional)'!$D$11:$AM$11)=0,'1. Calculator'!$C$16,'2.Detailed Cash Burn (Optional)'!AK11*VLOOKUP('1. Calculator'!$C$5,'Assumption Customization'!$B$12:$C$14,2,FALSE))</f>
        <v>-80000</v>
      </c>
      <c r="AL9" s="24">
        <f>+IF(COUNTA('2.Detailed Cash Burn (Optional)'!$D$11:$AM$11)=0,'1. Calculator'!$C$16,'2.Detailed Cash Burn (Optional)'!AL11*VLOOKUP('1. Calculator'!$C$5,'Assumption Customization'!$B$12:$C$14,2,FALSE))</f>
        <v>-80000</v>
      </c>
      <c r="AM9" s="24">
        <f>+IF(COUNTA('2.Detailed Cash Burn (Optional)'!$D$11:$AM$11)=0,'1. Calculator'!$C$16,'2.Detailed Cash Burn (Optional)'!AM11*VLOOKUP('1. Calculator'!$C$5,'Assumption Customization'!$B$12:$C$14,2,FALSE))</f>
        <v>-80000</v>
      </c>
      <c r="AN9" s="24">
        <f>+IF(COUNTA('2.Detailed Cash Burn (Optional)'!$D$11:$AM$11)=0,'1. Calculator'!$C$16,'2.Detailed Cash Burn (Optional)'!AN11*VLOOKUP('1. Calculator'!$C$5,'Assumption Customization'!$B$12:$C$14,2,FALSE))</f>
        <v>-80000</v>
      </c>
      <c r="AO9" s="24">
        <f>+IF(COUNTA('2.Detailed Cash Burn (Optional)'!$D$11:$AM$11)=0,'1. Calculator'!$C$16,'2.Detailed Cash Burn (Optional)'!AO11*VLOOKUP('1. Calculator'!$C$5,'Assumption Customization'!$B$12:$C$14,2,FALSE))</f>
        <v>-80000</v>
      </c>
      <c r="AP9" s="24">
        <f>+IF(COUNTA('2.Detailed Cash Burn (Optional)'!$D$11:$AM$11)=0,'1. Calculator'!$C$16,'2.Detailed Cash Burn (Optional)'!AP11*VLOOKUP('1. Calculator'!$C$5,'Assumption Customization'!$B$12:$C$14,2,FALSE))</f>
        <v>-80000</v>
      </c>
      <c r="AQ9" s="24">
        <f>+IF(COUNTA('2.Detailed Cash Burn (Optional)'!$D$11:$AM$11)=0,'1. Calculator'!$C$16,'2.Detailed Cash Burn (Optional)'!AQ11*VLOOKUP('1. Calculator'!$C$5,'Assumption Customization'!$B$12:$C$14,2,FALSE))</f>
        <v>-80000</v>
      </c>
      <c r="AR9" s="24">
        <f>+IF(COUNTA('2.Detailed Cash Burn (Optional)'!$D$11:$AM$11)=0,'1. Calculator'!$C$16,'2.Detailed Cash Burn (Optional)'!AR11*VLOOKUP('1. Calculator'!$C$5,'Assumption Customization'!$B$12:$C$14,2,FALSE))</f>
        <v>-80000</v>
      </c>
      <c r="AS9" s="24">
        <f>+IF(COUNTA('2.Detailed Cash Burn (Optional)'!$D$11:$AM$11)=0,'1. Calculator'!$C$16,'2.Detailed Cash Burn (Optional)'!AS11*VLOOKUP('1. Calculator'!$C$5,'Assumption Customization'!$B$12:$C$14,2,FALSE))</f>
        <v>-80000</v>
      </c>
      <c r="AT9" s="24">
        <f>+IF(COUNTA('2.Detailed Cash Burn (Optional)'!$D$11:$AM$11)=0,'1. Calculator'!$C$16,'2.Detailed Cash Burn (Optional)'!AT11*VLOOKUP('1. Calculator'!$C$5,'Assumption Customization'!$B$12:$C$14,2,FALSE))</f>
        <v>-80000</v>
      </c>
      <c r="AU9" s="24">
        <f>+IF(COUNTA('2.Detailed Cash Burn (Optional)'!$D$11:$AM$11)=0,'1. Calculator'!$C$16,'2.Detailed Cash Burn (Optional)'!AU11*VLOOKUP('1. Calculator'!$C$5,'Assumption Customization'!$B$12:$C$14,2,FALSE))</f>
        <v>-80000</v>
      </c>
      <c r="AV9" s="24">
        <f>+IF(COUNTA('2.Detailed Cash Burn (Optional)'!$D$11:$AM$11)=0,'1. Calculator'!$C$16,'2.Detailed Cash Burn (Optional)'!AV11*VLOOKUP('1. Calculator'!$C$5,'Assumption Customization'!$B$12:$C$14,2,FALSE))</f>
        <v>-80000</v>
      </c>
      <c r="AW9" s="24">
        <f>+IF(COUNTA('2.Detailed Cash Burn (Optional)'!$D$11:$AM$11)=0,'1. Calculator'!$C$16,'2.Detailed Cash Burn (Optional)'!AW11*VLOOKUP('1. Calculator'!$C$5,'Assumption Customization'!$B$12:$C$14,2,FALSE))</f>
        <v>-80000</v>
      </c>
      <c r="AX9" s="24">
        <f>+IF(COUNTA('2.Detailed Cash Burn (Optional)'!$D$11:$AM$11)=0,'1. Calculator'!$C$16,'2.Detailed Cash Burn (Optional)'!AX11*VLOOKUP('1. Calculator'!$C$5,'Assumption Customization'!$B$12:$C$14,2,FALSE))</f>
        <v>-80000</v>
      </c>
      <c r="AY9" s="24">
        <f>+IF(COUNTA('2.Detailed Cash Burn (Optional)'!$D$11:$AM$11)=0,'1. Calculator'!$C$16,'2.Detailed Cash Burn (Optional)'!AY11*VLOOKUP('1. Calculator'!$C$5,'Assumption Customization'!$B$12:$C$14,2,FALSE))</f>
        <v>-80000</v>
      </c>
      <c r="AZ9" s="24">
        <f>+IF(COUNTA('2.Detailed Cash Burn (Optional)'!$D$11:$AM$11)=0,'1. Calculator'!$C$16,'2.Detailed Cash Burn (Optional)'!AZ11*VLOOKUP('1. Calculator'!$C$5,'Assumption Customization'!$B$12:$C$14,2,FALSE))</f>
        <v>-80000</v>
      </c>
      <c r="BA9" s="24">
        <f>+IF(COUNTA('2.Detailed Cash Burn (Optional)'!$D$11:$AM$11)=0,'1. Calculator'!$C$16,'2.Detailed Cash Burn (Optional)'!BA11*VLOOKUP('1. Calculator'!$C$5,'Assumption Customization'!$B$12:$C$14,2,FALSE))</f>
        <v>-80000</v>
      </c>
      <c r="BB9" s="24">
        <f>+IF(COUNTA('2.Detailed Cash Burn (Optional)'!$D$11:$AM$11)=0,'1. Calculator'!$C$16,'2.Detailed Cash Burn (Optional)'!BB11*VLOOKUP('1. Calculator'!$C$5,'Assumption Customization'!$B$12:$C$14,2,FALSE))</f>
        <v>-80000</v>
      </c>
      <c r="BC9" s="24">
        <f>+IF(COUNTA('2.Detailed Cash Burn (Optional)'!$D$11:$AM$11)=0,'1. Calculator'!$C$16,'2.Detailed Cash Burn (Optional)'!BC11*VLOOKUP('1. Calculator'!$C$5,'Assumption Customization'!$B$12:$C$14,2,FALSE))</f>
        <v>-80000</v>
      </c>
      <c r="BD9" s="24">
        <f>+IF(COUNTA('2.Detailed Cash Burn (Optional)'!$D$11:$AM$11)=0,'1. Calculator'!$C$16,'2.Detailed Cash Burn (Optional)'!BD11*VLOOKUP('1. Calculator'!$C$5,'Assumption Customization'!$B$12:$C$14,2,FALSE))</f>
        <v>-80000</v>
      </c>
      <c r="BE9" s="24">
        <f>+IF(COUNTA('2.Detailed Cash Burn (Optional)'!$D$11:$AM$11)=0,'1. Calculator'!$C$16,'2.Detailed Cash Burn (Optional)'!BE11*VLOOKUP('1. Calculator'!$C$5,'Assumption Customization'!$B$12:$C$14,2,FALSE))</f>
        <v>-80000</v>
      </c>
      <c r="BF9" s="24">
        <f>+IF(COUNTA('2.Detailed Cash Burn (Optional)'!$D$11:$AM$11)=0,'1. Calculator'!$C$16,'2.Detailed Cash Burn (Optional)'!BF11*VLOOKUP('1. Calculator'!$C$5,'Assumption Customization'!$B$12:$C$14,2,FALSE))</f>
        <v>-80000</v>
      </c>
      <c r="BG9" s="24">
        <f>+IF(COUNTA('2.Detailed Cash Burn (Optional)'!$D$11:$AM$11)=0,'1. Calculator'!$C$16,'2.Detailed Cash Burn (Optional)'!BG11*VLOOKUP('1. Calculator'!$C$5,'Assumption Customization'!$B$12:$C$14,2,FALSE))</f>
        <v>-80000</v>
      </c>
      <c r="BH9" s="24">
        <f>+IF(COUNTA('2.Detailed Cash Burn (Optional)'!$D$11:$AM$11)=0,'1. Calculator'!$C$16,'2.Detailed Cash Burn (Optional)'!BH11*VLOOKUP('1. Calculator'!$C$5,'Assumption Customization'!$B$12:$C$14,2,FALSE))</f>
        <v>-80000</v>
      </c>
      <c r="BI9" s="24">
        <f>+IF(COUNTA('2.Detailed Cash Burn (Optional)'!$D$11:$AM$11)=0,'1. Calculator'!$C$16,'2.Detailed Cash Burn (Optional)'!BI11*VLOOKUP('1. Calculator'!$C$5,'Assumption Customization'!$B$12:$C$14,2,FALSE))</f>
        <v>-80000</v>
      </c>
      <c r="BJ9" s="24">
        <f>+IF(COUNTA('2.Detailed Cash Burn (Optional)'!$D$11:$AM$11)=0,'1. Calculator'!$C$16,'2.Detailed Cash Burn (Optional)'!BJ11*VLOOKUP('1. Calculator'!$C$5,'Assumption Customization'!$B$12:$C$14,2,FALSE))</f>
        <v>-80000</v>
      </c>
      <c r="BK9" s="24">
        <f>+IF(COUNTA('2.Detailed Cash Burn (Optional)'!$D$11:$AM$11)=0,'1. Calculator'!$C$16,'2.Detailed Cash Burn (Optional)'!BK11*VLOOKUP('1. Calculator'!$C$5,'Assumption Customization'!$B$12:$C$14,2,FALSE))</f>
        <v>-80000</v>
      </c>
      <c r="BL9" s="24">
        <f>+IF(COUNTA('2.Detailed Cash Burn (Optional)'!$D$11:$AM$11)=0,'1. Calculator'!$C$16,'2.Detailed Cash Burn (Optional)'!BL11*VLOOKUP('1. Calculator'!$C$5,'Assumption Customization'!$B$12:$C$14,2,FALSE))</f>
        <v>-80000</v>
      </c>
      <c r="BM9" s="24">
        <f>+IF(COUNTA('2.Detailed Cash Burn (Optional)'!$D$11:$AM$11)=0,'1. Calculator'!$C$16,'2.Detailed Cash Burn (Optional)'!BM11*VLOOKUP('1. Calculator'!$C$5,'Assumption Customization'!$B$12:$C$14,2,FALSE))</f>
        <v>-80000</v>
      </c>
      <c r="BN9" s="24">
        <f>+IF(COUNTA('2.Detailed Cash Burn (Optional)'!$D$11:$AM$11)=0,'1. Calculator'!$C$16,'2.Detailed Cash Burn (Optional)'!BN11*VLOOKUP('1. Calculator'!$C$5,'Assumption Customization'!$B$12:$C$14,2,FALSE))</f>
        <v>-80000</v>
      </c>
      <c r="BO9" s="24">
        <f>+IF(COUNTA('2.Detailed Cash Burn (Optional)'!$D$11:$AM$11)=0,'1. Calculator'!$C$16,'2.Detailed Cash Burn (Optional)'!BO11*VLOOKUP('1. Calculator'!$C$5,'Assumption Customization'!$B$12:$C$14,2,FALSE))</f>
        <v>-80000</v>
      </c>
      <c r="BP9" s="24">
        <f>+IF(COUNTA('2.Detailed Cash Burn (Optional)'!$D$11:$AM$11)=0,'1. Calculator'!$C$16,'2.Detailed Cash Burn (Optional)'!BP11*VLOOKUP('1. Calculator'!$C$5,'Assumption Customization'!$B$12:$C$14,2,FALSE))</f>
        <v>-80000</v>
      </c>
      <c r="BQ9" s="24">
        <f>+IF(COUNTA('2.Detailed Cash Burn (Optional)'!$D$11:$AM$11)=0,'1. Calculator'!$C$16,'2.Detailed Cash Burn (Optional)'!BQ11*VLOOKUP('1. Calculator'!$C$5,'Assumption Customization'!$B$12:$C$14,2,FALSE))</f>
        <v>-80000</v>
      </c>
      <c r="BR9" s="24">
        <f>+IF(COUNTA('2.Detailed Cash Burn (Optional)'!$D$11:$AM$11)=0,'1. Calculator'!$C$16,'2.Detailed Cash Burn (Optional)'!BR11*VLOOKUP('1. Calculator'!$C$5,'Assumption Customization'!$B$12:$C$14,2,FALSE))</f>
        <v>-80000</v>
      </c>
      <c r="BS9" s="24">
        <f>+IF(COUNTA('2.Detailed Cash Burn (Optional)'!$D$11:$AM$11)=0,'1. Calculator'!$C$16,'2.Detailed Cash Burn (Optional)'!BS11*VLOOKUP('1. Calculator'!$C$5,'Assumption Customization'!$B$12:$C$14,2,FALSE))</f>
        <v>-80000</v>
      </c>
      <c r="BT9" s="24">
        <f>+IF(COUNTA('2.Detailed Cash Burn (Optional)'!$D$11:$AM$11)=0,'1. Calculator'!$C$16,'2.Detailed Cash Burn (Optional)'!BT11*VLOOKUP('1. Calculator'!$C$5,'Assumption Customization'!$B$12:$C$14,2,FALSE))</f>
        <v>-80000</v>
      </c>
      <c r="BU9" s="24">
        <f>+IF(COUNTA('2.Detailed Cash Burn (Optional)'!$D$11:$AM$11)=0,'1. Calculator'!$C$16,'2.Detailed Cash Burn (Optional)'!BU11*VLOOKUP('1. Calculator'!$C$5,'Assumption Customization'!$B$12:$C$14,2,FALSE))</f>
        <v>-80000</v>
      </c>
      <c r="BV9" s="24">
        <f>+IF(COUNTA('2.Detailed Cash Burn (Optional)'!$D$11:$AM$11)=0,'1. Calculator'!$C$16,'2.Detailed Cash Burn (Optional)'!BV11*VLOOKUP('1. Calculator'!$C$5,'Assumption Customization'!$B$12:$C$14,2,FALSE))</f>
        <v>-80000</v>
      </c>
      <c r="BW9" s="24">
        <f>+IF(COUNTA('2.Detailed Cash Burn (Optional)'!$D$11:$AM$11)=0,'1. Calculator'!$C$16,'2.Detailed Cash Burn (Optional)'!BW11*VLOOKUP('1. Calculator'!$C$5,'Assumption Customization'!$B$12:$C$14,2,FALSE))</f>
        <v>-80000</v>
      </c>
    </row>
    <row r="10" spans="3:75" x14ac:dyDescent="0.2">
      <c r="C10" t="s">
        <v>28</v>
      </c>
      <c r="D10" s="24">
        <f t="shared" ref="D10:AI10" si="3">+D8+D9</f>
        <v>425000</v>
      </c>
      <c r="E10" s="24">
        <f t="shared" si="3"/>
        <v>350000</v>
      </c>
      <c r="F10" s="24">
        <f t="shared" si="3"/>
        <v>275000</v>
      </c>
      <c r="G10" s="24">
        <f t="shared" si="3"/>
        <v>200000</v>
      </c>
      <c r="H10" s="24">
        <f t="shared" si="3"/>
        <v>125000</v>
      </c>
      <c r="I10" s="24">
        <f t="shared" si="3"/>
        <v>50000</v>
      </c>
      <c r="J10" s="24">
        <f t="shared" si="3"/>
        <v>-25000</v>
      </c>
      <c r="K10" s="24">
        <f t="shared" si="3"/>
        <v>-100000</v>
      </c>
      <c r="L10" s="24">
        <f t="shared" si="3"/>
        <v>-175000</v>
      </c>
      <c r="M10" s="24">
        <f t="shared" si="3"/>
        <v>-250000</v>
      </c>
      <c r="N10" s="24">
        <f t="shared" si="3"/>
        <v>-325000</v>
      </c>
      <c r="O10" s="24">
        <f t="shared" si="3"/>
        <v>-400000</v>
      </c>
      <c r="P10" s="24">
        <f t="shared" si="3"/>
        <v>-525000</v>
      </c>
      <c r="Q10" s="24">
        <f t="shared" si="3"/>
        <v>-650000</v>
      </c>
      <c r="R10" s="24">
        <f t="shared" si="3"/>
        <v>-775000</v>
      </c>
      <c r="S10" s="24">
        <f t="shared" si="3"/>
        <v>-900000</v>
      </c>
      <c r="T10" s="24">
        <f t="shared" si="3"/>
        <v>-1025000</v>
      </c>
      <c r="U10" s="24">
        <f t="shared" si="3"/>
        <v>-1150000</v>
      </c>
      <c r="V10" s="24">
        <f t="shared" si="3"/>
        <v>-1275000</v>
      </c>
      <c r="W10" s="24">
        <f t="shared" si="3"/>
        <v>-1400000</v>
      </c>
      <c r="X10" s="24">
        <f t="shared" si="3"/>
        <v>-1525000</v>
      </c>
      <c r="Y10" s="24">
        <f t="shared" si="3"/>
        <v>-1650000</v>
      </c>
      <c r="Z10" s="24">
        <f t="shared" si="3"/>
        <v>-1775000</v>
      </c>
      <c r="AA10" s="24">
        <f t="shared" si="3"/>
        <v>-1900000</v>
      </c>
      <c r="AB10" s="24">
        <f t="shared" si="3"/>
        <v>-1980000</v>
      </c>
      <c r="AC10" s="24">
        <f t="shared" si="3"/>
        <v>-2060000</v>
      </c>
      <c r="AD10" s="24">
        <f t="shared" si="3"/>
        <v>-2140000</v>
      </c>
      <c r="AE10" s="24">
        <f t="shared" si="3"/>
        <v>-2220000</v>
      </c>
      <c r="AF10" s="24">
        <f t="shared" si="3"/>
        <v>-2300000</v>
      </c>
      <c r="AG10" s="24">
        <f t="shared" si="3"/>
        <v>-2380000</v>
      </c>
      <c r="AH10" s="24">
        <f t="shared" si="3"/>
        <v>-2460000</v>
      </c>
      <c r="AI10" s="24">
        <f t="shared" si="3"/>
        <v>-2540000</v>
      </c>
      <c r="AJ10" s="24">
        <f t="shared" ref="AJ10:BO10" si="4">+AJ8+AJ9</f>
        <v>-2620000</v>
      </c>
      <c r="AK10" s="24">
        <f t="shared" si="4"/>
        <v>-2700000</v>
      </c>
      <c r="AL10" s="24">
        <f t="shared" si="4"/>
        <v>-2780000</v>
      </c>
      <c r="AM10" s="24">
        <f t="shared" si="4"/>
        <v>-2860000</v>
      </c>
      <c r="AN10" s="24">
        <f t="shared" si="4"/>
        <v>-2940000</v>
      </c>
      <c r="AO10" s="24">
        <f t="shared" si="4"/>
        <v>-3020000</v>
      </c>
      <c r="AP10" s="24">
        <f t="shared" si="4"/>
        <v>-3100000</v>
      </c>
      <c r="AQ10" s="24">
        <f t="shared" si="4"/>
        <v>-3180000</v>
      </c>
      <c r="AR10" s="24">
        <f t="shared" si="4"/>
        <v>-3260000</v>
      </c>
      <c r="AS10" s="24">
        <f t="shared" si="4"/>
        <v>-3340000</v>
      </c>
      <c r="AT10" s="24">
        <f t="shared" si="4"/>
        <v>-3420000</v>
      </c>
      <c r="AU10" s="24">
        <f t="shared" si="4"/>
        <v>-3500000</v>
      </c>
      <c r="AV10" s="24">
        <f t="shared" si="4"/>
        <v>-3580000</v>
      </c>
      <c r="AW10" s="24">
        <f t="shared" si="4"/>
        <v>-3660000</v>
      </c>
      <c r="AX10" s="24">
        <f t="shared" si="4"/>
        <v>-3740000</v>
      </c>
      <c r="AY10" s="24">
        <f t="shared" si="4"/>
        <v>-3820000</v>
      </c>
      <c r="AZ10" s="24">
        <f t="shared" si="4"/>
        <v>-3900000</v>
      </c>
      <c r="BA10" s="24">
        <f t="shared" si="4"/>
        <v>-3980000</v>
      </c>
      <c r="BB10" s="24">
        <f t="shared" si="4"/>
        <v>-4060000</v>
      </c>
      <c r="BC10" s="24">
        <f t="shared" si="4"/>
        <v>-4140000</v>
      </c>
      <c r="BD10" s="24">
        <f t="shared" si="4"/>
        <v>-4220000</v>
      </c>
      <c r="BE10" s="24">
        <f t="shared" si="4"/>
        <v>-4300000</v>
      </c>
      <c r="BF10" s="24">
        <f t="shared" si="4"/>
        <v>-4380000</v>
      </c>
      <c r="BG10" s="24">
        <f t="shared" si="4"/>
        <v>-4460000</v>
      </c>
      <c r="BH10" s="24">
        <f t="shared" si="4"/>
        <v>-4540000</v>
      </c>
      <c r="BI10" s="24">
        <f t="shared" si="4"/>
        <v>-4620000</v>
      </c>
      <c r="BJ10" s="24">
        <f t="shared" si="4"/>
        <v>-4700000</v>
      </c>
      <c r="BK10" s="24">
        <f t="shared" si="4"/>
        <v>-4780000</v>
      </c>
      <c r="BL10" s="24">
        <f t="shared" si="4"/>
        <v>-4860000</v>
      </c>
      <c r="BM10" s="24">
        <f t="shared" si="4"/>
        <v>-4940000</v>
      </c>
      <c r="BN10" s="24">
        <f t="shared" si="4"/>
        <v>-5020000</v>
      </c>
      <c r="BO10" s="24">
        <f t="shared" si="4"/>
        <v>-5100000</v>
      </c>
      <c r="BP10" s="24">
        <f t="shared" ref="BP10:BW10" si="5">+BP8+BP9</f>
        <v>-5180000</v>
      </c>
      <c r="BQ10" s="24">
        <f t="shared" si="5"/>
        <v>-5260000</v>
      </c>
      <c r="BR10" s="24">
        <f t="shared" si="5"/>
        <v>-5340000</v>
      </c>
      <c r="BS10" s="24">
        <f t="shared" si="5"/>
        <v>-5420000</v>
      </c>
      <c r="BT10" s="24">
        <f t="shared" si="5"/>
        <v>-5500000</v>
      </c>
      <c r="BU10" s="24">
        <f t="shared" si="5"/>
        <v>-5580000</v>
      </c>
      <c r="BV10" s="24">
        <f t="shared" si="5"/>
        <v>-5660000</v>
      </c>
      <c r="BW10" s="24">
        <f t="shared" si="5"/>
        <v>-5740000</v>
      </c>
    </row>
    <row r="11" spans="3:75" x14ac:dyDescent="0.2">
      <c r="C11" t="s">
        <v>32</v>
      </c>
      <c r="D11" s="21">
        <f>+IF(AND(D10&gt;=0,COUNTIFS($C$10:C10,"&lt;0")=0),1,IF(AND(C10&gt;0,D10&lt;0),ABS(1-D10/D9),0))</f>
        <v>1</v>
      </c>
      <c r="E11" s="21">
        <f>+IF(AND(E10&gt;=0,COUNTIFS($C$10:D10,"&lt;0")=0),1,IF(AND(D10&gt;0,E10&lt;0),ABS(1-E10/E9),0))</f>
        <v>1</v>
      </c>
      <c r="F11" s="21">
        <f>+IF(AND(F10&gt;=0,COUNTIFS($C$10:E10,"&lt;0")=0),1,IF(AND(E10&gt;0,F10&lt;0),ABS(1-F10/F9),0))</f>
        <v>1</v>
      </c>
      <c r="G11" s="21">
        <f>+IF(AND(G10&gt;=0,COUNTIFS($C$10:F10,"&lt;0")=0),1,IF(AND(F10&gt;0,G10&lt;0),ABS(1-G10/G9),0))</f>
        <v>1</v>
      </c>
      <c r="H11" s="21">
        <f>+IF(AND(H10&gt;=0,COUNTIFS($C$10:G10,"&lt;0")=0),1,IF(AND(G10&gt;0,H10&lt;0),ABS(1-H10/H9),0))</f>
        <v>1</v>
      </c>
      <c r="I11" s="21">
        <f>+IF(AND(I10&gt;=0,COUNTIFS($C$10:H10,"&lt;0")=0),1,IF(AND(H10&gt;0,I10&lt;0),ABS(1-I10/I9),0))</f>
        <v>1</v>
      </c>
      <c r="J11" s="21">
        <f>+IF(AND(J10&gt;=0,COUNTIFS($C$10:I10,"&lt;0")=0),1,IF(AND(I10&gt;0,J10&lt;0),ABS(1-J10/J9),0))</f>
        <v>0.66666666666666674</v>
      </c>
      <c r="K11" s="21">
        <f>+IF(AND(K10&gt;=0,COUNTIFS($C$10:J10,"&lt;0")=0),1,IF(AND(J10&gt;0,K10&lt;0),ABS(1-K10/K9),0))</f>
        <v>0</v>
      </c>
      <c r="L11" s="21">
        <f>+IF(AND(L10&gt;=0,COUNTIFS($C$10:K10,"&lt;0")=0),1,IF(AND(K10&gt;0,L10&lt;0),ABS(1-L10/L9),0))</f>
        <v>0</v>
      </c>
      <c r="M11" s="21">
        <f>+IF(AND(M10&gt;=0,COUNTIFS($C$10:L10,"&lt;0")=0),1,IF(AND(L10&gt;0,M10&lt;0),ABS(1-M10/M9),0))</f>
        <v>0</v>
      </c>
      <c r="N11" s="21">
        <f>+IF(AND(N10&gt;=0,COUNTIFS($C$10:M10,"&lt;0")=0),1,IF(AND(M10&gt;0,N10&lt;0),ABS(1-N10/N9),0))</f>
        <v>0</v>
      </c>
      <c r="O11" s="21">
        <f>+IF(AND(O10&gt;=0,COUNTIFS($C$10:N10,"&lt;0")=0),1,IF(AND(N10&gt;0,O10&lt;0),ABS(1-O10/O9),0))</f>
        <v>0</v>
      </c>
      <c r="P11" s="21">
        <f>+IF(AND(P10&gt;=0,COUNTIFS($C$10:O10,"&lt;0")=0),1,IF(AND(O10&gt;0,P10&lt;0),ABS(1-P10/P9),0))</f>
        <v>0</v>
      </c>
      <c r="Q11" s="21">
        <f>+IF(AND(Q10&gt;=0,COUNTIFS($C$10:P10,"&lt;0")=0),1,IF(AND(P10&gt;0,Q10&lt;0),ABS(1-Q10/Q9),0))</f>
        <v>0</v>
      </c>
      <c r="R11" s="21">
        <f>+IF(AND(R10&gt;=0,COUNTIFS($C$10:Q10,"&lt;0")=0),1,IF(AND(Q10&gt;0,R10&lt;0),ABS(1-R10/R9),0))</f>
        <v>0</v>
      </c>
      <c r="S11" s="21">
        <f>+IF(AND(S10&gt;=0,COUNTIFS($C$10:R10,"&lt;0")=0),1,IF(AND(R10&gt;0,S10&lt;0),ABS(1-S10/S9),0))</f>
        <v>0</v>
      </c>
      <c r="T11" s="21">
        <f>+IF(AND(T10&gt;=0,COUNTIFS($C$10:S10,"&lt;0")=0),1,IF(AND(S10&gt;0,T10&lt;0),ABS(1-T10/T9),0))</f>
        <v>0</v>
      </c>
      <c r="U11" s="21">
        <f>+IF(AND(U10&gt;=0,COUNTIFS($C$10:T10,"&lt;0")=0),1,IF(AND(T10&gt;0,U10&lt;0),ABS(1-U10/U9),0))</f>
        <v>0</v>
      </c>
      <c r="V11" s="21">
        <f>+IF(AND(V10&gt;=0,COUNTIFS($C$10:U10,"&lt;0")=0),1,IF(AND(U10&gt;0,V10&lt;0),ABS(1-V10/V9),0))</f>
        <v>0</v>
      </c>
      <c r="W11" s="21">
        <f>+IF(AND(W10&gt;=0,COUNTIFS($C$10:V10,"&lt;0")=0),1,IF(AND(V10&gt;0,W10&lt;0),ABS(1-W10/W9),0))</f>
        <v>0</v>
      </c>
      <c r="X11" s="21">
        <f>+IF(AND(X10&gt;=0,COUNTIFS($C$10:W10,"&lt;0")=0),1,IF(AND(W10&gt;0,X10&lt;0),ABS(1-X10/X9),0))</f>
        <v>0</v>
      </c>
      <c r="Y11" s="21">
        <f>+IF(AND(Y10&gt;=0,COUNTIFS($C$10:X10,"&lt;0")=0),1,IF(AND(X10&gt;0,Y10&lt;0),ABS(1-Y10/Y9),0))</f>
        <v>0</v>
      </c>
      <c r="Z11" s="21">
        <f>+IF(AND(Z10&gt;=0,COUNTIFS($C$10:Y10,"&lt;0")=0),1,IF(AND(Y10&gt;0,Z10&lt;0),ABS(1-Z10/Z9),0))</f>
        <v>0</v>
      </c>
      <c r="AA11" s="21">
        <f>+IF(AND(AA10&gt;=0,COUNTIFS($C$10:Z10,"&lt;0")=0),1,IF(AND(Z10&gt;0,AA10&lt;0),ABS(1-AA10/AA9),0))</f>
        <v>0</v>
      </c>
      <c r="AB11" s="21">
        <f>+IF(AND(AB10&gt;=0,COUNTIFS($C$10:AA10,"&lt;0")=0),1,IF(AND(AA10&gt;0,AB10&lt;0),ABS(1-AB10/AB9),0))</f>
        <v>0</v>
      </c>
      <c r="AC11" s="21">
        <f>+IF(AND(AC10&gt;=0,COUNTIFS($C$10:AB10,"&lt;0")=0),1,IF(AND(AB10&gt;0,AC10&lt;0),ABS(1-AC10/AC9),0))</f>
        <v>0</v>
      </c>
      <c r="AD11" s="21">
        <f>+IF(AND(AD10&gt;=0,COUNTIFS($C$10:AC10,"&lt;0")=0),1,IF(AND(AC10&gt;0,AD10&lt;0),ABS(1-AD10/AD9),0))</f>
        <v>0</v>
      </c>
      <c r="AE11" s="21">
        <f>+IF(AND(AE10&gt;=0,COUNTIFS($C$10:AD10,"&lt;0")=0),1,IF(AND(AD10&gt;0,AE10&lt;0),ABS(1-AE10/AE9),0))</f>
        <v>0</v>
      </c>
      <c r="AF11" s="21">
        <f>+IF(AND(AF10&gt;=0,COUNTIFS($C$10:AE10,"&lt;0")=0),1,IF(AND(AE10&gt;0,AF10&lt;0),ABS(1-AF10/AF9),0))</f>
        <v>0</v>
      </c>
      <c r="AG11" s="21">
        <f>+IF(AND(AG10&gt;=0,COUNTIFS($C$10:AF10,"&lt;0")=0),1,IF(AND(AF10&gt;0,AG10&lt;0),ABS(1-AG10/AG9),0))</f>
        <v>0</v>
      </c>
      <c r="AH11" s="21">
        <f>+IF(AND(AH10&gt;=0,COUNTIFS($C$10:AG10,"&lt;0")=0),1,IF(AND(AG10&gt;0,AH10&lt;0),ABS(1-AH10/AH9),0))</f>
        <v>0</v>
      </c>
      <c r="AI11" s="21">
        <f>+IF(AND(AI10&gt;=0,COUNTIFS($C$10:AH10,"&lt;0")=0),1,IF(AND(AH10&gt;0,AI10&lt;0),ABS(1-AI10/AI9),0))</f>
        <v>0</v>
      </c>
      <c r="AJ11" s="21">
        <f>+IF(AND(AJ10&gt;=0,COUNTIFS($C$10:AI10,"&lt;0")=0),1,IF(AND(AI10&gt;0,AJ10&lt;0),ABS(1-AJ10/AJ9),0))</f>
        <v>0</v>
      </c>
      <c r="AK11" s="21">
        <f>+IF(AND(AK10&gt;=0,COUNTIFS($C$10:AJ10,"&lt;0")=0),1,IF(AND(AJ10&gt;0,AK10&lt;0),ABS(1-AK10/AK9),0))</f>
        <v>0</v>
      </c>
      <c r="AL11" s="21">
        <f>+IF(AND(AL10&gt;=0,COUNTIFS($C$10:AK10,"&lt;0")=0),1,IF(AND(AK10&gt;0,AL10&lt;0),ABS(1-AL10/AL9),0))</f>
        <v>0</v>
      </c>
      <c r="AM11" s="21">
        <f>+IF(AND(AM10&gt;=0,COUNTIFS($C$10:AL10,"&lt;0")=0),1,IF(AND(AL10&gt;0,AM10&lt;0),ABS(1-AM10/AM9),0))</f>
        <v>0</v>
      </c>
      <c r="AN11" s="21">
        <f>+IF(AND(AN10&gt;=0,COUNTIFS($C$10:AM10,"&lt;0")=0),1,IF(AND(AM10&gt;0,AN10&lt;0),ABS(1-AN10/AN9),0))</f>
        <v>0</v>
      </c>
      <c r="AO11" s="21">
        <f>+IF(AND(AO10&gt;=0,COUNTIFS($C$10:AN10,"&lt;0")=0),1,IF(AND(AN10&gt;0,AO10&lt;0),ABS(1-AO10/AO9),0))</f>
        <v>0</v>
      </c>
      <c r="AP11" s="21">
        <f>+IF(AND(AP10&gt;=0,COUNTIFS($C$10:AO10,"&lt;0")=0),1,IF(AND(AO10&gt;0,AP10&lt;0),ABS(1-AP10/AP9),0))</f>
        <v>0</v>
      </c>
      <c r="AQ11" s="21">
        <f>+IF(AND(AQ10&gt;=0,COUNTIFS($C$10:AP10,"&lt;0")=0),1,IF(AND(AP10&gt;0,AQ10&lt;0),ABS(1-AQ10/AQ9),0))</f>
        <v>0</v>
      </c>
      <c r="AR11" s="21">
        <f>+IF(AND(AR10&gt;=0,COUNTIFS($C$10:AQ10,"&lt;0")=0),1,IF(AND(AQ10&gt;0,AR10&lt;0),ABS(1-AR10/AR9),0))</f>
        <v>0</v>
      </c>
      <c r="AS11" s="21">
        <f>+IF(AND(AS10&gt;=0,COUNTIFS($C$10:AR10,"&lt;0")=0),1,IF(AND(AR10&gt;0,AS10&lt;0),ABS(1-AS10/AS9),0))</f>
        <v>0</v>
      </c>
      <c r="AT11" s="21">
        <f>+IF(AND(AT10&gt;=0,COUNTIFS($C$10:AS10,"&lt;0")=0),1,IF(AND(AS10&gt;0,AT10&lt;0),ABS(1-AT10/AT9),0))</f>
        <v>0</v>
      </c>
      <c r="AU11" s="21">
        <f>+IF(AND(AU10&gt;=0,COUNTIFS($C$10:AT10,"&lt;0")=0),1,IF(AND(AT10&gt;0,AU10&lt;0),ABS(1-AU10/AU9),0))</f>
        <v>0</v>
      </c>
      <c r="AV11" s="21">
        <f>+IF(AND(AV10&gt;=0,COUNTIFS($C$10:AU10,"&lt;0")=0),1,IF(AND(AU10&gt;0,AV10&lt;0),ABS(1-AV10/AV9),0))</f>
        <v>0</v>
      </c>
      <c r="AW11" s="21">
        <f>+IF(AND(AW10&gt;=0,COUNTIFS($C$10:AV10,"&lt;0")=0),1,IF(AND(AV10&gt;0,AW10&lt;0),ABS(1-AW10/AW9),0))</f>
        <v>0</v>
      </c>
      <c r="AX11" s="21">
        <f>+IF(AND(AX10&gt;=0,COUNTIFS($C$10:AW10,"&lt;0")=0),1,IF(AND(AW10&gt;0,AX10&lt;0),ABS(1-AX10/AX9),0))</f>
        <v>0</v>
      </c>
      <c r="AY11" s="21">
        <f>+IF(AND(AY10&gt;=0,COUNTIFS($C$10:AX10,"&lt;0")=0),1,IF(AND(AX10&gt;0,AY10&lt;0),ABS(1-AY10/AY9),0))</f>
        <v>0</v>
      </c>
      <c r="AZ11" s="21">
        <f>+IF(AND(AZ10&gt;=0,COUNTIFS($C$10:AY10,"&lt;0")=0),1,IF(AND(AY10&gt;0,AZ10&lt;0),ABS(1-AZ10/AZ9),0))</f>
        <v>0</v>
      </c>
      <c r="BA11" s="21">
        <f>+IF(AND(BA10&gt;=0,COUNTIFS($C$10:AZ10,"&lt;0")=0),1,IF(AND(AZ10&gt;0,BA10&lt;0),ABS(1-BA10/BA9),0))</f>
        <v>0</v>
      </c>
      <c r="BB11" s="21">
        <f>+IF(AND(BB10&gt;=0,COUNTIFS($C$10:BA10,"&lt;0")=0),1,IF(AND(BA10&gt;0,BB10&lt;0),ABS(1-BB10/BB9),0))</f>
        <v>0</v>
      </c>
      <c r="BC11" s="21">
        <f>+IF(AND(BC10&gt;=0,COUNTIFS($C$10:BB10,"&lt;0")=0),1,IF(AND(BB10&gt;0,BC10&lt;0),ABS(1-BC10/BC9),0))</f>
        <v>0</v>
      </c>
      <c r="BD11" s="21">
        <f>+IF(AND(BD10&gt;=0,COUNTIFS($C$10:BC10,"&lt;0")=0),1,IF(AND(BC10&gt;0,BD10&lt;0),ABS(1-BD10/BD9),0))</f>
        <v>0</v>
      </c>
      <c r="BE11" s="21">
        <f>+IF(AND(BE10&gt;=0,COUNTIFS($C$10:BD10,"&lt;0")=0),1,IF(AND(BD10&gt;0,BE10&lt;0),ABS(1-BE10/BE9),0))</f>
        <v>0</v>
      </c>
      <c r="BF11" s="21">
        <f>+IF(AND(BF10&gt;=0,COUNTIFS($C$10:BE10,"&lt;0")=0),1,IF(AND(BE10&gt;0,BF10&lt;0),ABS(1-BF10/BF9),0))</f>
        <v>0</v>
      </c>
      <c r="BG11" s="21">
        <f>+IF(AND(BG10&gt;=0,COUNTIFS($C$10:BF10,"&lt;0")=0),1,IF(AND(BF10&gt;0,BG10&lt;0),ABS(1-BG10/BG9),0))</f>
        <v>0</v>
      </c>
      <c r="BH11" s="21">
        <f>+IF(AND(BH10&gt;=0,COUNTIFS($C$10:BG10,"&lt;0")=0),1,IF(AND(BG10&gt;0,BH10&lt;0),ABS(1-BH10/BH9),0))</f>
        <v>0</v>
      </c>
      <c r="BI11" s="21">
        <f>+IF(AND(BI10&gt;=0,COUNTIFS($C$10:BH10,"&lt;0")=0),1,IF(AND(BH10&gt;0,BI10&lt;0),ABS(1-BI10/BI9),0))</f>
        <v>0</v>
      </c>
      <c r="BJ11" s="21">
        <f>+IF(AND(BJ10&gt;=0,COUNTIFS($C$10:BI10,"&lt;0")=0),1,IF(AND(BI10&gt;0,BJ10&lt;0),ABS(1-BJ10/BJ9),0))</f>
        <v>0</v>
      </c>
      <c r="BK11" s="21">
        <f>+IF(AND(BK10&gt;=0,COUNTIFS($C$10:BJ10,"&lt;0")=0),1,IF(AND(BJ10&gt;0,BK10&lt;0),ABS(1-BK10/BK9),0))</f>
        <v>0</v>
      </c>
      <c r="BL11" s="21">
        <f>+IF(AND(BL10&gt;=0,COUNTIFS($C$10:BK10,"&lt;0")=0),1,IF(AND(BK10&gt;0,BL10&lt;0),ABS(1-BL10/BL9),0))</f>
        <v>0</v>
      </c>
      <c r="BM11" s="21">
        <f>+IF(AND(BM10&gt;=0,COUNTIFS($C$10:BL10,"&lt;0")=0),1,IF(AND(BL10&gt;0,BM10&lt;0),ABS(1-BM10/BM9),0))</f>
        <v>0</v>
      </c>
      <c r="BN11" s="21">
        <f>+IF(AND(BN10&gt;=0,COUNTIFS($C$10:BM10,"&lt;0")=0),1,IF(AND(BM10&gt;0,BN10&lt;0),ABS(1-BN10/BN9),0))</f>
        <v>0</v>
      </c>
      <c r="BO11" s="21">
        <f>+IF(AND(BO10&gt;=0,COUNTIFS($C$10:BN10,"&lt;0")=0),1,IF(AND(BN10&gt;0,BO10&lt;0),ABS(1-BO10/BO9),0))</f>
        <v>0</v>
      </c>
      <c r="BP11" s="21">
        <f>+IF(AND(BP10&gt;=0,COUNTIFS($C$10:BO10,"&lt;0")=0),1,IF(AND(BO10&gt;0,BP10&lt;0),ABS(1-BP10/BP9),0))</f>
        <v>0</v>
      </c>
      <c r="BQ11" s="21">
        <f>+IF(AND(BQ10&gt;=0,COUNTIFS($C$10:BP10,"&lt;0")=0),1,IF(AND(BP10&gt;0,BQ10&lt;0),ABS(1-BQ10/BQ9),0))</f>
        <v>0</v>
      </c>
      <c r="BR11" s="21">
        <f>+IF(AND(BR10&gt;=0,COUNTIFS($C$10:BQ10,"&lt;0")=0),1,IF(AND(BQ10&gt;0,BR10&lt;0),ABS(1-BR10/BR9),0))</f>
        <v>0</v>
      </c>
      <c r="BS11" s="21">
        <f>+IF(AND(BS10&gt;=0,COUNTIFS($C$10:BR10,"&lt;0")=0),1,IF(AND(BR10&gt;0,BS10&lt;0),ABS(1-BS10/BS9),0))</f>
        <v>0</v>
      </c>
      <c r="BT11" s="21">
        <f>+IF(AND(BT10&gt;=0,COUNTIFS($C$10:BS10,"&lt;0")=0),1,IF(AND(BS10&gt;0,BT10&lt;0),ABS(1-BT10/BT9),0))</f>
        <v>0</v>
      </c>
      <c r="BU11" s="21">
        <f>+IF(AND(BU10&gt;=0,COUNTIFS($C$10:BT10,"&lt;0")=0),1,IF(AND(BT10&gt;0,BU10&lt;0),ABS(1-BU10/BU9),0))</f>
        <v>0</v>
      </c>
      <c r="BV11" s="21">
        <f>+IF(AND(BV10&gt;=0,COUNTIFS($C$10:BU10,"&lt;0")=0),1,IF(AND(BU10&gt;0,BV10&lt;0),ABS(1-BV10/BV9),0))</f>
        <v>0</v>
      </c>
      <c r="BW11" s="21">
        <f>+IF(AND(BW10&gt;=0,COUNTIFS($C$10:BV10,"&lt;0")=0),1,IF(AND(BV10&gt;0,BW10&lt;0),ABS(1-BW10/BW9),0))</f>
        <v>0</v>
      </c>
    </row>
    <row r="12" spans="3:75" x14ac:dyDescent="0.2">
      <c r="D12" s="21"/>
      <c r="E12" s="21"/>
      <c r="F12" s="21"/>
      <c r="G12" s="21"/>
      <c r="H12" s="21"/>
      <c r="I12" s="21"/>
      <c r="J12" s="21"/>
      <c r="K12" s="21"/>
      <c r="L12" s="21"/>
      <c r="M12" s="21"/>
      <c r="N12" s="21"/>
      <c r="O12" s="21"/>
      <c r="P12" s="21"/>
      <c r="Q12" s="21"/>
      <c r="R12" s="21"/>
      <c r="S12" s="21"/>
      <c r="T12" s="21"/>
      <c r="U12" s="21"/>
      <c r="V12" s="21"/>
      <c r="W12" s="21"/>
      <c r="X12" s="21"/>
      <c r="Y12" s="21"/>
      <c r="Z12" s="21"/>
      <c r="AA12" s="21"/>
      <c r="AB12" s="21"/>
      <c r="AC12" s="21"/>
      <c r="AD12" s="21"/>
      <c r="AE12" s="21"/>
      <c r="AF12" s="21"/>
      <c r="AG12" s="21"/>
      <c r="AH12" s="21"/>
      <c r="AI12" s="21"/>
      <c r="AJ12" s="21"/>
      <c r="AK12" s="21"/>
      <c r="AL12" s="21"/>
      <c r="AM12" s="21"/>
      <c r="AN12" s="21"/>
      <c r="AO12" s="21"/>
      <c r="AP12" s="21"/>
      <c r="AQ12" s="21"/>
      <c r="AR12" s="21"/>
      <c r="AS12" s="21"/>
      <c r="AT12" s="21"/>
      <c r="AU12" s="21"/>
      <c r="AV12" s="21"/>
      <c r="AW12" s="21"/>
      <c r="AX12" s="21"/>
      <c r="AY12" s="21"/>
      <c r="AZ12" s="21"/>
      <c r="BA12" s="21"/>
      <c r="BB12" s="21"/>
      <c r="BC12" s="21"/>
      <c r="BD12" s="21"/>
      <c r="BE12" s="21"/>
      <c r="BF12" s="21"/>
      <c r="BG12" s="21"/>
      <c r="BH12" s="21"/>
      <c r="BI12" s="21"/>
      <c r="BJ12" s="21"/>
      <c r="BK12" s="21"/>
      <c r="BL12" s="21"/>
      <c r="BM12" s="21"/>
      <c r="BN12" s="21"/>
      <c r="BO12" s="21"/>
      <c r="BP12" s="21"/>
      <c r="BQ12" s="21"/>
      <c r="BR12" s="21"/>
      <c r="BS12" s="21"/>
      <c r="BT12" s="21"/>
      <c r="BU12" s="21"/>
      <c r="BV12" s="21"/>
      <c r="BW12" s="21"/>
    </row>
    <row r="13" spans="3:75" ht="19.5" customHeight="1" thickBot="1" x14ac:dyDescent="0.25">
      <c r="C13" s="23" t="s">
        <v>134</v>
      </c>
      <c r="D13" s="23"/>
      <c r="E13" s="23"/>
      <c r="F13" s="23"/>
      <c r="G13" s="23"/>
      <c r="H13" s="23"/>
      <c r="I13" s="23"/>
      <c r="J13" s="23"/>
      <c r="K13" s="23"/>
      <c r="L13" s="23"/>
      <c r="M13" s="23"/>
      <c r="N13" s="23"/>
      <c r="O13" s="23"/>
      <c r="P13" s="23"/>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W13" s="23"/>
    </row>
    <row r="14" spans="3:75" ht="19.5" customHeight="1" thickTop="1" x14ac:dyDescent="0.2">
      <c r="C14" t="s">
        <v>27</v>
      </c>
      <c r="D14" s="24">
        <f>+D8</f>
        <v>500000</v>
      </c>
      <c r="E14" s="24">
        <f t="shared" ref="E14:AJ14" si="6">+D17</f>
        <v>425000</v>
      </c>
      <c r="F14" s="24">
        <f t="shared" si="6"/>
        <v>350000</v>
      </c>
      <c r="G14" s="24">
        <f t="shared" si="6"/>
        <v>275000</v>
      </c>
      <c r="H14" s="24">
        <f t="shared" si="6"/>
        <v>200000</v>
      </c>
      <c r="I14" s="24">
        <f t="shared" si="6"/>
        <v>125000</v>
      </c>
      <c r="J14" s="24">
        <f t="shared" si="6"/>
        <v>50000</v>
      </c>
      <c r="K14" s="24">
        <f t="shared" si="6"/>
        <v>-25000</v>
      </c>
      <c r="L14" s="24">
        <f t="shared" si="6"/>
        <v>-100000</v>
      </c>
      <c r="M14" s="24">
        <f t="shared" si="6"/>
        <v>-175000</v>
      </c>
      <c r="N14" s="24">
        <f t="shared" si="6"/>
        <v>-250000</v>
      </c>
      <c r="O14" s="24">
        <f t="shared" si="6"/>
        <v>-325000</v>
      </c>
      <c r="P14" s="24">
        <f t="shared" si="6"/>
        <v>-400000</v>
      </c>
      <c r="Q14" s="24">
        <f t="shared" si="6"/>
        <v>-525000</v>
      </c>
      <c r="R14" s="24">
        <f t="shared" si="6"/>
        <v>-650000</v>
      </c>
      <c r="S14" s="24">
        <f t="shared" si="6"/>
        <v>-775000</v>
      </c>
      <c r="T14" s="24">
        <f t="shared" si="6"/>
        <v>-900000</v>
      </c>
      <c r="U14" s="24">
        <f t="shared" si="6"/>
        <v>-1025000</v>
      </c>
      <c r="V14" s="24">
        <f t="shared" si="6"/>
        <v>-1150000</v>
      </c>
      <c r="W14" s="24">
        <f t="shared" si="6"/>
        <v>-1275000</v>
      </c>
      <c r="X14" s="24">
        <f t="shared" si="6"/>
        <v>-1400000</v>
      </c>
      <c r="Y14" s="24">
        <f t="shared" si="6"/>
        <v>-1525000</v>
      </c>
      <c r="Z14" s="24">
        <f t="shared" si="6"/>
        <v>-1650000</v>
      </c>
      <c r="AA14" s="24">
        <f t="shared" si="6"/>
        <v>-1775000</v>
      </c>
      <c r="AB14" s="24">
        <f t="shared" si="6"/>
        <v>-1900000</v>
      </c>
      <c r="AC14" s="24">
        <f t="shared" si="6"/>
        <v>-1980000</v>
      </c>
      <c r="AD14" s="24">
        <f t="shared" si="6"/>
        <v>-2060000</v>
      </c>
      <c r="AE14" s="24">
        <f t="shared" si="6"/>
        <v>-2140000</v>
      </c>
      <c r="AF14" s="24">
        <f t="shared" si="6"/>
        <v>-2220000</v>
      </c>
      <c r="AG14" s="24">
        <f t="shared" si="6"/>
        <v>-2300000</v>
      </c>
      <c r="AH14" s="24">
        <f t="shared" si="6"/>
        <v>-2380000</v>
      </c>
      <c r="AI14" s="24">
        <f t="shared" si="6"/>
        <v>-2460000</v>
      </c>
      <c r="AJ14" s="24">
        <f t="shared" si="6"/>
        <v>-2540000</v>
      </c>
      <c r="AK14" s="24">
        <f t="shared" ref="AK14:BP14" si="7">+AJ17</f>
        <v>-2620000</v>
      </c>
      <c r="AL14" s="24">
        <f t="shared" si="7"/>
        <v>-2700000</v>
      </c>
      <c r="AM14" s="24">
        <f t="shared" si="7"/>
        <v>-2780000</v>
      </c>
      <c r="AN14" s="24">
        <f t="shared" si="7"/>
        <v>-2860000</v>
      </c>
      <c r="AO14" s="24">
        <f t="shared" si="7"/>
        <v>-2940000</v>
      </c>
      <c r="AP14" s="24">
        <f t="shared" si="7"/>
        <v>-3020000</v>
      </c>
      <c r="AQ14" s="24">
        <f t="shared" si="7"/>
        <v>-3100000</v>
      </c>
      <c r="AR14" s="24">
        <f t="shared" si="7"/>
        <v>-3180000</v>
      </c>
      <c r="AS14" s="24">
        <f t="shared" si="7"/>
        <v>-3260000</v>
      </c>
      <c r="AT14" s="24">
        <f t="shared" si="7"/>
        <v>-3340000</v>
      </c>
      <c r="AU14" s="24">
        <f t="shared" si="7"/>
        <v>-3420000</v>
      </c>
      <c r="AV14" s="24">
        <f t="shared" si="7"/>
        <v>-3500000</v>
      </c>
      <c r="AW14" s="24">
        <f t="shared" si="7"/>
        <v>-3580000</v>
      </c>
      <c r="AX14" s="24">
        <f t="shared" si="7"/>
        <v>-3660000</v>
      </c>
      <c r="AY14" s="24">
        <f t="shared" si="7"/>
        <v>-3740000</v>
      </c>
      <c r="AZ14" s="24">
        <f t="shared" si="7"/>
        <v>-3820000</v>
      </c>
      <c r="BA14" s="24">
        <f t="shared" si="7"/>
        <v>-3900000</v>
      </c>
      <c r="BB14" s="24">
        <f t="shared" si="7"/>
        <v>-3980000</v>
      </c>
      <c r="BC14" s="24">
        <f t="shared" si="7"/>
        <v>-4060000</v>
      </c>
      <c r="BD14" s="24">
        <f t="shared" si="7"/>
        <v>-4140000</v>
      </c>
      <c r="BE14" s="24">
        <f t="shared" si="7"/>
        <v>-4220000</v>
      </c>
      <c r="BF14" s="24">
        <f t="shared" si="7"/>
        <v>-4300000</v>
      </c>
      <c r="BG14" s="24">
        <f t="shared" si="7"/>
        <v>-4380000</v>
      </c>
      <c r="BH14" s="24">
        <f t="shared" si="7"/>
        <v>-4460000</v>
      </c>
      <c r="BI14" s="24">
        <f t="shared" si="7"/>
        <v>-4540000</v>
      </c>
      <c r="BJ14" s="24">
        <f t="shared" si="7"/>
        <v>-4620000</v>
      </c>
      <c r="BK14" s="24">
        <f t="shared" si="7"/>
        <v>-4700000</v>
      </c>
      <c r="BL14" s="24">
        <f t="shared" si="7"/>
        <v>-4780000</v>
      </c>
      <c r="BM14" s="24">
        <f t="shared" si="7"/>
        <v>-4860000</v>
      </c>
      <c r="BN14" s="24">
        <f t="shared" si="7"/>
        <v>-4940000</v>
      </c>
      <c r="BO14" s="24">
        <f t="shared" si="7"/>
        <v>-5020000</v>
      </c>
      <c r="BP14" s="24">
        <f t="shared" si="7"/>
        <v>-5100000</v>
      </c>
      <c r="BQ14" s="24">
        <f t="shared" ref="BQ14:BW14" si="8">+BP17</f>
        <v>-5180000</v>
      </c>
      <c r="BR14" s="24">
        <f t="shared" si="8"/>
        <v>-5260000</v>
      </c>
      <c r="BS14" s="24">
        <f t="shared" si="8"/>
        <v>-5340000</v>
      </c>
      <c r="BT14" s="24">
        <f t="shared" si="8"/>
        <v>-5420000</v>
      </c>
      <c r="BU14" s="24">
        <f t="shared" si="8"/>
        <v>-5500000</v>
      </c>
      <c r="BV14" s="24">
        <f t="shared" si="8"/>
        <v>-5580000</v>
      </c>
      <c r="BW14" s="24">
        <f t="shared" si="8"/>
        <v>-5660000</v>
      </c>
    </row>
    <row r="15" spans="3:75" ht="19.5" customHeight="1" x14ac:dyDescent="0.2">
      <c r="C15" t="s">
        <v>31</v>
      </c>
      <c r="D15" s="24">
        <f>+D9</f>
        <v>-75000</v>
      </c>
      <c r="E15" s="24">
        <f t="shared" ref="E15:AJ15" si="9">+E9</f>
        <v>-75000</v>
      </c>
      <c r="F15" s="24">
        <f t="shared" si="9"/>
        <v>-75000</v>
      </c>
      <c r="G15" s="24">
        <f t="shared" si="9"/>
        <v>-75000</v>
      </c>
      <c r="H15" s="24">
        <f t="shared" si="9"/>
        <v>-75000</v>
      </c>
      <c r="I15" s="24">
        <f t="shared" si="9"/>
        <v>-75000</v>
      </c>
      <c r="J15" s="24">
        <f t="shared" si="9"/>
        <v>-75000</v>
      </c>
      <c r="K15" s="24">
        <f t="shared" si="9"/>
        <v>-75000</v>
      </c>
      <c r="L15" s="24">
        <f t="shared" si="9"/>
        <v>-75000</v>
      </c>
      <c r="M15" s="24">
        <f t="shared" si="9"/>
        <v>-75000</v>
      </c>
      <c r="N15" s="24">
        <f t="shared" si="9"/>
        <v>-75000</v>
      </c>
      <c r="O15" s="24">
        <f t="shared" si="9"/>
        <v>-75000</v>
      </c>
      <c r="P15" s="24">
        <f t="shared" si="9"/>
        <v>-125000</v>
      </c>
      <c r="Q15" s="24">
        <f t="shared" si="9"/>
        <v>-125000</v>
      </c>
      <c r="R15" s="24">
        <f t="shared" si="9"/>
        <v>-125000</v>
      </c>
      <c r="S15" s="24">
        <f t="shared" si="9"/>
        <v>-125000</v>
      </c>
      <c r="T15" s="24">
        <f t="shared" si="9"/>
        <v>-125000</v>
      </c>
      <c r="U15" s="24">
        <f t="shared" si="9"/>
        <v>-125000</v>
      </c>
      <c r="V15" s="24">
        <f t="shared" si="9"/>
        <v>-125000</v>
      </c>
      <c r="W15" s="24">
        <f t="shared" si="9"/>
        <v>-125000</v>
      </c>
      <c r="X15" s="24">
        <f t="shared" si="9"/>
        <v>-125000</v>
      </c>
      <c r="Y15" s="24">
        <f t="shared" si="9"/>
        <v>-125000</v>
      </c>
      <c r="Z15" s="24">
        <f t="shared" si="9"/>
        <v>-125000</v>
      </c>
      <c r="AA15" s="24">
        <f t="shared" si="9"/>
        <v>-125000</v>
      </c>
      <c r="AB15" s="24">
        <f t="shared" si="9"/>
        <v>-80000</v>
      </c>
      <c r="AC15" s="24">
        <f t="shared" si="9"/>
        <v>-80000</v>
      </c>
      <c r="AD15" s="24">
        <f t="shared" si="9"/>
        <v>-80000</v>
      </c>
      <c r="AE15" s="24">
        <f t="shared" si="9"/>
        <v>-80000</v>
      </c>
      <c r="AF15" s="24">
        <f t="shared" si="9"/>
        <v>-80000</v>
      </c>
      <c r="AG15" s="24">
        <f t="shared" si="9"/>
        <v>-80000</v>
      </c>
      <c r="AH15" s="24">
        <f t="shared" si="9"/>
        <v>-80000</v>
      </c>
      <c r="AI15" s="24">
        <f t="shared" si="9"/>
        <v>-80000</v>
      </c>
      <c r="AJ15" s="24">
        <f t="shared" si="9"/>
        <v>-80000</v>
      </c>
      <c r="AK15" s="24">
        <f t="shared" ref="AK15:BP15" si="10">+AK9</f>
        <v>-80000</v>
      </c>
      <c r="AL15" s="24">
        <f t="shared" si="10"/>
        <v>-80000</v>
      </c>
      <c r="AM15" s="24">
        <f t="shared" si="10"/>
        <v>-80000</v>
      </c>
      <c r="AN15" s="24">
        <f t="shared" si="10"/>
        <v>-80000</v>
      </c>
      <c r="AO15" s="24">
        <f t="shared" si="10"/>
        <v>-80000</v>
      </c>
      <c r="AP15" s="24">
        <f t="shared" si="10"/>
        <v>-80000</v>
      </c>
      <c r="AQ15" s="24">
        <f t="shared" si="10"/>
        <v>-80000</v>
      </c>
      <c r="AR15" s="24">
        <f t="shared" si="10"/>
        <v>-80000</v>
      </c>
      <c r="AS15" s="24">
        <f t="shared" si="10"/>
        <v>-80000</v>
      </c>
      <c r="AT15" s="24">
        <f t="shared" si="10"/>
        <v>-80000</v>
      </c>
      <c r="AU15" s="24">
        <f t="shared" si="10"/>
        <v>-80000</v>
      </c>
      <c r="AV15" s="24">
        <f t="shared" si="10"/>
        <v>-80000</v>
      </c>
      <c r="AW15" s="24">
        <f t="shared" si="10"/>
        <v>-80000</v>
      </c>
      <c r="AX15" s="24">
        <f t="shared" si="10"/>
        <v>-80000</v>
      </c>
      <c r="AY15" s="24">
        <f t="shared" si="10"/>
        <v>-80000</v>
      </c>
      <c r="AZ15" s="24">
        <f t="shared" si="10"/>
        <v>-80000</v>
      </c>
      <c r="BA15" s="24">
        <f t="shared" si="10"/>
        <v>-80000</v>
      </c>
      <c r="BB15" s="24">
        <f t="shared" si="10"/>
        <v>-80000</v>
      </c>
      <c r="BC15" s="24">
        <f t="shared" si="10"/>
        <v>-80000</v>
      </c>
      <c r="BD15" s="24">
        <f t="shared" si="10"/>
        <v>-80000</v>
      </c>
      <c r="BE15" s="24">
        <f t="shared" si="10"/>
        <v>-80000</v>
      </c>
      <c r="BF15" s="24">
        <f t="shared" si="10"/>
        <v>-80000</v>
      </c>
      <c r="BG15" s="24">
        <f t="shared" si="10"/>
        <v>-80000</v>
      </c>
      <c r="BH15" s="24">
        <f t="shared" si="10"/>
        <v>-80000</v>
      </c>
      <c r="BI15" s="24">
        <f t="shared" si="10"/>
        <v>-80000</v>
      </c>
      <c r="BJ15" s="24">
        <f t="shared" si="10"/>
        <v>-80000</v>
      </c>
      <c r="BK15" s="24">
        <f t="shared" si="10"/>
        <v>-80000</v>
      </c>
      <c r="BL15" s="24">
        <f t="shared" si="10"/>
        <v>-80000</v>
      </c>
      <c r="BM15" s="24">
        <f t="shared" si="10"/>
        <v>-80000</v>
      </c>
      <c r="BN15" s="24">
        <f t="shared" si="10"/>
        <v>-80000</v>
      </c>
      <c r="BO15" s="24">
        <f t="shared" si="10"/>
        <v>-80000</v>
      </c>
      <c r="BP15" s="24">
        <f t="shared" si="10"/>
        <v>-80000</v>
      </c>
      <c r="BQ15" s="24">
        <f t="shared" ref="BQ15:BW15" si="11">+BQ9</f>
        <v>-80000</v>
      </c>
      <c r="BR15" s="24">
        <f t="shared" si="11"/>
        <v>-80000</v>
      </c>
      <c r="BS15" s="24">
        <f t="shared" si="11"/>
        <v>-80000</v>
      </c>
      <c r="BT15" s="24">
        <f t="shared" si="11"/>
        <v>-80000</v>
      </c>
      <c r="BU15" s="24">
        <f t="shared" si="11"/>
        <v>-80000</v>
      </c>
      <c r="BV15" s="24">
        <f t="shared" si="11"/>
        <v>-80000</v>
      </c>
      <c r="BW15" s="24">
        <f t="shared" si="11"/>
        <v>-80000</v>
      </c>
    </row>
    <row r="16" spans="3:75" ht="19.5" customHeight="1" x14ac:dyDescent="0.2">
      <c r="C16" t="s">
        <v>35</v>
      </c>
      <c r="D16" s="24">
        <f>+IF(ROUND(('1. Calculator'!$C$27-'1. Calculator'!$C$4)/30+1,0)=CalcSheet!D4,'1. Calculator'!$C$28,0)</f>
        <v>0</v>
      </c>
      <c r="E16" s="24">
        <f>+IF(ROUND(('1. Calculator'!$C$27-'1. Calculator'!$C$4)/30+1,0)=CalcSheet!E4,'1. Calculator'!$C$28,0)</f>
        <v>0</v>
      </c>
      <c r="F16" s="24">
        <f>+IF(ROUND(('1. Calculator'!$C$27-'1. Calculator'!$C$4)/30+1,0)=CalcSheet!F4,'1. Calculator'!$C$28,0)</f>
        <v>0</v>
      </c>
      <c r="G16" s="24">
        <f>+IF(ROUND(('1. Calculator'!$C$27-'1. Calculator'!$C$4)/30+1,0)=CalcSheet!G4,'1. Calculator'!$C$28,0)</f>
        <v>0</v>
      </c>
      <c r="H16" s="24">
        <f>+IF(ROUND(('1. Calculator'!$C$27-'1. Calculator'!$C$4)/30+1,0)=CalcSheet!H4,'1. Calculator'!$C$28,0)</f>
        <v>0</v>
      </c>
      <c r="I16" s="24">
        <f>+IF(ROUND(('1. Calculator'!$C$27-'1. Calculator'!$C$4)/30+1,0)=CalcSheet!I4,'1. Calculator'!$C$28,0)</f>
        <v>0</v>
      </c>
      <c r="J16" s="24">
        <f>+IF(ROUND(('1. Calculator'!$C$27-'1. Calculator'!$C$4)/30+1,0)=CalcSheet!J4,'1. Calculator'!$C$28,0)</f>
        <v>0</v>
      </c>
      <c r="K16" s="24">
        <f>+IF(ROUND(('1. Calculator'!$C$27-'1. Calculator'!$C$4)/30+1,0)=CalcSheet!K4,'1. Calculator'!$C$28,0)</f>
        <v>0</v>
      </c>
      <c r="L16" s="24">
        <f>+IF(ROUND(('1. Calculator'!$C$27-'1. Calculator'!$C$4)/30+1,0)=CalcSheet!L4,'1. Calculator'!$C$28,0)</f>
        <v>0</v>
      </c>
      <c r="M16" s="24">
        <f>+IF(ROUND(('1. Calculator'!$C$27-'1. Calculator'!$C$4)/30+1,0)=CalcSheet!M4,'1. Calculator'!$C$28,0)</f>
        <v>0</v>
      </c>
      <c r="N16" s="24">
        <f>+IF(ROUND(('1. Calculator'!$C$27-'1. Calculator'!$C$4)/30+1,0)=CalcSheet!N4,'1. Calculator'!$C$28,0)</f>
        <v>0</v>
      </c>
      <c r="O16" s="24">
        <f>+IF(ROUND(('1. Calculator'!$C$27-'1. Calculator'!$C$4)/30+1,0)=CalcSheet!O4,'1. Calculator'!$C$28,0)</f>
        <v>0</v>
      </c>
      <c r="P16" s="24">
        <f>+IF(ROUND(('1. Calculator'!$C$27-'1. Calculator'!$C$4)/30+1,0)=CalcSheet!P4,'1. Calculator'!$C$28,0)</f>
        <v>0</v>
      </c>
      <c r="Q16" s="24">
        <f>+IF(ROUND(('1. Calculator'!$C$27-'1. Calculator'!$C$4)/30+1,0)=CalcSheet!Q4,'1. Calculator'!$C$28,0)</f>
        <v>0</v>
      </c>
      <c r="R16" s="24">
        <f>+IF(ROUND(('1. Calculator'!$C$27-'1. Calculator'!$C$4)/30+1,0)=CalcSheet!R4,'1. Calculator'!$C$28,0)</f>
        <v>0</v>
      </c>
      <c r="S16" s="24">
        <f>+IF(ROUND(('1. Calculator'!$C$27-'1. Calculator'!$C$4)/30+1,0)=CalcSheet!S4,'1. Calculator'!$C$28,0)</f>
        <v>0</v>
      </c>
      <c r="T16" s="24">
        <f>+IF(ROUND(('1. Calculator'!$C$27-'1. Calculator'!$C$4)/30+1,0)=CalcSheet!T4,'1. Calculator'!$C$28,0)</f>
        <v>0</v>
      </c>
      <c r="U16" s="24">
        <f>+IF(ROUND(('1. Calculator'!$C$27-'1. Calculator'!$C$4)/30+1,0)=CalcSheet!U4,'1. Calculator'!$C$28,0)</f>
        <v>0</v>
      </c>
      <c r="V16" s="24">
        <f>+IF(ROUND(('1. Calculator'!$C$27-'1. Calculator'!$C$4)/30+1,0)=CalcSheet!V4,'1. Calculator'!$C$28,0)</f>
        <v>0</v>
      </c>
      <c r="W16" s="24">
        <f>+IF(ROUND(('1. Calculator'!$C$27-'1. Calculator'!$C$4)/30+1,0)=CalcSheet!W4,'1. Calculator'!$C$28,0)</f>
        <v>0</v>
      </c>
      <c r="X16" s="24">
        <f>+IF(ROUND(('1. Calculator'!$C$27-'1. Calculator'!$C$4)/30+1,0)=CalcSheet!X4,'1. Calculator'!$C$28,0)</f>
        <v>0</v>
      </c>
      <c r="Y16" s="24">
        <f>+IF(ROUND(('1. Calculator'!$C$27-'1. Calculator'!$C$4)/30+1,0)=CalcSheet!Y4,'1. Calculator'!$C$28,0)</f>
        <v>0</v>
      </c>
      <c r="Z16" s="24">
        <f>+IF(ROUND(('1. Calculator'!$C$27-'1. Calculator'!$C$4)/30+1,0)=CalcSheet!Z4,'1. Calculator'!$C$28,0)</f>
        <v>0</v>
      </c>
      <c r="AA16" s="24">
        <f>+IF(ROUND(('1. Calculator'!$C$27-'1. Calculator'!$C$4)/30+1,0)=CalcSheet!AA4,'1. Calculator'!$C$28,0)</f>
        <v>0</v>
      </c>
      <c r="AB16" s="24">
        <f>+IF(ROUND(('1. Calculator'!$C$27-'1. Calculator'!$C$4)/30+1,0)=CalcSheet!AB4,'1. Calculator'!$C$28,0)</f>
        <v>0</v>
      </c>
      <c r="AC16" s="24">
        <f>+IF(ROUND(('1. Calculator'!$C$27-'1. Calculator'!$C$4)/30+1,0)=CalcSheet!AC4,'1. Calculator'!$C$28,0)</f>
        <v>0</v>
      </c>
      <c r="AD16" s="24">
        <f>+IF(ROUND(('1. Calculator'!$C$27-'1. Calculator'!$C$4)/30+1,0)=CalcSheet!AD4,'1. Calculator'!$C$28,0)</f>
        <v>0</v>
      </c>
      <c r="AE16" s="24">
        <f>+IF(ROUND(('1. Calculator'!$C$27-'1. Calculator'!$C$4)/30+1,0)=CalcSheet!AE4,'1. Calculator'!$C$28,0)</f>
        <v>0</v>
      </c>
      <c r="AF16" s="24">
        <f>+IF(ROUND(('1. Calculator'!$C$27-'1. Calculator'!$C$4)/30+1,0)=CalcSheet!AF4,'1. Calculator'!$C$28,0)</f>
        <v>0</v>
      </c>
      <c r="AG16" s="24">
        <f>+IF(ROUND(('1. Calculator'!$C$27-'1. Calculator'!$C$4)/30+1,0)=CalcSheet!AG4,'1. Calculator'!$C$28,0)</f>
        <v>0</v>
      </c>
      <c r="AH16" s="24">
        <f>+IF(ROUND(('1. Calculator'!$C$27-'1. Calculator'!$C$4)/30+1,0)=CalcSheet!AH4,'1. Calculator'!$C$28,0)</f>
        <v>0</v>
      </c>
      <c r="AI16" s="24">
        <f>+IF(ROUND(('1. Calculator'!$C$27-'1. Calculator'!$C$4)/30+1,0)=CalcSheet!AI4,'1. Calculator'!$C$28,0)</f>
        <v>0</v>
      </c>
      <c r="AJ16" s="24">
        <f>+IF(ROUND(('1. Calculator'!$C$27-'1. Calculator'!$C$4)/30+1,0)=CalcSheet!AJ4,'1. Calculator'!$C$28,0)</f>
        <v>0</v>
      </c>
      <c r="AK16" s="24">
        <f>+IF(ROUND(('1. Calculator'!$C$27-'1. Calculator'!$C$4)/30+1,0)=CalcSheet!AK4,'1. Calculator'!$C$28,0)</f>
        <v>0</v>
      </c>
      <c r="AL16" s="24">
        <f>+IF(ROUND(('1. Calculator'!$C$27-'1. Calculator'!$C$4)/30+1,0)=CalcSheet!AL4,'1. Calculator'!$C$28,0)</f>
        <v>0</v>
      </c>
      <c r="AM16" s="24">
        <f>+IF(ROUND(('1. Calculator'!$C$27-'1. Calculator'!$C$4)/30+1,0)=CalcSheet!AM4,'1. Calculator'!$C$28,0)</f>
        <v>0</v>
      </c>
      <c r="AN16" s="24">
        <f>+IF(ROUND(('1. Calculator'!$C$27-'1. Calculator'!$C$4)/30+1,0)=CalcSheet!AN4,'1. Calculator'!$C$28,0)</f>
        <v>0</v>
      </c>
      <c r="AO16" s="24">
        <f>+IF(ROUND(('1. Calculator'!$C$27-'1. Calculator'!$C$4)/30+1,0)=CalcSheet!AO4,'1. Calculator'!$C$28,0)</f>
        <v>0</v>
      </c>
      <c r="AP16" s="24">
        <f>+IF(ROUND(('1. Calculator'!$C$27-'1. Calculator'!$C$4)/30+1,0)=CalcSheet!AP4,'1. Calculator'!$C$28,0)</f>
        <v>0</v>
      </c>
      <c r="AQ16" s="24">
        <f>+IF(ROUND(('1. Calculator'!$C$27-'1. Calculator'!$C$4)/30+1,0)=CalcSheet!AQ4,'1. Calculator'!$C$28,0)</f>
        <v>0</v>
      </c>
      <c r="AR16" s="24">
        <f>+IF(ROUND(('1. Calculator'!$C$27-'1. Calculator'!$C$4)/30+1,0)=CalcSheet!AR4,'1. Calculator'!$C$28,0)</f>
        <v>0</v>
      </c>
      <c r="AS16" s="24">
        <f>+IF(ROUND(('1. Calculator'!$C$27-'1. Calculator'!$C$4)/30+1,0)=CalcSheet!AS4,'1. Calculator'!$C$28,0)</f>
        <v>0</v>
      </c>
      <c r="AT16" s="24">
        <f>+IF(ROUND(('1. Calculator'!$C$27-'1. Calculator'!$C$4)/30+1,0)=CalcSheet!AT4,'1. Calculator'!$C$28,0)</f>
        <v>0</v>
      </c>
      <c r="AU16" s="24">
        <f>+IF(ROUND(('1. Calculator'!$C$27-'1. Calculator'!$C$4)/30+1,0)=CalcSheet!AU4,'1. Calculator'!$C$28,0)</f>
        <v>0</v>
      </c>
      <c r="AV16" s="24">
        <f>+IF(ROUND(('1. Calculator'!$C$27-'1. Calculator'!$C$4)/30+1,0)=CalcSheet!AV4,'1. Calculator'!$C$28,0)</f>
        <v>0</v>
      </c>
      <c r="AW16" s="24">
        <f>+IF(ROUND(('1. Calculator'!$C$27-'1. Calculator'!$C$4)/30+1,0)=CalcSheet!AW4,'1. Calculator'!$C$28,0)</f>
        <v>0</v>
      </c>
      <c r="AX16" s="24">
        <f>+IF(ROUND(('1. Calculator'!$C$27-'1. Calculator'!$C$4)/30+1,0)=CalcSheet!AX4,'1. Calculator'!$C$28,0)</f>
        <v>0</v>
      </c>
      <c r="AY16" s="24">
        <f>+IF(ROUND(('1. Calculator'!$C$27-'1. Calculator'!$C$4)/30+1,0)=CalcSheet!AY4,'1. Calculator'!$C$28,0)</f>
        <v>0</v>
      </c>
      <c r="AZ16" s="24">
        <f>+IF(ROUND(('1. Calculator'!$C$27-'1. Calculator'!$C$4)/30+1,0)=CalcSheet!AZ4,'1. Calculator'!$C$28,0)</f>
        <v>0</v>
      </c>
      <c r="BA16" s="24">
        <f>+IF(ROUND(('1. Calculator'!$C$27-'1. Calculator'!$C$4)/30+1,0)=CalcSheet!BA4,'1. Calculator'!$C$28,0)</f>
        <v>0</v>
      </c>
      <c r="BB16" s="24">
        <f>+IF(ROUND(('1. Calculator'!$C$27-'1. Calculator'!$C$4)/30+1,0)=CalcSheet!BB4,'1. Calculator'!$C$28,0)</f>
        <v>0</v>
      </c>
      <c r="BC16" s="24">
        <f>+IF(ROUND(('1. Calculator'!$C$27-'1. Calculator'!$C$4)/30+1,0)=CalcSheet!BC4,'1. Calculator'!$C$28,0)</f>
        <v>0</v>
      </c>
      <c r="BD16" s="24">
        <f>+IF(ROUND(('1. Calculator'!$C$27-'1. Calculator'!$C$4)/30+1,0)=CalcSheet!BD4,'1. Calculator'!$C$28,0)</f>
        <v>0</v>
      </c>
      <c r="BE16" s="24">
        <f>+IF(ROUND(('1. Calculator'!$C$27-'1. Calculator'!$C$4)/30+1,0)=CalcSheet!BE4,'1. Calculator'!$C$28,0)</f>
        <v>0</v>
      </c>
      <c r="BF16" s="24">
        <f>+IF(ROUND(('1. Calculator'!$C$27-'1. Calculator'!$C$4)/30+1,0)=CalcSheet!BF4,'1. Calculator'!$C$28,0)</f>
        <v>0</v>
      </c>
      <c r="BG16" s="24">
        <f>+IF(ROUND(('1. Calculator'!$C$27-'1. Calculator'!$C$4)/30+1,0)=CalcSheet!BG4,'1. Calculator'!$C$28,0)</f>
        <v>0</v>
      </c>
      <c r="BH16" s="24">
        <f>+IF(ROUND(('1. Calculator'!$C$27-'1. Calculator'!$C$4)/30+1,0)=CalcSheet!BH4,'1. Calculator'!$C$28,0)</f>
        <v>0</v>
      </c>
      <c r="BI16" s="24">
        <f>+IF(ROUND(('1. Calculator'!$C$27-'1. Calculator'!$C$4)/30+1,0)=CalcSheet!BI4,'1. Calculator'!$C$28,0)</f>
        <v>0</v>
      </c>
      <c r="BJ16" s="24">
        <f>+IF(ROUND(('1. Calculator'!$C$27-'1. Calculator'!$C$4)/30+1,0)=CalcSheet!BJ4,'1. Calculator'!$C$28,0)</f>
        <v>0</v>
      </c>
      <c r="BK16" s="24">
        <f>+IF(ROUND(('1. Calculator'!$C$27-'1. Calculator'!$C$4)/30+1,0)=CalcSheet!BK4,'1. Calculator'!$C$28,0)</f>
        <v>0</v>
      </c>
      <c r="BL16" s="24">
        <f>+IF(ROUND(('1. Calculator'!$C$27-'1. Calculator'!$C$4)/30+1,0)=CalcSheet!BL4,'1. Calculator'!$C$28,0)</f>
        <v>0</v>
      </c>
      <c r="BM16" s="24">
        <f>+IF(ROUND(('1. Calculator'!$C$27-'1. Calculator'!$C$4)/30+1,0)=CalcSheet!BM4,'1. Calculator'!$C$28,0)</f>
        <v>0</v>
      </c>
      <c r="BN16" s="24">
        <f>+IF(ROUND(('1. Calculator'!$C$27-'1. Calculator'!$C$4)/30+1,0)=CalcSheet!BN4,'1. Calculator'!$C$28,0)</f>
        <v>0</v>
      </c>
      <c r="BO16" s="24">
        <f>+IF(ROUND(('1. Calculator'!$C$27-'1. Calculator'!$C$4)/30+1,0)=CalcSheet!BO4,'1. Calculator'!$C$28,0)</f>
        <v>0</v>
      </c>
      <c r="BP16" s="24">
        <f>+IF(ROUND(('1. Calculator'!$C$27-'1. Calculator'!$C$4)/30+1,0)=CalcSheet!BP4,'1. Calculator'!$C$28,0)</f>
        <v>0</v>
      </c>
      <c r="BQ16" s="24">
        <f>+IF(ROUND(('1. Calculator'!$C$27-'1. Calculator'!$C$4)/30+1,0)=CalcSheet!BQ4,'1. Calculator'!$C$28,0)</f>
        <v>0</v>
      </c>
      <c r="BR16" s="24">
        <f>+IF(ROUND(('1. Calculator'!$C$27-'1. Calculator'!$C$4)/30+1,0)=CalcSheet!BR4,'1. Calculator'!$C$28,0)</f>
        <v>0</v>
      </c>
      <c r="BS16" s="24">
        <f>+IF(ROUND(('1. Calculator'!$C$27-'1. Calculator'!$C$4)/30+1,0)=CalcSheet!BS4,'1. Calculator'!$C$28,0)</f>
        <v>0</v>
      </c>
      <c r="BT16" s="24">
        <f>+IF(ROUND(('1. Calculator'!$C$27-'1. Calculator'!$C$4)/30+1,0)=CalcSheet!BT4,'1. Calculator'!$C$28,0)</f>
        <v>0</v>
      </c>
      <c r="BU16" s="24">
        <f>+IF(ROUND(('1. Calculator'!$C$27-'1. Calculator'!$C$4)/30+1,0)=CalcSheet!BU4,'1. Calculator'!$C$28,0)</f>
        <v>0</v>
      </c>
      <c r="BV16" s="24">
        <f>+IF(ROUND(('1. Calculator'!$C$27-'1. Calculator'!$C$4)/30+1,0)=CalcSheet!BV4,'1. Calculator'!$C$28,0)</f>
        <v>0</v>
      </c>
      <c r="BW16" s="24">
        <f>+IF(ROUND(('1. Calculator'!$C$27-'1. Calculator'!$C$4)/30+1,0)=CalcSheet!BW4,'1. Calculator'!$C$28,0)</f>
        <v>0</v>
      </c>
    </row>
    <row r="17" spans="3:75" ht="19.5" customHeight="1" x14ac:dyDescent="0.2">
      <c r="C17" t="s">
        <v>28</v>
      </c>
      <c r="D17" s="24">
        <f t="shared" ref="D17:AI17" si="12">+D14+D15+D16</f>
        <v>425000</v>
      </c>
      <c r="E17" s="24">
        <f t="shared" si="12"/>
        <v>350000</v>
      </c>
      <c r="F17" s="24">
        <f t="shared" si="12"/>
        <v>275000</v>
      </c>
      <c r="G17" s="24">
        <f t="shared" si="12"/>
        <v>200000</v>
      </c>
      <c r="H17" s="24">
        <f t="shared" si="12"/>
        <v>125000</v>
      </c>
      <c r="I17" s="24">
        <f t="shared" si="12"/>
        <v>50000</v>
      </c>
      <c r="J17" s="24">
        <f t="shared" si="12"/>
        <v>-25000</v>
      </c>
      <c r="K17" s="24">
        <f t="shared" si="12"/>
        <v>-100000</v>
      </c>
      <c r="L17" s="24">
        <f t="shared" si="12"/>
        <v>-175000</v>
      </c>
      <c r="M17" s="24">
        <f t="shared" si="12"/>
        <v>-250000</v>
      </c>
      <c r="N17" s="24">
        <f t="shared" si="12"/>
        <v>-325000</v>
      </c>
      <c r="O17" s="24">
        <f t="shared" si="12"/>
        <v>-400000</v>
      </c>
      <c r="P17" s="24">
        <f t="shared" si="12"/>
        <v>-525000</v>
      </c>
      <c r="Q17" s="24">
        <f t="shared" si="12"/>
        <v>-650000</v>
      </c>
      <c r="R17" s="24">
        <f t="shared" si="12"/>
        <v>-775000</v>
      </c>
      <c r="S17" s="24">
        <f t="shared" si="12"/>
        <v>-900000</v>
      </c>
      <c r="T17" s="24">
        <f t="shared" si="12"/>
        <v>-1025000</v>
      </c>
      <c r="U17" s="24">
        <f t="shared" si="12"/>
        <v>-1150000</v>
      </c>
      <c r="V17" s="24">
        <f t="shared" si="12"/>
        <v>-1275000</v>
      </c>
      <c r="W17" s="24">
        <f t="shared" si="12"/>
        <v>-1400000</v>
      </c>
      <c r="X17" s="24">
        <f t="shared" si="12"/>
        <v>-1525000</v>
      </c>
      <c r="Y17" s="24">
        <f t="shared" si="12"/>
        <v>-1650000</v>
      </c>
      <c r="Z17" s="24">
        <f t="shared" si="12"/>
        <v>-1775000</v>
      </c>
      <c r="AA17" s="24">
        <f t="shared" si="12"/>
        <v>-1900000</v>
      </c>
      <c r="AB17" s="24">
        <f t="shared" si="12"/>
        <v>-1980000</v>
      </c>
      <c r="AC17" s="24">
        <f t="shared" si="12"/>
        <v>-2060000</v>
      </c>
      <c r="AD17" s="24">
        <f t="shared" si="12"/>
        <v>-2140000</v>
      </c>
      <c r="AE17" s="24">
        <f t="shared" si="12"/>
        <v>-2220000</v>
      </c>
      <c r="AF17" s="24">
        <f t="shared" si="12"/>
        <v>-2300000</v>
      </c>
      <c r="AG17" s="24">
        <f t="shared" si="12"/>
        <v>-2380000</v>
      </c>
      <c r="AH17" s="24">
        <f t="shared" si="12"/>
        <v>-2460000</v>
      </c>
      <c r="AI17" s="24">
        <f t="shared" si="12"/>
        <v>-2540000</v>
      </c>
      <c r="AJ17" s="24">
        <f t="shared" ref="AJ17:BO17" si="13">+AJ14+AJ15+AJ16</f>
        <v>-2620000</v>
      </c>
      <c r="AK17" s="24">
        <f t="shared" si="13"/>
        <v>-2700000</v>
      </c>
      <c r="AL17" s="24">
        <f t="shared" si="13"/>
        <v>-2780000</v>
      </c>
      <c r="AM17" s="24">
        <f t="shared" si="13"/>
        <v>-2860000</v>
      </c>
      <c r="AN17" s="24">
        <f t="shared" si="13"/>
        <v>-2940000</v>
      </c>
      <c r="AO17" s="24">
        <f t="shared" si="13"/>
        <v>-3020000</v>
      </c>
      <c r="AP17" s="24">
        <f t="shared" si="13"/>
        <v>-3100000</v>
      </c>
      <c r="AQ17" s="24">
        <f t="shared" si="13"/>
        <v>-3180000</v>
      </c>
      <c r="AR17" s="24">
        <f t="shared" si="13"/>
        <v>-3260000</v>
      </c>
      <c r="AS17" s="24">
        <f t="shared" si="13"/>
        <v>-3340000</v>
      </c>
      <c r="AT17" s="24">
        <f t="shared" si="13"/>
        <v>-3420000</v>
      </c>
      <c r="AU17" s="24">
        <f t="shared" si="13"/>
        <v>-3500000</v>
      </c>
      <c r="AV17" s="24">
        <f t="shared" si="13"/>
        <v>-3580000</v>
      </c>
      <c r="AW17" s="24">
        <f t="shared" si="13"/>
        <v>-3660000</v>
      </c>
      <c r="AX17" s="24">
        <f t="shared" si="13"/>
        <v>-3740000</v>
      </c>
      <c r="AY17" s="24">
        <f t="shared" si="13"/>
        <v>-3820000</v>
      </c>
      <c r="AZ17" s="24">
        <f t="shared" si="13"/>
        <v>-3900000</v>
      </c>
      <c r="BA17" s="24">
        <f t="shared" si="13"/>
        <v>-3980000</v>
      </c>
      <c r="BB17" s="24">
        <f t="shared" si="13"/>
        <v>-4060000</v>
      </c>
      <c r="BC17" s="24">
        <f t="shared" si="13"/>
        <v>-4140000</v>
      </c>
      <c r="BD17" s="24">
        <f t="shared" si="13"/>
        <v>-4220000</v>
      </c>
      <c r="BE17" s="24">
        <f t="shared" si="13"/>
        <v>-4300000</v>
      </c>
      <c r="BF17" s="24">
        <f t="shared" si="13"/>
        <v>-4380000</v>
      </c>
      <c r="BG17" s="24">
        <f t="shared" si="13"/>
        <v>-4460000</v>
      </c>
      <c r="BH17" s="24">
        <f t="shared" si="13"/>
        <v>-4540000</v>
      </c>
      <c r="BI17" s="24">
        <f t="shared" si="13"/>
        <v>-4620000</v>
      </c>
      <c r="BJ17" s="24">
        <f t="shared" si="13"/>
        <v>-4700000</v>
      </c>
      <c r="BK17" s="24">
        <f t="shared" si="13"/>
        <v>-4780000</v>
      </c>
      <c r="BL17" s="24">
        <f t="shared" si="13"/>
        <v>-4860000</v>
      </c>
      <c r="BM17" s="24">
        <f t="shared" si="13"/>
        <v>-4940000</v>
      </c>
      <c r="BN17" s="24">
        <f t="shared" si="13"/>
        <v>-5020000</v>
      </c>
      <c r="BO17" s="24">
        <f t="shared" si="13"/>
        <v>-5100000</v>
      </c>
      <c r="BP17" s="24">
        <f t="shared" ref="BP17:BW17" si="14">+BP14+BP15+BP16</f>
        <v>-5180000</v>
      </c>
      <c r="BQ17" s="24">
        <f t="shared" si="14"/>
        <v>-5260000</v>
      </c>
      <c r="BR17" s="24">
        <f t="shared" si="14"/>
        <v>-5340000</v>
      </c>
      <c r="BS17" s="24">
        <f t="shared" si="14"/>
        <v>-5420000</v>
      </c>
      <c r="BT17" s="24">
        <f t="shared" si="14"/>
        <v>-5500000</v>
      </c>
      <c r="BU17" s="24">
        <f t="shared" si="14"/>
        <v>-5580000</v>
      </c>
      <c r="BV17" s="24">
        <f t="shared" si="14"/>
        <v>-5660000</v>
      </c>
      <c r="BW17" s="24">
        <f t="shared" si="14"/>
        <v>-5740000</v>
      </c>
    </row>
    <row r="18" spans="3:75" ht="19.5" customHeight="1" x14ac:dyDescent="0.2">
      <c r="C18" t="s">
        <v>33</v>
      </c>
      <c r="D18" s="24">
        <f t="shared" ref="D18:AI18" si="15">+IF(D17&gt;0,D17,0)</f>
        <v>425000</v>
      </c>
      <c r="E18" s="24">
        <f t="shared" si="15"/>
        <v>350000</v>
      </c>
      <c r="F18" s="24">
        <f t="shared" si="15"/>
        <v>275000</v>
      </c>
      <c r="G18" s="24">
        <f t="shared" si="15"/>
        <v>200000</v>
      </c>
      <c r="H18" s="24">
        <f t="shared" si="15"/>
        <v>125000</v>
      </c>
      <c r="I18" s="24">
        <f t="shared" si="15"/>
        <v>50000</v>
      </c>
      <c r="J18" s="24">
        <f t="shared" si="15"/>
        <v>0</v>
      </c>
      <c r="K18" s="24">
        <f t="shared" si="15"/>
        <v>0</v>
      </c>
      <c r="L18" s="24">
        <f t="shared" si="15"/>
        <v>0</v>
      </c>
      <c r="M18" s="24">
        <f t="shared" si="15"/>
        <v>0</v>
      </c>
      <c r="N18" s="24">
        <f t="shared" si="15"/>
        <v>0</v>
      </c>
      <c r="O18" s="24">
        <f t="shared" si="15"/>
        <v>0</v>
      </c>
      <c r="P18" s="24">
        <f t="shared" si="15"/>
        <v>0</v>
      </c>
      <c r="Q18" s="24">
        <f t="shared" si="15"/>
        <v>0</v>
      </c>
      <c r="R18" s="24">
        <f t="shared" si="15"/>
        <v>0</v>
      </c>
      <c r="S18" s="24">
        <f t="shared" si="15"/>
        <v>0</v>
      </c>
      <c r="T18" s="24">
        <f t="shared" si="15"/>
        <v>0</v>
      </c>
      <c r="U18" s="24">
        <f t="shared" si="15"/>
        <v>0</v>
      </c>
      <c r="V18" s="24">
        <f t="shared" si="15"/>
        <v>0</v>
      </c>
      <c r="W18" s="24">
        <f t="shared" si="15"/>
        <v>0</v>
      </c>
      <c r="X18" s="24">
        <f t="shared" si="15"/>
        <v>0</v>
      </c>
      <c r="Y18" s="24">
        <f t="shared" si="15"/>
        <v>0</v>
      </c>
      <c r="Z18" s="24">
        <f t="shared" si="15"/>
        <v>0</v>
      </c>
      <c r="AA18" s="24">
        <f t="shared" si="15"/>
        <v>0</v>
      </c>
      <c r="AB18" s="24">
        <f t="shared" si="15"/>
        <v>0</v>
      </c>
      <c r="AC18" s="24">
        <f t="shared" si="15"/>
        <v>0</v>
      </c>
      <c r="AD18" s="24">
        <f t="shared" si="15"/>
        <v>0</v>
      </c>
      <c r="AE18" s="24">
        <f t="shared" si="15"/>
        <v>0</v>
      </c>
      <c r="AF18" s="24">
        <f t="shared" si="15"/>
        <v>0</v>
      </c>
      <c r="AG18" s="24">
        <f t="shared" si="15"/>
        <v>0</v>
      </c>
      <c r="AH18" s="24">
        <f t="shared" si="15"/>
        <v>0</v>
      </c>
      <c r="AI18" s="24">
        <f t="shared" si="15"/>
        <v>0</v>
      </c>
      <c r="AJ18" s="24">
        <f t="shared" ref="AJ18:BO18" si="16">+IF(AJ17&gt;0,AJ17,0)</f>
        <v>0</v>
      </c>
      <c r="AK18" s="24">
        <f t="shared" si="16"/>
        <v>0</v>
      </c>
      <c r="AL18" s="24">
        <f t="shared" si="16"/>
        <v>0</v>
      </c>
      <c r="AM18" s="24">
        <f t="shared" si="16"/>
        <v>0</v>
      </c>
      <c r="AN18" s="24">
        <f t="shared" si="16"/>
        <v>0</v>
      </c>
      <c r="AO18" s="24">
        <f t="shared" si="16"/>
        <v>0</v>
      </c>
      <c r="AP18" s="24">
        <f t="shared" si="16"/>
        <v>0</v>
      </c>
      <c r="AQ18" s="24">
        <f t="shared" si="16"/>
        <v>0</v>
      </c>
      <c r="AR18" s="24">
        <f t="shared" si="16"/>
        <v>0</v>
      </c>
      <c r="AS18" s="24">
        <f t="shared" si="16"/>
        <v>0</v>
      </c>
      <c r="AT18" s="24">
        <f t="shared" si="16"/>
        <v>0</v>
      </c>
      <c r="AU18" s="24">
        <f t="shared" si="16"/>
        <v>0</v>
      </c>
      <c r="AV18" s="24">
        <f t="shared" si="16"/>
        <v>0</v>
      </c>
      <c r="AW18" s="24">
        <f t="shared" si="16"/>
        <v>0</v>
      </c>
      <c r="AX18" s="24">
        <f t="shared" si="16"/>
        <v>0</v>
      </c>
      <c r="AY18" s="24">
        <f t="shared" si="16"/>
        <v>0</v>
      </c>
      <c r="AZ18" s="24">
        <f t="shared" si="16"/>
        <v>0</v>
      </c>
      <c r="BA18" s="24">
        <f t="shared" si="16"/>
        <v>0</v>
      </c>
      <c r="BB18" s="24">
        <f t="shared" si="16"/>
        <v>0</v>
      </c>
      <c r="BC18" s="24">
        <f t="shared" si="16"/>
        <v>0</v>
      </c>
      <c r="BD18" s="24">
        <f t="shared" si="16"/>
        <v>0</v>
      </c>
      <c r="BE18" s="24">
        <f t="shared" si="16"/>
        <v>0</v>
      </c>
      <c r="BF18" s="24">
        <f t="shared" si="16"/>
        <v>0</v>
      </c>
      <c r="BG18" s="24">
        <f t="shared" si="16"/>
        <v>0</v>
      </c>
      <c r="BH18" s="24">
        <f t="shared" si="16"/>
        <v>0</v>
      </c>
      <c r="BI18" s="24">
        <f t="shared" si="16"/>
        <v>0</v>
      </c>
      <c r="BJ18" s="24">
        <f t="shared" si="16"/>
        <v>0</v>
      </c>
      <c r="BK18" s="24">
        <f t="shared" si="16"/>
        <v>0</v>
      </c>
      <c r="BL18" s="24">
        <f t="shared" si="16"/>
        <v>0</v>
      </c>
      <c r="BM18" s="24">
        <f t="shared" si="16"/>
        <v>0</v>
      </c>
      <c r="BN18" s="24">
        <f t="shared" si="16"/>
        <v>0</v>
      </c>
      <c r="BO18" s="24">
        <f t="shared" si="16"/>
        <v>0</v>
      </c>
      <c r="BP18" s="24">
        <f t="shared" ref="BP18:BW18" si="17">+IF(BP17&gt;0,BP17,0)</f>
        <v>0</v>
      </c>
      <c r="BQ18" s="24">
        <f t="shared" si="17"/>
        <v>0</v>
      </c>
      <c r="BR18" s="24">
        <f t="shared" si="17"/>
        <v>0</v>
      </c>
      <c r="BS18" s="24">
        <f t="shared" si="17"/>
        <v>0</v>
      </c>
      <c r="BT18" s="24">
        <f t="shared" si="17"/>
        <v>0</v>
      </c>
      <c r="BU18" s="24">
        <f t="shared" si="17"/>
        <v>0</v>
      </c>
      <c r="BV18" s="24">
        <f t="shared" si="17"/>
        <v>0</v>
      </c>
      <c r="BW18" s="24">
        <f t="shared" si="17"/>
        <v>0</v>
      </c>
    </row>
    <row r="19" spans="3:75" ht="19.5" customHeight="1" x14ac:dyDescent="0.2">
      <c r="C19" t="s">
        <v>34</v>
      </c>
      <c r="D19" s="24">
        <f t="shared" ref="D19:AI19" si="18">+IF(D17&lt;=0,D17,0)</f>
        <v>0</v>
      </c>
      <c r="E19" s="24">
        <f t="shared" si="18"/>
        <v>0</v>
      </c>
      <c r="F19" s="24">
        <f t="shared" si="18"/>
        <v>0</v>
      </c>
      <c r="G19" s="24">
        <f t="shared" si="18"/>
        <v>0</v>
      </c>
      <c r="H19" s="24">
        <f t="shared" si="18"/>
        <v>0</v>
      </c>
      <c r="I19" s="24">
        <f t="shared" si="18"/>
        <v>0</v>
      </c>
      <c r="J19" s="24">
        <f t="shared" si="18"/>
        <v>-25000</v>
      </c>
      <c r="K19" s="24">
        <f t="shared" si="18"/>
        <v>-100000</v>
      </c>
      <c r="L19" s="24">
        <f t="shared" si="18"/>
        <v>-175000</v>
      </c>
      <c r="M19" s="24">
        <f t="shared" si="18"/>
        <v>-250000</v>
      </c>
      <c r="N19" s="24">
        <f t="shared" si="18"/>
        <v>-325000</v>
      </c>
      <c r="O19" s="24">
        <f t="shared" si="18"/>
        <v>-400000</v>
      </c>
      <c r="P19" s="24">
        <f t="shared" si="18"/>
        <v>-525000</v>
      </c>
      <c r="Q19" s="24">
        <f t="shared" si="18"/>
        <v>-650000</v>
      </c>
      <c r="R19" s="24">
        <f t="shared" si="18"/>
        <v>-775000</v>
      </c>
      <c r="S19" s="24">
        <f t="shared" si="18"/>
        <v>-900000</v>
      </c>
      <c r="T19" s="24">
        <f t="shared" si="18"/>
        <v>-1025000</v>
      </c>
      <c r="U19" s="24">
        <f t="shared" si="18"/>
        <v>-1150000</v>
      </c>
      <c r="V19" s="24">
        <f t="shared" si="18"/>
        <v>-1275000</v>
      </c>
      <c r="W19" s="24">
        <f t="shared" si="18"/>
        <v>-1400000</v>
      </c>
      <c r="X19" s="24">
        <f t="shared" si="18"/>
        <v>-1525000</v>
      </c>
      <c r="Y19" s="24">
        <f t="shared" si="18"/>
        <v>-1650000</v>
      </c>
      <c r="Z19" s="24">
        <f t="shared" si="18"/>
        <v>-1775000</v>
      </c>
      <c r="AA19" s="24">
        <f t="shared" si="18"/>
        <v>-1900000</v>
      </c>
      <c r="AB19" s="24">
        <f t="shared" si="18"/>
        <v>-1980000</v>
      </c>
      <c r="AC19" s="24">
        <f t="shared" si="18"/>
        <v>-2060000</v>
      </c>
      <c r="AD19" s="24">
        <f t="shared" si="18"/>
        <v>-2140000</v>
      </c>
      <c r="AE19" s="24">
        <f t="shared" si="18"/>
        <v>-2220000</v>
      </c>
      <c r="AF19" s="24">
        <f t="shared" si="18"/>
        <v>-2300000</v>
      </c>
      <c r="AG19" s="24">
        <f t="shared" si="18"/>
        <v>-2380000</v>
      </c>
      <c r="AH19" s="24">
        <f t="shared" si="18"/>
        <v>-2460000</v>
      </c>
      <c r="AI19" s="24">
        <f t="shared" si="18"/>
        <v>-2540000</v>
      </c>
      <c r="AJ19" s="24">
        <f t="shared" ref="AJ19:BO19" si="19">+IF(AJ17&lt;=0,AJ17,0)</f>
        <v>-2620000</v>
      </c>
      <c r="AK19" s="24">
        <f t="shared" si="19"/>
        <v>-2700000</v>
      </c>
      <c r="AL19" s="24">
        <f t="shared" si="19"/>
        <v>-2780000</v>
      </c>
      <c r="AM19" s="24">
        <f t="shared" si="19"/>
        <v>-2860000</v>
      </c>
      <c r="AN19" s="24">
        <f t="shared" si="19"/>
        <v>-2940000</v>
      </c>
      <c r="AO19" s="24">
        <f t="shared" si="19"/>
        <v>-3020000</v>
      </c>
      <c r="AP19" s="24">
        <f t="shared" si="19"/>
        <v>-3100000</v>
      </c>
      <c r="AQ19" s="24">
        <f t="shared" si="19"/>
        <v>-3180000</v>
      </c>
      <c r="AR19" s="24">
        <f t="shared" si="19"/>
        <v>-3260000</v>
      </c>
      <c r="AS19" s="24">
        <f t="shared" si="19"/>
        <v>-3340000</v>
      </c>
      <c r="AT19" s="24">
        <f t="shared" si="19"/>
        <v>-3420000</v>
      </c>
      <c r="AU19" s="24">
        <f t="shared" si="19"/>
        <v>-3500000</v>
      </c>
      <c r="AV19" s="24">
        <f t="shared" si="19"/>
        <v>-3580000</v>
      </c>
      <c r="AW19" s="24">
        <f t="shared" si="19"/>
        <v>-3660000</v>
      </c>
      <c r="AX19" s="24">
        <f t="shared" si="19"/>
        <v>-3740000</v>
      </c>
      <c r="AY19" s="24">
        <f t="shared" si="19"/>
        <v>-3820000</v>
      </c>
      <c r="AZ19" s="24">
        <f t="shared" si="19"/>
        <v>-3900000</v>
      </c>
      <c r="BA19" s="24">
        <f t="shared" si="19"/>
        <v>-3980000</v>
      </c>
      <c r="BB19" s="24">
        <f t="shared" si="19"/>
        <v>-4060000</v>
      </c>
      <c r="BC19" s="24">
        <f t="shared" si="19"/>
        <v>-4140000</v>
      </c>
      <c r="BD19" s="24">
        <f t="shared" si="19"/>
        <v>-4220000</v>
      </c>
      <c r="BE19" s="24">
        <f t="shared" si="19"/>
        <v>-4300000</v>
      </c>
      <c r="BF19" s="24">
        <f t="shared" si="19"/>
        <v>-4380000</v>
      </c>
      <c r="BG19" s="24">
        <f t="shared" si="19"/>
        <v>-4460000</v>
      </c>
      <c r="BH19" s="24">
        <f t="shared" si="19"/>
        <v>-4540000</v>
      </c>
      <c r="BI19" s="24">
        <f t="shared" si="19"/>
        <v>-4620000</v>
      </c>
      <c r="BJ19" s="24">
        <f t="shared" si="19"/>
        <v>-4700000</v>
      </c>
      <c r="BK19" s="24">
        <f t="shared" si="19"/>
        <v>-4780000</v>
      </c>
      <c r="BL19" s="24">
        <f t="shared" si="19"/>
        <v>-4860000</v>
      </c>
      <c r="BM19" s="24">
        <f t="shared" si="19"/>
        <v>-4940000</v>
      </c>
      <c r="BN19" s="24">
        <f t="shared" si="19"/>
        <v>-5020000</v>
      </c>
      <c r="BO19" s="24">
        <f t="shared" si="19"/>
        <v>-5100000</v>
      </c>
      <c r="BP19" s="24">
        <f t="shared" ref="BP19:BW19" si="20">+IF(BP17&lt;=0,BP17,0)</f>
        <v>-5180000</v>
      </c>
      <c r="BQ19" s="24">
        <f t="shared" si="20"/>
        <v>-5260000</v>
      </c>
      <c r="BR19" s="24">
        <f t="shared" si="20"/>
        <v>-5340000</v>
      </c>
      <c r="BS19" s="24">
        <f t="shared" si="20"/>
        <v>-5420000</v>
      </c>
      <c r="BT19" s="24">
        <f t="shared" si="20"/>
        <v>-5500000</v>
      </c>
      <c r="BU19" s="24">
        <f t="shared" si="20"/>
        <v>-5580000</v>
      </c>
      <c r="BV19" s="24">
        <f t="shared" si="20"/>
        <v>-5660000</v>
      </c>
      <c r="BW19" s="24">
        <f t="shared" si="20"/>
        <v>-5740000</v>
      </c>
    </row>
    <row r="20" spans="3:75" ht="19.5" customHeight="1" x14ac:dyDescent="0.2">
      <c r="C20" t="s">
        <v>32</v>
      </c>
      <c r="D20">
        <f>+IF(AND(D17&gt;=0,COUNTIFS($C17:C17,"&lt;0")=0),1,IF(AND(C20&gt;0,D17&lt;0),ABS(1-D17/D15),0))</f>
        <v>1</v>
      </c>
      <c r="E20">
        <f>+IF(AND(E17&gt;=0,COUNTIFS($C17:D17,"&lt;0")=0),1,IF(AND(D20&gt;0,E17&lt;0),ABS(1-E17/E15),0))</f>
        <v>1</v>
      </c>
      <c r="F20">
        <f>+IF(AND(F17&gt;=0,COUNTIFS($C17:E17,"&lt;0")=0),1,IF(AND(E20&gt;0,F17&lt;0),ABS(1-F17/F15),0))</f>
        <v>1</v>
      </c>
      <c r="G20">
        <f>+IF(AND(G17&gt;=0,COUNTIFS($C17:F17,"&lt;0")=0),1,IF(AND(F20&gt;0,G17&lt;0),ABS(1-G17/G15),0))</f>
        <v>1</v>
      </c>
      <c r="H20">
        <f>+IF(AND(H17&gt;=0,COUNTIFS($C17:G17,"&lt;0")=0),1,IF(AND(G20&gt;0,H17&lt;0),ABS(1-H17/H15),0))</f>
        <v>1</v>
      </c>
      <c r="I20">
        <f>+IF(AND(I17&gt;=0,COUNTIFS($C17:H17,"&lt;0")=0),1,IF(AND(H20&gt;0,I17&lt;0),ABS(1-I17/I15),0))</f>
        <v>1</v>
      </c>
      <c r="J20">
        <f>+IF(AND(J17&gt;=0,COUNTIFS($C17:I17,"&lt;0")=0),1,IF(AND(I20&gt;0,J17&lt;0),ABS(1-J17/J15),0))</f>
        <v>0.66666666666666674</v>
      </c>
      <c r="K20">
        <f>+IF(AND(K17&gt;=0,COUNTIFS($C17:J17,"&lt;0")=0),1,IF(AND(J20&gt;0,K17&lt;0),ABS(1-K17/K15),0))</f>
        <v>0.33333333333333326</v>
      </c>
      <c r="L20">
        <f>+IF(AND(L17&gt;=0,COUNTIFS($C17:K17,"&lt;0")=0),1,IF(AND(K20&gt;0,L17&lt;0),ABS(1-L17/L15),0))</f>
        <v>1.3333333333333335</v>
      </c>
      <c r="M20">
        <f>+IF(AND(M17&gt;=0,COUNTIFS($C17:L17,"&lt;0")=0),1,IF(AND(L20&gt;0,M17&lt;0),ABS(1-M17/M15),0))</f>
        <v>2.3333333333333335</v>
      </c>
      <c r="N20">
        <f>+IF(AND(N17&gt;=0,COUNTIFS($C17:M17,"&lt;0")=0),1,IF(AND(M20&gt;0,N17&lt;0),ABS(1-N17/N15),0))</f>
        <v>3.333333333333333</v>
      </c>
      <c r="O20">
        <f>+IF(AND(O17&gt;=0,COUNTIFS($C17:N17,"&lt;0")=0),1,IF(AND(N20&gt;0,O17&lt;0),ABS(1-O17/O15),0))</f>
        <v>4.333333333333333</v>
      </c>
      <c r="P20">
        <f>+IF(AND(P17&gt;=0,COUNTIFS($C17:O17,"&lt;0")=0),1,IF(AND(O20&gt;0,P17&lt;0),ABS(1-P17/P15),0))</f>
        <v>3.2</v>
      </c>
      <c r="Q20">
        <f>+IF(AND(Q17&gt;=0,COUNTIFS($C17:P17,"&lt;0")=0),1,IF(AND(P20&gt;0,Q17&lt;0),ABS(1-Q17/Q15),0))</f>
        <v>4.2</v>
      </c>
      <c r="R20">
        <f>+IF(AND(R17&gt;=0,COUNTIFS($C17:Q17,"&lt;0")=0),1,IF(AND(Q20&gt;0,R17&lt;0),ABS(1-R17/R15),0))</f>
        <v>5.2</v>
      </c>
      <c r="S20">
        <f>+IF(AND(S17&gt;=0,COUNTIFS($C17:R17,"&lt;0")=0),1,IF(AND(R20&gt;0,S17&lt;0),ABS(1-S17/S15),0))</f>
        <v>6.2</v>
      </c>
      <c r="T20">
        <f>+IF(AND(T17&gt;=0,COUNTIFS($C17:S17,"&lt;0")=0),1,IF(AND(S20&gt;0,T17&lt;0),ABS(1-T17/T15),0))</f>
        <v>7.1999999999999993</v>
      </c>
      <c r="U20">
        <f>+IF(AND(U17&gt;=0,COUNTIFS($C17:T17,"&lt;0")=0),1,IF(AND(T20&gt;0,U17&lt;0),ABS(1-U17/U15),0))</f>
        <v>8.1999999999999993</v>
      </c>
      <c r="V20">
        <f>+IF(AND(V17&gt;=0,COUNTIFS($C17:U17,"&lt;0")=0),1,IF(AND(U20&gt;0,V17&lt;0),ABS(1-V17/V15),0))</f>
        <v>9.1999999999999993</v>
      </c>
      <c r="W20">
        <f>+IF(AND(W17&gt;=0,COUNTIFS($C17:V17,"&lt;0")=0),1,IF(AND(V20&gt;0,W17&lt;0),ABS(1-W17/W15),0))</f>
        <v>10.199999999999999</v>
      </c>
      <c r="X20">
        <f>+IF(AND(X17&gt;=0,COUNTIFS($C17:W17,"&lt;0")=0),1,IF(AND(W20&gt;0,X17&lt;0),ABS(1-X17/X15),0))</f>
        <v>11.2</v>
      </c>
      <c r="Y20">
        <f>+IF(AND(Y17&gt;=0,COUNTIFS($C17:X17,"&lt;0")=0),1,IF(AND(X20&gt;0,Y17&lt;0),ABS(1-Y17/Y15),0))</f>
        <v>12.2</v>
      </c>
      <c r="Z20">
        <f>+IF(AND(Z17&gt;=0,COUNTIFS($C17:Y17,"&lt;0")=0),1,IF(AND(Y20&gt;0,Z17&lt;0),ABS(1-Z17/Z15),0))</f>
        <v>13.2</v>
      </c>
      <c r="AA20">
        <f>+IF(AND(AA17&gt;=0,COUNTIFS($C17:Z17,"&lt;0")=0),1,IF(AND(Z20&gt;0,AA17&lt;0),ABS(1-AA17/AA15),0))</f>
        <v>14.2</v>
      </c>
      <c r="AB20">
        <f>+IF(AND(AB17&gt;=0,COUNTIFS($C17:AA17,"&lt;0")=0),1,IF(AND(AA20&gt;0,AB17&lt;0),ABS(1-AB17/AB15),0))</f>
        <v>23.75</v>
      </c>
      <c r="AC20">
        <f>+IF(AND(AC17&gt;=0,COUNTIFS($C17:AB17,"&lt;0")=0),1,IF(AND(AB20&gt;0,AC17&lt;0),ABS(1-AC17/AC15),0))</f>
        <v>24.75</v>
      </c>
      <c r="AD20">
        <f>+IF(AND(AD17&gt;=0,COUNTIFS($C17:AC17,"&lt;0")=0),1,IF(AND(AC20&gt;0,AD17&lt;0),ABS(1-AD17/AD15),0))</f>
        <v>25.75</v>
      </c>
      <c r="AE20">
        <f>+IF(AND(AE17&gt;=0,COUNTIFS($C17:AD17,"&lt;0")=0),1,IF(AND(AD20&gt;0,AE17&lt;0),ABS(1-AE17/AE15),0))</f>
        <v>26.75</v>
      </c>
      <c r="AF20">
        <f>+IF(AND(AF17&gt;=0,COUNTIFS($C17:AE17,"&lt;0")=0),1,IF(AND(AE20&gt;0,AF17&lt;0),ABS(1-AF17/AF15),0))</f>
        <v>27.75</v>
      </c>
      <c r="AG20">
        <f>+IF(AND(AG17&gt;=0,COUNTIFS($C17:AF17,"&lt;0")=0),1,IF(AND(AF20&gt;0,AG17&lt;0),ABS(1-AG17/AG15),0))</f>
        <v>28.75</v>
      </c>
      <c r="AH20">
        <f>+IF(AND(AH17&gt;=0,COUNTIFS($C17:AG17,"&lt;0")=0),1,IF(AND(AG20&gt;0,AH17&lt;0),ABS(1-AH17/AH15),0))</f>
        <v>29.75</v>
      </c>
      <c r="AI20">
        <f>+IF(AND(AI17&gt;=0,COUNTIFS($C17:AH17,"&lt;0")=0),1,IF(AND(AH20&gt;0,AI17&lt;0),ABS(1-AI17/AI15),0))</f>
        <v>30.75</v>
      </c>
      <c r="AJ20">
        <f>+IF(AND(AJ17&gt;=0,COUNTIFS($C17:AI17,"&lt;0")=0),1,IF(AND(AI20&gt;0,AJ17&lt;0),ABS(1-AJ17/AJ15),0))</f>
        <v>31.75</v>
      </c>
      <c r="AK20">
        <f>+IF(AND(AK17&gt;=0,COUNTIFS($C17:AJ17,"&lt;0")=0),1,IF(AND(AJ20&gt;0,AK17&lt;0),ABS(1-AK17/AK15),0))</f>
        <v>32.75</v>
      </c>
      <c r="AL20">
        <f>+IF(AND(AL17&gt;=0,COUNTIFS($C17:AK17,"&lt;0")=0),1,IF(AND(AK20&gt;0,AL17&lt;0),ABS(1-AL17/AL15),0))</f>
        <v>33.75</v>
      </c>
      <c r="AM20">
        <f>+IF(AND(AM17&gt;=0,COUNTIFS($C17:AL17,"&lt;0")=0),1,IF(AND(AL20&gt;0,AM17&lt;0),ABS(1-AM17/AM15),0))</f>
        <v>34.75</v>
      </c>
      <c r="AN20">
        <f>+IF(AND(AN17&gt;=0,COUNTIFS($C17:AM17,"&lt;0")=0),1,IF(AND(AM20&gt;0,AN17&lt;0),ABS(1-AN17/AN15),0))</f>
        <v>35.75</v>
      </c>
      <c r="AO20">
        <f>+IF(AND(AO17&gt;=0,COUNTIFS($C17:AN17,"&lt;0")=0),1,IF(AND(AN20&gt;0,AO17&lt;0),ABS(1-AO17/AO15),0))</f>
        <v>36.75</v>
      </c>
      <c r="AP20">
        <f>+IF(AND(AP17&gt;=0,COUNTIFS($C17:AO17,"&lt;0")=0),1,IF(AND(AO20&gt;0,AP17&lt;0),ABS(1-AP17/AP15),0))</f>
        <v>37.75</v>
      </c>
      <c r="AQ20">
        <f>+IF(AND(AQ17&gt;=0,COUNTIFS($C17:AP17,"&lt;0")=0),1,IF(AND(AP20&gt;0,AQ17&lt;0),ABS(1-AQ17/AQ15),0))</f>
        <v>38.75</v>
      </c>
      <c r="AR20">
        <f>+IF(AND(AR17&gt;=0,COUNTIFS($C17:AQ17,"&lt;0")=0),1,IF(AND(AQ20&gt;0,AR17&lt;0),ABS(1-AR17/AR15),0))</f>
        <v>39.75</v>
      </c>
      <c r="AS20">
        <f>+IF(AND(AS17&gt;=0,COUNTIFS($C17:AR17,"&lt;0")=0),1,IF(AND(AR20&gt;0,AS17&lt;0),ABS(1-AS17/AS15),0))</f>
        <v>40.75</v>
      </c>
      <c r="AT20">
        <f>+IF(AND(AT17&gt;=0,COUNTIFS($C17:AS17,"&lt;0")=0),1,IF(AND(AS20&gt;0,AT17&lt;0),ABS(1-AT17/AT15),0))</f>
        <v>41.75</v>
      </c>
      <c r="AU20">
        <f>+IF(AND(AU17&gt;=0,COUNTIFS($C17:AT17,"&lt;0")=0),1,IF(AND(AT20&gt;0,AU17&lt;0),ABS(1-AU17/AU15),0))</f>
        <v>42.75</v>
      </c>
      <c r="AV20">
        <f>+IF(AND(AV17&gt;=0,COUNTIFS($C17:AU17,"&lt;0")=0),1,IF(AND(AU20&gt;0,AV17&lt;0),ABS(1-AV17/AV15),0))</f>
        <v>43.75</v>
      </c>
      <c r="AW20">
        <f>+IF(AND(AW17&gt;=0,COUNTIFS($C17:AV17,"&lt;0")=0),1,IF(AND(AV20&gt;0,AW17&lt;0),ABS(1-AW17/AW15),0))</f>
        <v>44.75</v>
      </c>
      <c r="AX20">
        <f>+IF(AND(AX17&gt;=0,COUNTIFS($C17:AW17,"&lt;0")=0),1,IF(AND(AW20&gt;0,AX17&lt;0),ABS(1-AX17/AX15),0))</f>
        <v>45.75</v>
      </c>
      <c r="AY20">
        <f>+IF(AND(AY17&gt;=0,COUNTIFS($C17:AX17,"&lt;0")=0),1,IF(AND(AX20&gt;0,AY17&lt;0),ABS(1-AY17/AY15),0))</f>
        <v>46.75</v>
      </c>
      <c r="AZ20">
        <f>+IF(AND(AZ17&gt;=0,COUNTIFS($C17:AY17,"&lt;0")=0),1,IF(AND(AY20&gt;0,AZ17&lt;0),ABS(1-AZ17/AZ15),0))</f>
        <v>47.75</v>
      </c>
      <c r="BA20">
        <f>+IF(AND(BA17&gt;=0,COUNTIFS($C17:AZ17,"&lt;0")=0),1,IF(AND(AZ20&gt;0,BA17&lt;0),ABS(1-BA17/BA15),0))</f>
        <v>48.75</v>
      </c>
      <c r="BB20">
        <f>+IF(AND(BB17&gt;=0,COUNTIFS($C17:BA17,"&lt;0")=0),1,IF(AND(BA20&gt;0,BB17&lt;0),ABS(1-BB17/BB15),0))</f>
        <v>49.75</v>
      </c>
      <c r="BC20">
        <f>+IF(AND(BC17&gt;=0,COUNTIFS($C17:BB17,"&lt;0")=0),1,IF(AND(BB20&gt;0,BC17&lt;0),ABS(1-BC17/BC15),0))</f>
        <v>50.75</v>
      </c>
      <c r="BD20">
        <f>+IF(AND(BD17&gt;=0,COUNTIFS($C17:BC17,"&lt;0")=0),1,IF(AND(BC20&gt;0,BD17&lt;0),ABS(1-BD17/BD15),0))</f>
        <v>51.75</v>
      </c>
      <c r="BE20">
        <f>+IF(AND(BE17&gt;=0,COUNTIFS($C17:BD17,"&lt;0")=0),1,IF(AND(BD20&gt;0,BE17&lt;0),ABS(1-BE17/BE15),0))</f>
        <v>52.75</v>
      </c>
      <c r="BF20">
        <f>+IF(AND(BF17&gt;=0,COUNTIFS($C17:BE17,"&lt;0")=0),1,IF(AND(BE20&gt;0,BF17&lt;0),ABS(1-BF17/BF15),0))</f>
        <v>53.75</v>
      </c>
      <c r="BG20">
        <f>+IF(AND(BG17&gt;=0,COUNTIFS($C17:BF17,"&lt;0")=0),1,IF(AND(BF20&gt;0,BG17&lt;0),ABS(1-BG17/BG15),0))</f>
        <v>54.75</v>
      </c>
      <c r="BH20">
        <f>+IF(AND(BH17&gt;=0,COUNTIFS($C17:BG17,"&lt;0")=0),1,IF(AND(BG20&gt;0,BH17&lt;0),ABS(1-BH17/BH15),0))</f>
        <v>55.75</v>
      </c>
      <c r="BI20">
        <f>+IF(AND(BI17&gt;=0,COUNTIFS($C17:BH17,"&lt;0")=0),1,IF(AND(BH20&gt;0,BI17&lt;0),ABS(1-BI17/BI15),0))</f>
        <v>56.75</v>
      </c>
      <c r="BJ20">
        <f>+IF(AND(BJ17&gt;=0,COUNTIFS($C17:BI17,"&lt;0")=0),1,IF(AND(BI20&gt;0,BJ17&lt;0),ABS(1-BJ17/BJ15),0))</f>
        <v>57.75</v>
      </c>
      <c r="BK20">
        <f>+IF(AND(BK17&gt;=0,COUNTIFS($C17:BJ17,"&lt;0")=0),1,IF(AND(BJ20&gt;0,BK17&lt;0),ABS(1-BK17/BK15),0))</f>
        <v>58.75</v>
      </c>
      <c r="BL20">
        <f>+IF(AND(BL17&gt;=0,COUNTIFS($C17:BK17,"&lt;0")=0),1,IF(AND(BK20&gt;0,BL17&lt;0),ABS(1-BL17/BL15),0))</f>
        <v>59.75</v>
      </c>
      <c r="BM20">
        <f>+IF(AND(BM17&gt;=0,COUNTIFS($C17:BL17,"&lt;0")=0),1,IF(AND(BL20&gt;0,BM17&lt;0),ABS(1-BM17/BM15),0))</f>
        <v>60.75</v>
      </c>
      <c r="BN20">
        <f>+IF(AND(BN17&gt;=0,COUNTIFS($C17:BM17,"&lt;0")=0),1,IF(AND(BM20&gt;0,BN17&lt;0),ABS(1-BN17/BN15),0))</f>
        <v>61.75</v>
      </c>
      <c r="BO20">
        <f>+IF(AND(BO17&gt;=0,COUNTIFS($C17:BN17,"&lt;0")=0),1,IF(AND(BN20&gt;0,BO17&lt;0),ABS(1-BO17/BO15),0))</f>
        <v>62.75</v>
      </c>
      <c r="BP20">
        <f>+IF(AND(BP17&gt;=0,COUNTIFS($C17:BO17,"&lt;0")=0),1,IF(AND(BO20&gt;0,BP17&lt;0),ABS(1-BP17/BP15),0))</f>
        <v>63.75</v>
      </c>
      <c r="BQ20">
        <f>+IF(AND(BQ17&gt;=0,COUNTIFS($C17:BP17,"&lt;0")=0),1,IF(AND(BP20&gt;0,BQ17&lt;0),ABS(1-BQ17/BQ15),0))</f>
        <v>64.75</v>
      </c>
      <c r="BR20">
        <f>+IF(AND(BR17&gt;=0,COUNTIFS($C17:BQ17,"&lt;0")=0),1,IF(AND(BQ20&gt;0,BR17&lt;0),ABS(1-BR17/BR15),0))</f>
        <v>65.75</v>
      </c>
      <c r="BS20">
        <f>+IF(AND(BS17&gt;=0,COUNTIFS($C17:BR17,"&lt;0")=0),1,IF(AND(BR20&gt;0,BS17&lt;0),ABS(1-BS17/BS15),0))</f>
        <v>66.75</v>
      </c>
      <c r="BT20">
        <f>+IF(AND(BT17&gt;=0,COUNTIFS($C17:BS17,"&lt;0")=0),1,IF(AND(BS20&gt;0,BT17&lt;0),ABS(1-BT17/BT15),0))</f>
        <v>67.75</v>
      </c>
      <c r="BU20">
        <f>+IF(AND(BU17&gt;=0,COUNTIFS($C17:BT17,"&lt;0")=0),1,IF(AND(BT20&gt;0,BU17&lt;0),ABS(1-BU17/BU15),0))</f>
        <v>68.75</v>
      </c>
      <c r="BV20">
        <f>+IF(AND(BV17&gt;=0,COUNTIFS($C17:BU17,"&lt;0")=0),1,IF(AND(BU20&gt;0,BV17&lt;0),ABS(1-BV17/BV15),0))</f>
        <v>69.75</v>
      </c>
      <c r="BW20">
        <f>+IF(AND(BW17&gt;=0,COUNTIFS($C17:BV17,"&lt;0")=0),1,IF(AND(BV20&gt;0,BW17&lt;0),ABS(1-BW17/BW15),0))</f>
        <v>70.75</v>
      </c>
    </row>
    <row r="21" spans="3:75" ht="19.5" customHeight="1" x14ac:dyDescent="0.2"/>
    <row r="22" spans="3:75" x14ac:dyDescent="0.2">
      <c r="D22" s="13"/>
    </row>
    <row r="23" spans="3:75" ht="19.5" customHeight="1" thickBot="1" x14ac:dyDescent="0.25">
      <c r="C23" s="23" t="s">
        <v>138</v>
      </c>
      <c r="D23" s="23"/>
      <c r="E23" s="23"/>
      <c r="F23" s="23"/>
      <c r="G23" s="23"/>
      <c r="H23" s="23"/>
      <c r="I23" s="23"/>
      <c r="J23" s="23"/>
      <c r="K23" s="23"/>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W23" s="23"/>
    </row>
    <row r="24" spans="3:75" ht="19.5" customHeight="1" thickTop="1" x14ac:dyDescent="0.2">
      <c r="C24" t="s">
        <v>27</v>
      </c>
      <c r="D24" s="24">
        <f>+D8</f>
        <v>500000</v>
      </c>
      <c r="E24" s="24">
        <f>+D27</f>
        <v>425000</v>
      </c>
      <c r="F24" s="24">
        <f t="shared" ref="F24:BQ24" si="21">+E27</f>
        <v>350000</v>
      </c>
      <c r="G24" s="24">
        <f t="shared" si="21"/>
        <v>275000</v>
      </c>
      <c r="H24" s="24">
        <f t="shared" si="21"/>
        <v>200000</v>
      </c>
      <c r="I24" s="24">
        <f t="shared" si="21"/>
        <v>125000</v>
      </c>
      <c r="J24" s="24">
        <f t="shared" si="21"/>
        <v>50000</v>
      </c>
      <c r="K24" s="24">
        <f t="shared" si="21"/>
        <v>-25000</v>
      </c>
      <c r="L24" s="24">
        <f t="shared" si="21"/>
        <v>1900000</v>
      </c>
      <c r="M24" s="24">
        <f t="shared" si="21"/>
        <v>1825000</v>
      </c>
      <c r="N24" s="24">
        <f t="shared" si="21"/>
        <v>1750000</v>
      </c>
      <c r="O24" s="24">
        <f t="shared" si="21"/>
        <v>1675000</v>
      </c>
      <c r="P24" s="24">
        <f t="shared" si="21"/>
        <v>1600000</v>
      </c>
      <c r="Q24" s="24">
        <f t="shared" si="21"/>
        <v>1475000</v>
      </c>
      <c r="R24" s="24">
        <f t="shared" si="21"/>
        <v>1350000</v>
      </c>
      <c r="S24" s="24">
        <f t="shared" si="21"/>
        <v>1225000</v>
      </c>
      <c r="T24" s="24">
        <f t="shared" si="21"/>
        <v>1100000</v>
      </c>
      <c r="U24" s="24">
        <f t="shared" si="21"/>
        <v>975000</v>
      </c>
      <c r="V24" s="24">
        <f t="shared" si="21"/>
        <v>850000</v>
      </c>
      <c r="W24" s="24">
        <f t="shared" si="21"/>
        <v>725000</v>
      </c>
      <c r="X24" s="24">
        <f t="shared" si="21"/>
        <v>600000</v>
      </c>
      <c r="Y24" s="24">
        <f t="shared" si="21"/>
        <v>475000</v>
      </c>
      <c r="Z24" s="24">
        <f t="shared" si="21"/>
        <v>350000</v>
      </c>
      <c r="AA24" s="24">
        <f t="shared" si="21"/>
        <v>225000</v>
      </c>
      <c r="AB24" s="24">
        <f t="shared" si="21"/>
        <v>100000</v>
      </c>
      <c r="AC24" s="24">
        <f t="shared" si="21"/>
        <v>20000</v>
      </c>
      <c r="AD24" s="24">
        <f t="shared" si="21"/>
        <v>-60000</v>
      </c>
      <c r="AE24" s="24">
        <f t="shared" si="21"/>
        <v>-140000</v>
      </c>
      <c r="AF24" s="24">
        <f t="shared" si="21"/>
        <v>-220000</v>
      </c>
      <c r="AG24" s="24">
        <f t="shared" si="21"/>
        <v>-300000</v>
      </c>
      <c r="AH24" s="24">
        <f t="shared" si="21"/>
        <v>-380000</v>
      </c>
      <c r="AI24" s="24">
        <f t="shared" si="21"/>
        <v>-460000</v>
      </c>
      <c r="AJ24" s="24">
        <f t="shared" si="21"/>
        <v>-540000</v>
      </c>
      <c r="AK24" s="24">
        <f t="shared" si="21"/>
        <v>-620000</v>
      </c>
      <c r="AL24" s="24">
        <f t="shared" si="21"/>
        <v>-700000</v>
      </c>
      <c r="AM24" s="24">
        <f t="shared" si="21"/>
        <v>-780000</v>
      </c>
      <c r="AN24" s="24">
        <f t="shared" si="21"/>
        <v>-860000</v>
      </c>
      <c r="AO24" s="24">
        <f t="shared" si="21"/>
        <v>-940000</v>
      </c>
      <c r="AP24" s="24">
        <f t="shared" si="21"/>
        <v>-1020000</v>
      </c>
      <c r="AQ24" s="24">
        <f t="shared" si="21"/>
        <v>-1100000</v>
      </c>
      <c r="AR24" s="24">
        <f t="shared" si="21"/>
        <v>-1180000</v>
      </c>
      <c r="AS24" s="24">
        <f t="shared" si="21"/>
        <v>-1260000</v>
      </c>
      <c r="AT24" s="24">
        <f t="shared" si="21"/>
        <v>-1340000</v>
      </c>
      <c r="AU24" s="24">
        <f t="shared" si="21"/>
        <v>-1420000</v>
      </c>
      <c r="AV24" s="24">
        <f t="shared" si="21"/>
        <v>-1500000</v>
      </c>
      <c r="AW24" s="24">
        <f t="shared" si="21"/>
        <v>-1580000</v>
      </c>
      <c r="AX24" s="24">
        <f t="shared" si="21"/>
        <v>-1660000</v>
      </c>
      <c r="AY24" s="24">
        <f t="shared" si="21"/>
        <v>-1740000</v>
      </c>
      <c r="AZ24" s="24">
        <f t="shared" si="21"/>
        <v>-1820000</v>
      </c>
      <c r="BA24" s="24">
        <f t="shared" si="21"/>
        <v>-1900000</v>
      </c>
      <c r="BB24" s="24">
        <f t="shared" si="21"/>
        <v>-1980000</v>
      </c>
      <c r="BC24" s="24">
        <f t="shared" si="21"/>
        <v>-2060000</v>
      </c>
      <c r="BD24" s="24">
        <f t="shared" si="21"/>
        <v>-2140000</v>
      </c>
      <c r="BE24" s="24">
        <f t="shared" si="21"/>
        <v>-2220000</v>
      </c>
      <c r="BF24" s="24">
        <f t="shared" si="21"/>
        <v>-2300000</v>
      </c>
      <c r="BG24" s="24">
        <f t="shared" si="21"/>
        <v>-2380000</v>
      </c>
      <c r="BH24" s="24">
        <f t="shared" si="21"/>
        <v>-2460000</v>
      </c>
      <c r="BI24" s="24">
        <f t="shared" si="21"/>
        <v>-2540000</v>
      </c>
      <c r="BJ24" s="24">
        <f t="shared" si="21"/>
        <v>-2620000</v>
      </c>
      <c r="BK24" s="24">
        <f t="shared" si="21"/>
        <v>-2700000</v>
      </c>
      <c r="BL24" s="24">
        <f t="shared" si="21"/>
        <v>-2780000</v>
      </c>
      <c r="BM24" s="24">
        <f t="shared" si="21"/>
        <v>-2860000</v>
      </c>
      <c r="BN24" s="24">
        <f t="shared" si="21"/>
        <v>-2940000</v>
      </c>
      <c r="BO24" s="24">
        <f t="shared" si="21"/>
        <v>-3020000</v>
      </c>
      <c r="BP24" s="24">
        <f t="shared" si="21"/>
        <v>-3100000</v>
      </c>
      <c r="BQ24" s="24">
        <f t="shared" si="21"/>
        <v>-3180000</v>
      </c>
      <c r="BR24" s="24">
        <f t="shared" ref="BR24:BW24" si="22">+BQ27</f>
        <v>-3260000</v>
      </c>
      <c r="BS24" s="24">
        <f t="shared" si="22"/>
        <v>-3340000</v>
      </c>
      <c r="BT24" s="24">
        <f t="shared" si="22"/>
        <v>-3420000</v>
      </c>
      <c r="BU24" s="24">
        <f t="shared" si="22"/>
        <v>-3500000</v>
      </c>
      <c r="BV24" s="24">
        <f t="shared" si="22"/>
        <v>-3580000</v>
      </c>
      <c r="BW24" s="24">
        <f t="shared" si="22"/>
        <v>-3660000</v>
      </c>
    </row>
    <row r="25" spans="3:75" ht="19.5" customHeight="1" x14ac:dyDescent="0.2">
      <c r="C25" t="s">
        <v>31</v>
      </c>
      <c r="D25" s="24">
        <f>+D9</f>
        <v>-75000</v>
      </c>
      <c r="E25" s="24">
        <f t="shared" ref="E25:BP25" si="23">+E9</f>
        <v>-75000</v>
      </c>
      <c r="F25" s="24">
        <f t="shared" si="23"/>
        <v>-75000</v>
      </c>
      <c r="G25" s="24">
        <f t="shared" si="23"/>
        <v>-75000</v>
      </c>
      <c r="H25" s="24">
        <f t="shared" si="23"/>
        <v>-75000</v>
      </c>
      <c r="I25" s="24">
        <f>+I9</f>
        <v>-75000</v>
      </c>
      <c r="J25" s="24">
        <f t="shared" si="23"/>
        <v>-75000</v>
      </c>
      <c r="K25" s="24">
        <f t="shared" si="23"/>
        <v>-75000</v>
      </c>
      <c r="L25" s="24">
        <f t="shared" si="23"/>
        <v>-75000</v>
      </c>
      <c r="M25" s="24">
        <f t="shared" si="23"/>
        <v>-75000</v>
      </c>
      <c r="N25" s="24">
        <f t="shared" si="23"/>
        <v>-75000</v>
      </c>
      <c r="O25" s="24">
        <f t="shared" si="23"/>
        <v>-75000</v>
      </c>
      <c r="P25" s="24">
        <f t="shared" si="23"/>
        <v>-125000</v>
      </c>
      <c r="Q25" s="24">
        <f t="shared" si="23"/>
        <v>-125000</v>
      </c>
      <c r="R25" s="24">
        <f t="shared" si="23"/>
        <v>-125000</v>
      </c>
      <c r="S25" s="24">
        <f t="shared" si="23"/>
        <v>-125000</v>
      </c>
      <c r="T25" s="24">
        <f t="shared" si="23"/>
        <v>-125000</v>
      </c>
      <c r="U25" s="24">
        <f t="shared" si="23"/>
        <v>-125000</v>
      </c>
      <c r="V25" s="24">
        <f t="shared" si="23"/>
        <v>-125000</v>
      </c>
      <c r="W25" s="24">
        <f t="shared" si="23"/>
        <v>-125000</v>
      </c>
      <c r="X25" s="24">
        <f t="shared" si="23"/>
        <v>-125000</v>
      </c>
      <c r="Y25" s="24">
        <f t="shared" si="23"/>
        <v>-125000</v>
      </c>
      <c r="Z25" s="24">
        <f t="shared" si="23"/>
        <v>-125000</v>
      </c>
      <c r="AA25" s="24">
        <f t="shared" si="23"/>
        <v>-125000</v>
      </c>
      <c r="AB25" s="24">
        <f t="shared" si="23"/>
        <v>-80000</v>
      </c>
      <c r="AC25" s="24">
        <f t="shared" si="23"/>
        <v>-80000</v>
      </c>
      <c r="AD25" s="24">
        <f t="shared" si="23"/>
        <v>-80000</v>
      </c>
      <c r="AE25" s="24">
        <f t="shared" si="23"/>
        <v>-80000</v>
      </c>
      <c r="AF25" s="24">
        <f t="shared" si="23"/>
        <v>-80000</v>
      </c>
      <c r="AG25" s="24">
        <f t="shared" si="23"/>
        <v>-80000</v>
      </c>
      <c r="AH25" s="24">
        <f t="shared" si="23"/>
        <v>-80000</v>
      </c>
      <c r="AI25" s="24">
        <f t="shared" si="23"/>
        <v>-80000</v>
      </c>
      <c r="AJ25" s="24">
        <f t="shared" si="23"/>
        <v>-80000</v>
      </c>
      <c r="AK25" s="24">
        <f t="shared" si="23"/>
        <v>-80000</v>
      </c>
      <c r="AL25" s="24">
        <f t="shared" si="23"/>
        <v>-80000</v>
      </c>
      <c r="AM25" s="24">
        <f t="shared" si="23"/>
        <v>-80000</v>
      </c>
      <c r="AN25" s="24">
        <f t="shared" si="23"/>
        <v>-80000</v>
      </c>
      <c r="AO25" s="24">
        <f t="shared" si="23"/>
        <v>-80000</v>
      </c>
      <c r="AP25" s="24">
        <f t="shared" si="23"/>
        <v>-80000</v>
      </c>
      <c r="AQ25" s="24">
        <f t="shared" si="23"/>
        <v>-80000</v>
      </c>
      <c r="AR25" s="24">
        <f t="shared" si="23"/>
        <v>-80000</v>
      </c>
      <c r="AS25" s="24">
        <f t="shared" si="23"/>
        <v>-80000</v>
      </c>
      <c r="AT25" s="24">
        <f t="shared" si="23"/>
        <v>-80000</v>
      </c>
      <c r="AU25" s="24">
        <f t="shared" si="23"/>
        <v>-80000</v>
      </c>
      <c r="AV25" s="24">
        <f t="shared" si="23"/>
        <v>-80000</v>
      </c>
      <c r="AW25" s="24">
        <f t="shared" si="23"/>
        <v>-80000</v>
      </c>
      <c r="AX25" s="24">
        <f t="shared" si="23"/>
        <v>-80000</v>
      </c>
      <c r="AY25" s="24">
        <f t="shared" si="23"/>
        <v>-80000</v>
      </c>
      <c r="AZ25" s="24">
        <f t="shared" si="23"/>
        <v>-80000</v>
      </c>
      <c r="BA25" s="24">
        <f t="shared" si="23"/>
        <v>-80000</v>
      </c>
      <c r="BB25" s="24">
        <f t="shared" si="23"/>
        <v>-80000</v>
      </c>
      <c r="BC25" s="24">
        <f t="shared" si="23"/>
        <v>-80000</v>
      </c>
      <c r="BD25" s="24">
        <f t="shared" si="23"/>
        <v>-80000</v>
      </c>
      <c r="BE25" s="24">
        <f t="shared" si="23"/>
        <v>-80000</v>
      </c>
      <c r="BF25" s="24">
        <f t="shared" si="23"/>
        <v>-80000</v>
      </c>
      <c r="BG25" s="24">
        <f t="shared" si="23"/>
        <v>-80000</v>
      </c>
      <c r="BH25" s="24">
        <f t="shared" si="23"/>
        <v>-80000</v>
      </c>
      <c r="BI25" s="24">
        <f t="shared" si="23"/>
        <v>-80000</v>
      </c>
      <c r="BJ25" s="24">
        <f t="shared" si="23"/>
        <v>-80000</v>
      </c>
      <c r="BK25" s="24">
        <f t="shared" si="23"/>
        <v>-80000</v>
      </c>
      <c r="BL25" s="24">
        <f t="shared" si="23"/>
        <v>-80000</v>
      </c>
      <c r="BM25" s="24">
        <f t="shared" si="23"/>
        <v>-80000</v>
      </c>
      <c r="BN25" s="24">
        <f t="shared" si="23"/>
        <v>-80000</v>
      </c>
      <c r="BO25" s="24">
        <f t="shared" si="23"/>
        <v>-80000</v>
      </c>
      <c r="BP25" s="24">
        <f t="shared" si="23"/>
        <v>-80000</v>
      </c>
      <c r="BQ25" s="24">
        <f t="shared" ref="BQ25:BW25" si="24">+BQ9</f>
        <v>-80000</v>
      </c>
      <c r="BR25" s="24">
        <f t="shared" si="24"/>
        <v>-80000</v>
      </c>
      <c r="BS25" s="24">
        <f t="shared" si="24"/>
        <v>-80000</v>
      </c>
      <c r="BT25" s="24">
        <f t="shared" si="24"/>
        <v>-80000</v>
      </c>
      <c r="BU25" s="24">
        <f t="shared" si="24"/>
        <v>-80000</v>
      </c>
      <c r="BV25" s="24">
        <f t="shared" si="24"/>
        <v>-80000</v>
      </c>
      <c r="BW25" s="24">
        <f t="shared" si="24"/>
        <v>-80000</v>
      </c>
    </row>
    <row r="26" spans="3:75" ht="19.5" customHeight="1" x14ac:dyDescent="0.2">
      <c r="C26" t="s">
        <v>35</v>
      </c>
      <c r="D26" s="24">
        <f>+IF(ROUND(('1. Calculator'!$C$27-'1. Calculator'!$C$4)/30+1,0)=CalcSheet!D4,'1. Calculator'!$C$28,0)++IF(ROUND(('1. Calculator'!$C$41-'1. Calculator'!$C$4)/30+1,0)=CalcSheet!D4,'1. Calculator'!$C$42,0)</f>
        <v>0</v>
      </c>
      <c r="E26" s="24">
        <f>+IF(ROUND(('1. Calculator'!$C$27-'1. Calculator'!$C$4)/30+1,0)=CalcSheet!E4,'1. Calculator'!$C$28,0)++IF(ROUND(('1. Calculator'!$C$41-'1. Calculator'!$C$4)/30+1,0)=CalcSheet!E4,'1. Calculator'!$C$42,0)</f>
        <v>0</v>
      </c>
      <c r="F26" s="24">
        <f>+IF(ROUND(('1. Calculator'!$C$27-'1. Calculator'!$C$4)/30+1,0)=CalcSheet!F4,'1. Calculator'!$C$28,0)++IF(ROUND(('1. Calculator'!$C$41-'1. Calculator'!$C$4)/30+1,0)=CalcSheet!F4,'1. Calculator'!$C$42,0)</f>
        <v>0</v>
      </c>
      <c r="G26" s="24">
        <f>+IF(ROUND(('1. Calculator'!$C$27-'1. Calculator'!$C$4)/30+1,0)=CalcSheet!G4,'1. Calculator'!$C$28,0)++IF(ROUND(('1. Calculator'!$C$41-'1. Calculator'!$C$4)/30+1,0)=CalcSheet!G4,'1. Calculator'!$C$42,0)</f>
        <v>0</v>
      </c>
      <c r="H26" s="24">
        <f>+IF(ROUND(('1. Calculator'!$C$27-'1. Calculator'!$C$4)/30+1,0)=CalcSheet!H4,'1. Calculator'!$C$28,0)++IF(ROUND(('1. Calculator'!$C$41-'1. Calculator'!$C$4)/30+1,0)=CalcSheet!H4,'1. Calculator'!$C$42,0)</f>
        <v>0</v>
      </c>
      <c r="I26" s="24">
        <f>+IF(ROUND(('1. Calculator'!$C$27-'1. Calculator'!$C$4)/30+1,0)=CalcSheet!I4,'1. Calculator'!$C$28,0)++IF(ROUND(('1. Calculator'!$C$41-'1. Calculator'!$C$4)/30+1,0)=CalcSheet!I4,'1. Calculator'!$C$42,0)</f>
        <v>0</v>
      </c>
      <c r="J26" s="24">
        <f>+IF(ROUND(('1. Calculator'!$C$27-'1. Calculator'!$C$4)/30+1,0)=CalcSheet!J4,'1. Calculator'!$C$28,0)++IF(ROUND(('1. Calculator'!$C$41-'1. Calculator'!$C$4)/30+1,0)=CalcSheet!J4,'1. Calculator'!$C$42,0)</f>
        <v>0</v>
      </c>
      <c r="K26" s="24">
        <f>+IF(ROUND(('1. Calculator'!$C$27-'1. Calculator'!$C$4)/30+1,0)=CalcSheet!K4,'1. Calculator'!$C$28,0)++IF(ROUND(('1. Calculator'!$C$41-'1. Calculator'!$C$4)/30+1,0)=CalcSheet!K4,'1. Calculator'!$C$42,0)</f>
        <v>2000000</v>
      </c>
      <c r="L26" s="24">
        <f>+IF(ROUND(('1. Calculator'!$C$27-'1. Calculator'!$C$4)/30+1,0)=CalcSheet!L4,'1. Calculator'!$C$28,0)++IF(ROUND(('1. Calculator'!$C$41-'1. Calculator'!$C$4)/30+1,0)=CalcSheet!L4,'1. Calculator'!$C$42,0)</f>
        <v>0</v>
      </c>
      <c r="M26" s="24">
        <f>+IF(ROUND(('1. Calculator'!$C$27-'1. Calculator'!$C$4)/30+1,0)=CalcSheet!M4,'1. Calculator'!$C$28,0)++IF(ROUND(('1. Calculator'!$C$41-'1. Calculator'!$C$4)/30+1,0)=CalcSheet!M4,'1. Calculator'!$C$42,0)</f>
        <v>0</v>
      </c>
      <c r="N26" s="24">
        <f>+IF(ROUND(('1. Calculator'!$C$27-'1. Calculator'!$C$4)/30+1,0)=CalcSheet!N4,'1. Calculator'!$C$28,0)++IF(ROUND(('1. Calculator'!$C$41-'1. Calculator'!$C$4)/30+1,0)=CalcSheet!N4,'1. Calculator'!$C$42,0)</f>
        <v>0</v>
      </c>
      <c r="O26" s="24">
        <f>+IF(ROUND(('1. Calculator'!$C$27-'1. Calculator'!$C$4)/30+1,0)=CalcSheet!O4,'1. Calculator'!$C$28,0)++IF(ROUND(('1. Calculator'!$C$41-'1. Calculator'!$C$4)/30+1,0)=CalcSheet!O4,'1. Calculator'!$C$42,0)</f>
        <v>0</v>
      </c>
      <c r="P26" s="24">
        <f>+IF(ROUND(('1. Calculator'!$C$27-'1. Calculator'!$C$4)/30+1,0)=CalcSheet!P4,'1. Calculator'!$C$28,0)++IF(ROUND(('1. Calculator'!$C$41-'1. Calculator'!$C$4)/30+1,0)=CalcSheet!P4,'1. Calculator'!$C$42,0)</f>
        <v>0</v>
      </c>
      <c r="Q26" s="24">
        <f>+IF(ROUND(('1. Calculator'!$C$27-'1. Calculator'!$C$4)/30+1,0)=CalcSheet!Q4,'1. Calculator'!$C$28,0)++IF(ROUND(('1. Calculator'!$C$41-'1. Calculator'!$C$4)/30+1,0)=CalcSheet!Q4,'1. Calculator'!$C$42,0)</f>
        <v>0</v>
      </c>
      <c r="R26" s="24">
        <f>+IF(ROUND(('1. Calculator'!$C$27-'1. Calculator'!$C$4)/30+1,0)=CalcSheet!R4,'1. Calculator'!$C$28,0)++IF(ROUND(('1. Calculator'!$C$41-'1. Calculator'!$C$4)/30+1,0)=CalcSheet!R4,'1. Calculator'!$C$42,0)</f>
        <v>0</v>
      </c>
      <c r="S26" s="24">
        <f>+IF(ROUND(('1. Calculator'!$C$27-'1. Calculator'!$C$4)/30+1,0)=CalcSheet!S4,'1. Calculator'!$C$28,0)++IF(ROUND(('1. Calculator'!$C$41-'1. Calculator'!$C$4)/30+1,0)=CalcSheet!S4,'1. Calculator'!$C$42,0)</f>
        <v>0</v>
      </c>
      <c r="T26" s="24">
        <f>+IF(ROUND(('1. Calculator'!$C$27-'1. Calculator'!$C$4)/30+1,0)=CalcSheet!T4,'1. Calculator'!$C$28,0)++IF(ROUND(('1. Calculator'!$C$41-'1. Calculator'!$C$4)/30+1,0)=CalcSheet!T4,'1. Calculator'!$C$42,0)</f>
        <v>0</v>
      </c>
      <c r="U26" s="24">
        <f>+IF(ROUND(('1. Calculator'!$C$27-'1. Calculator'!$C$4)/30+1,0)=CalcSheet!U4,'1. Calculator'!$C$28,0)++IF(ROUND(('1. Calculator'!$C$41-'1. Calculator'!$C$4)/30+1,0)=CalcSheet!U4,'1. Calculator'!$C$42,0)</f>
        <v>0</v>
      </c>
      <c r="V26" s="24">
        <f>+IF(ROUND(('1. Calculator'!$C$27-'1. Calculator'!$C$4)/30+1,0)=CalcSheet!V4,'1. Calculator'!$C$28,0)++IF(ROUND(('1. Calculator'!$C$41-'1. Calculator'!$C$4)/30+1,0)=CalcSheet!V4,'1. Calculator'!$C$42,0)</f>
        <v>0</v>
      </c>
      <c r="W26" s="24">
        <f>+IF(ROUND(('1. Calculator'!$C$27-'1. Calculator'!$C$4)/30+1,0)=CalcSheet!W4,'1. Calculator'!$C$28,0)++IF(ROUND(('1. Calculator'!$C$41-'1. Calculator'!$C$4)/30+1,0)=CalcSheet!W4,'1. Calculator'!$C$42,0)</f>
        <v>0</v>
      </c>
      <c r="X26" s="24">
        <f>+IF(ROUND(('1. Calculator'!$C$27-'1. Calculator'!$C$4)/30+1,0)=CalcSheet!X4,'1. Calculator'!$C$28,0)++IF(ROUND(('1. Calculator'!$C$41-'1. Calculator'!$C$4)/30+1,0)=CalcSheet!X4,'1. Calculator'!$C$42,0)</f>
        <v>0</v>
      </c>
      <c r="Y26" s="24">
        <f>+IF(ROUND(('1. Calculator'!$C$27-'1. Calculator'!$C$4)/30+1,0)=CalcSheet!Y4,'1. Calculator'!$C$28,0)++IF(ROUND(('1. Calculator'!$C$41-'1. Calculator'!$C$4)/30+1,0)=CalcSheet!Y4,'1. Calculator'!$C$42,0)</f>
        <v>0</v>
      </c>
      <c r="Z26" s="24">
        <f>+IF(ROUND(('1. Calculator'!$C$27-'1. Calculator'!$C$4)/30+1,0)=CalcSheet!Z4,'1. Calculator'!$C$28,0)++IF(ROUND(('1. Calculator'!$C$41-'1. Calculator'!$C$4)/30+1,0)=CalcSheet!Z4,'1. Calculator'!$C$42,0)</f>
        <v>0</v>
      </c>
      <c r="AA26" s="24">
        <f>+IF(ROUND(('1. Calculator'!$C$27-'1. Calculator'!$C$4)/30+1,0)=CalcSheet!AA4,'1. Calculator'!$C$28,0)++IF(ROUND(('1. Calculator'!$C$41-'1. Calculator'!$C$4)/30+1,0)=CalcSheet!AA4,'1. Calculator'!$C$42,0)</f>
        <v>0</v>
      </c>
      <c r="AB26" s="24">
        <f>+IF(ROUND(('1. Calculator'!$C$27-'1. Calculator'!$C$4)/30+1,0)=CalcSheet!AB4,'1. Calculator'!$C$28,0)++IF(ROUND(('1. Calculator'!$C$41-'1. Calculator'!$C$4)/30+1,0)=CalcSheet!AB4,'1. Calculator'!$C$42,0)</f>
        <v>0</v>
      </c>
      <c r="AC26" s="24">
        <f>+IF(ROUND(('1. Calculator'!$C$27-'1. Calculator'!$C$4)/30+1,0)=CalcSheet!AC4,'1. Calculator'!$C$28,0)++IF(ROUND(('1. Calculator'!$C$41-'1. Calculator'!$C$4)/30+1,0)=CalcSheet!AC4,'1. Calculator'!$C$42,0)</f>
        <v>0</v>
      </c>
      <c r="AD26" s="24">
        <f>+IF(ROUND(('1. Calculator'!$C$27-'1. Calculator'!$C$4)/30+1,0)=CalcSheet!AD4,'1. Calculator'!$C$28,0)++IF(ROUND(('1. Calculator'!$C$41-'1. Calculator'!$C$4)/30+1,0)=CalcSheet!AD4,'1. Calculator'!$C$42,0)</f>
        <v>0</v>
      </c>
      <c r="AE26" s="24">
        <f>+IF(ROUND(('1. Calculator'!$C$27-'1. Calculator'!$C$4)/30+1,0)=CalcSheet!AE4,'1. Calculator'!$C$28,0)++IF(ROUND(('1. Calculator'!$C$41-'1. Calculator'!$C$4)/30+1,0)=CalcSheet!AE4,'1. Calculator'!$C$42,0)</f>
        <v>0</v>
      </c>
      <c r="AF26" s="24">
        <f>+IF(ROUND(('1. Calculator'!$C$27-'1. Calculator'!$C$4)/30+1,0)=CalcSheet!AF4,'1. Calculator'!$C$28,0)++IF(ROUND(('1. Calculator'!$C$41-'1. Calculator'!$C$4)/30+1,0)=CalcSheet!AF4,'1. Calculator'!$C$42,0)</f>
        <v>0</v>
      </c>
      <c r="AG26" s="24">
        <f>+IF(ROUND(('1. Calculator'!$C$27-'1. Calculator'!$C$4)/30+1,0)=CalcSheet!AG4,'1. Calculator'!$C$28,0)++IF(ROUND(('1. Calculator'!$C$41-'1. Calculator'!$C$4)/30+1,0)=CalcSheet!AG4,'1. Calculator'!$C$42,0)</f>
        <v>0</v>
      </c>
      <c r="AH26" s="24">
        <f>+IF(ROUND(('1. Calculator'!$C$27-'1. Calculator'!$C$4)/30+1,0)=CalcSheet!AH4,'1. Calculator'!$C$28,0)++IF(ROUND(('1. Calculator'!$C$41-'1. Calculator'!$C$4)/30+1,0)=CalcSheet!AH4,'1. Calculator'!$C$42,0)</f>
        <v>0</v>
      </c>
      <c r="AI26" s="24">
        <f>+IF(ROUND(('1. Calculator'!$C$27-'1. Calculator'!$C$4)/30+1,0)=CalcSheet!AI4,'1. Calculator'!$C$28,0)++IF(ROUND(('1. Calculator'!$C$41-'1. Calculator'!$C$4)/30+1,0)=CalcSheet!AI4,'1. Calculator'!$C$42,0)</f>
        <v>0</v>
      </c>
      <c r="AJ26" s="24">
        <f>+IF(ROUND(('1. Calculator'!$C$27-'1. Calculator'!$C$4)/30+1,0)=CalcSheet!AJ4,'1. Calculator'!$C$28,0)++IF(ROUND(('1. Calculator'!$C$41-'1. Calculator'!$C$4)/30+1,0)=CalcSheet!AJ4,'1. Calculator'!$C$42,0)</f>
        <v>0</v>
      </c>
      <c r="AK26" s="24">
        <f>+IF(ROUND(('1. Calculator'!$C$27-'1. Calculator'!$C$4)/30+1,0)=CalcSheet!AK4,'1. Calculator'!$C$28,0)++IF(ROUND(('1. Calculator'!$C$41-'1. Calculator'!$C$4)/30+1,0)=CalcSheet!AK4,'1. Calculator'!$C$42,0)</f>
        <v>0</v>
      </c>
      <c r="AL26" s="24">
        <f>+IF(ROUND(('1. Calculator'!$C$27-'1. Calculator'!$C$4)/30+1,0)=CalcSheet!AL4,'1. Calculator'!$C$28,0)++IF(ROUND(('1. Calculator'!$C$41-'1. Calculator'!$C$4)/30+1,0)=CalcSheet!AL4,'1. Calculator'!$C$42,0)</f>
        <v>0</v>
      </c>
      <c r="AM26" s="24">
        <f>+IF(ROUND(('1. Calculator'!$C$27-'1. Calculator'!$C$4)/30+1,0)=CalcSheet!AM4,'1. Calculator'!$C$28,0)++IF(ROUND(('1. Calculator'!$C$41-'1. Calculator'!$C$4)/30+1,0)=CalcSheet!AM4,'1. Calculator'!$C$42,0)</f>
        <v>0</v>
      </c>
      <c r="AN26" s="24">
        <f>+IF(ROUND(('1. Calculator'!$C$27-'1. Calculator'!$C$4)/30+1,0)=CalcSheet!AN4,'1. Calculator'!$C$28,0)++IF(ROUND(('1. Calculator'!$C$41-'1. Calculator'!$C$4)/30+1,0)=CalcSheet!AN4,'1. Calculator'!$C$42,0)</f>
        <v>0</v>
      </c>
      <c r="AO26" s="24">
        <f>+IF(ROUND(('1. Calculator'!$C$27-'1. Calculator'!$C$4)/30+1,0)=CalcSheet!AO4,'1. Calculator'!$C$28,0)++IF(ROUND(('1. Calculator'!$C$41-'1. Calculator'!$C$4)/30+1,0)=CalcSheet!AO4,'1. Calculator'!$C$42,0)</f>
        <v>0</v>
      </c>
      <c r="AP26" s="24">
        <f>+IF(ROUND(('1. Calculator'!$C$27-'1. Calculator'!$C$4)/30+1,0)=CalcSheet!AP4,'1. Calculator'!$C$28,0)++IF(ROUND(('1. Calculator'!$C$41-'1. Calculator'!$C$4)/30+1,0)=CalcSheet!AP4,'1. Calculator'!$C$42,0)</f>
        <v>0</v>
      </c>
      <c r="AQ26" s="24">
        <f>+IF(ROUND(('1. Calculator'!$C$27-'1. Calculator'!$C$4)/30+1,0)=CalcSheet!AQ4,'1. Calculator'!$C$28,0)++IF(ROUND(('1. Calculator'!$C$41-'1. Calculator'!$C$4)/30+1,0)=CalcSheet!AQ4,'1. Calculator'!$C$42,0)</f>
        <v>0</v>
      </c>
      <c r="AR26" s="24">
        <f>+IF(ROUND(('1. Calculator'!$C$27-'1. Calculator'!$C$4)/30+1,0)=CalcSheet!AR4,'1. Calculator'!$C$28,0)++IF(ROUND(('1. Calculator'!$C$41-'1. Calculator'!$C$4)/30+1,0)=CalcSheet!AR4,'1. Calculator'!$C$42,0)</f>
        <v>0</v>
      </c>
      <c r="AS26" s="24">
        <f>+IF(ROUND(('1. Calculator'!$C$27-'1. Calculator'!$C$4)/30+1,0)=CalcSheet!AS4,'1. Calculator'!$C$28,0)++IF(ROUND(('1. Calculator'!$C$41-'1. Calculator'!$C$4)/30+1,0)=CalcSheet!AS4,'1. Calculator'!$C$42,0)</f>
        <v>0</v>
      </c>
      <c r="AT26" s="24">
        <f>+IF(ROUND(('1. Calculator'!$C$27-'1. Calculator'!$C$4)/30+1,0)=CalcSheet!AT4,'1. Calculator'!$C$28,0)++IF(ROUND(('1. Calculator'!$C$41-'1. Calculator'!$C$4)/30+1,0)=CalcSheet!AT4,'1. Calculator'!$C$42,0)</f>
        <v>0</v>
      </c>
      <c r="AU26" s="24">
        <f>+IF(ROUND(('1. Calculator'!$C$27-'1. Calculator'!$C$4)/30+1,0)=CalcSheet!AU4,'1. Calculator'!$C$28,0)++IF(ROUND(('1. Calculator'!$C$41-'1. Calculator'!$C$4)/30+1,0)=CalcSheet!AU4,'1. Calculator'!$C$42,0)</f>
        <v>0</v>
      </c>
      <c r="AV26" s="24">
        <f>+IF(ROUND(('1. Calculator'!$C$27-'1. Calculator'!$C$4)/30+1,0)=CalcSheet!AV4,'1. Calculator'!$C$28,0)++IF(ROUND(('1. Calculator'!$C$41-'1. Calculator'!$C$4)/30+1,0)=CalcSheet!AV4,'1. Calculator'!$C$42,0)</f>
        <v>0</v>
      </c>
      <c r="AW26" s="24">
        <f>+IF(ROUND(('1. Calculator'!$C$27-'1. Calculator'!$C$4)/30+1,0)=CalcSheet!AW4,'1. Calculator'!$C$28,0)++IF(ROUND(('1. Calculator'!$C$41-'1. Calculator'!$C$4)/30+1,0)=CalcSheet!AW4,'1. Calculator'!$C$42,0)</f>
        <v>0</v>
      </c>
      <c r="AX26" s="24">
        <f>+IF(ROUND(('1. Calculator'!$C$27-'1. Calculator'!$C$4)/30+1,0)=CalcSheet!AX4,'1. Calculator'!$C$28,0)++IF(ROUND(('1. Calculator'!$C$41-'1. Calculator'!$C$4)/30+1,0)=CalcSheet!AX4,'1. Calculator'!$C$42,0)</f>
        <v>0</v>
      </c>
      <c r="AY26" s="24">
        <f>+IF(ROUND(('1. Calculator'!$C$27-'1. Calculator'!$C$4)/30+1,0)=CalcSheet!AY4,'1. Calculator'!$C$28,0)++IF(ROUND(('1. Calculator'!$C$41-'1. Calculator'!$C$4)/30+1,0)=CalcSheet!AY4,'1. Calculator'!$C$42,0)</f>
        <v>0</v>
      </c>
      <c r="AZ26" s="24">
        <f>+IF(ROUND(('1. Calculator'!$C$27-'1. Calculator'!$C$4)/30+1,0)=CalcSheet!AZ4,'1. Calculator'!$C$28,0)++IF(ROUND(('1. Calculator'!$C$41-'1. Calculator'!$C$4)/30+1,0)=CalcSheet!AZ4,'1. Calculator'!$C$42,0)</f>
        <v>0</v>
      </c>
      <c r="BA26" s="24">
        <f>+IF(ROUND(('1. Calculator'!$C$27-'1. Calculator'!$C$4)/30+1,0)=CalcSheet!BA4,'1. Calculator'!$C$28,0)++IF(ROUND(('1. Calculator'!$C$41-'1. Calculator'!$C$4)/30+1,0)=CalcSheet!BA4,'1. Calculator'!$C$42,0)</f>
        <v>0</v>
      </c>
      <c r="BB26" s="24">
        <f>+IF(ROUND(('1. Calculator'!$C$27-'1. Calculator'!$C$4)/30+1,0)=CalcSheet!BB4,'1. Calculator'!$C$28,0)++IF(ROUND(('1. Calculator'!$C$41-'1. Calculator'!$C$4)/30+1,0)=CalcSheet!BB4,'1. Calculator'!$C$42,0)</f>
        <v>0</v>
      </c>
      <c r="BC26" s="24">
        <f>+IF(ROUND(('1. Calculator'!$C$27-'1. Calculator'!$C$4)/30+1,0)=CalcSheet!BC4,'1. Calculator'!$C$28,0)++IF(ROUND(('1. Calculator'!$C$41-'1. Calculator'!$C$4)/30+1,0)=CalcSheet!BC4,'1. Calculator'!$C$42,0)</f>
        <v>0</v>
      </c>
      <c r="BD26" s="24">
        <f>+IF(ROUND(('1. Calculator'!$C$27-'1. Calculator'!$C$4)/30+1,0)=CalcSheet!BD4,'1. Calculator'!$C$28,0)++IF(ROUND(('1. Calculator'!$C$41-'1. Calculator'!$C$4)/30+1,0)=CalcSheet!BD4,'1. Calculator'!$C$42,0)</f>
        <v>0</v>
      </c>
      <c r="BE26" s="24">
        <f>+IF(ROUND(('1. Calculator'!$C$27-'1. Calculator'!$C$4)/30+1,0)=CalcSheet!BE4,'1. Calculator'!$C$28,0)++IF(ROUND(('1. Calculator'!$C$41-'1. Calculator'!$C$4)/30+1,0)=CalcSheet!BE4,'1. Calculator'!$C$42,0)</f>
        <v>0</v>
      </c>
      <c r="BF26" s="24">
        <f>+IF(ROUND(('1. Calculator'!$C$27-'1. Calculator'!$C$4)/30+1,0)=CalcSheet!BF4,'1. Calculator'!$C$28,0)++IF(ROUND(('1. Calculator'!$C$41-'1. Calculator'!$C$4)/30+1,0)=CalcSheet!BF4,'1. Calculator'!$C$42,0)</f>
        <v>0</v>
      </c>
      <c r="BG26" s="24">
        <f>+IF(ROUND(('1. Calculator'!$C$27-'1. Calculator'!$C$4)/30+1,0)=CalcSheet!BG4,'1. Calculator'!$C$28,0)++IF(ROUND(('1. Calculator'!$C$41-'1. Calculator'!$C$4)/30+1,0)=CalcSheet!BG4,'1. Calculator'!$C$42,0)</f>
        <v>0</v>
      </c>
      <c r="BH26" s="24">
        <f>+IF(ROUND(('1. Calculator'!$C$27-'1. Calculator'!$C$4)/30+1,0)=CalcSheet!BH4,'1. Calculator'!$C$28,0)++IF(ROUND(('1. Calculator'!$C$41-'1. Calculator'!$C$4)/30+1,0)=CalcSheet!BH4,'1. Calculator'!$C$42,0)</f>
        <v>0</v>
      </c>
      <c r="BI26" s="24">
        <f>+IF(ROUND(('1. Calculator'!$C$27-'1. Calculator'!$C$4)/30+1,0)=CalcSheet!BI4,'1. Calculator'!$C$28,0)++IF(ROUND(('1. Calculator'!$C$41-'1. Calculator'!$C$4)/30+1,0)=CalcSheet!BI4,'1. Calculator'!$C$42,0)</f>
        <v>0</v>
      </c>
      <c r="BJ26" s="24">
        <f>+IF(ROUND(('1. Calculator'!$C$27-'1. Calculator'!$C$4)/30+1,0)=CalcSheet!BJ4,'1. Calculator'!$C$28,0)++IF(ROUND(('1. Calculator'!$C$41-'1. Calculator'!$C$4)/30+1,0)=CalcSheet!BJ4,'1. Calculator'!$C$42,0)</f>
        <v>0</v>
      </c>
      <c r="BK26" s="24">
        <f>+IF(ROUND(('1. Calculator'!$C$27-'1. Calculator'!$C$4)/30+1,0)=CalcSheet!BK4,'1. Calculator'!$C$28,0)++IF(ROUND(('1. Calculator'!$C$41-'1. Calculator'!$C$4)/30+1,0)=CalcSheet!BK4,'1. Calculator'!$C$42,0)</f>
        <v>0</v>
      </c>
      <c r="BL26" s="24">
        <f>+IF(ROUND(('1. Calculator'!$C$27-'1. Calculator'!$C$4)/30+1,0)=CalcSheet!BL4,'1. Calculator'!$C$28,0)++IF(ROUND(('1. Calculator'!$C$41-'1. Calculator'!$C$4)/30+1,0)=CalcSheet!BL4,'1. Calculator'!$C$42,0)</f>
        <v>0</v>
      </c>
      <c r="BM26" s="24">
        <f>+IF(ROUND(('1. Calculator'!$C$27-'1. Calculator'!$C$4)/30+1,0)=CalcSheet!BM4,'1. Calculator'!$C$28,0)++IF(ROUND(('1. Calculator'!$C$41-'1. Calculator'!$C$4)/30+1,0)=CalcSheet!BM4,'1. Calculator'!$C$42,0)</f>
        <v>0</v>
      </c>
      <c r="BN26" s="24">
        <f>+IF(ROUND(('1. Calculator'!$C$27-'1. Calculator'!$C$4)/30+1,0)=CalcSheet!BN4,'1. Calculator'!$C$28,0)++IF(ROUND(('1. Calculator'!$C$41-'1. Calculator'!$C$4)/30+1,0)=CalcSheet!BN4,'1. Calculator'!$C$42,0)</f>
        <v>0</v>
      </c>
      <c r="BO26" s="24">
        <f>+IF(ROUND(('1. Calculator'!$C$27-'1. Calculator'!$C$4)/30+1,0)=CalcSheet!BO4,'1. Calculator'!$C$28,0)++IF(ROUND(('1. Calculator'!$C$41-'1. Calculator'!$C$4)/30+1,0)=CalcSheet!BO4,'1. Calculator'!$C$42,0)</f>
        <v>0</v>
      </c>
      <c r="BP26" s="24">
        <f>+IF(ROUND(('1. Calculator'!$C$27-'1. Calculator'!$C$4)/30+1,0)=CalcSheet!BP4,'1. Calculator'!$C$28,0)++IF(ROUND(('1. Calculator'!$C$41-'1. Calculator'!$C$4)/30+1,0)=CalcSheet!BP4,'1. Calculator'!$C$42,0)</f>
        <v>0</v>
      </c>
      <c r="BQ26" s="24">
        <f>+IF(ROUND(('1. Calculator'!$C$27-'1. Calculator'!$C$4)/30+1,0)=CalcSheet!BQ4,'1. Calculator'!$C$28,0)++IF(ROUND(('1. Calculator'!$C$41-'1. Calculator'!$C$4)/30+1,0)=CalcSheet!BQ4,'1. Calculator'!$C$42,0)</f>
        <v>0</v>
      </c>
      <c r="BR26" s="24">
        <f>+IF(ROUND(('1. Calculator'!$C$27-'1. Calculator'!$C$4)/30+1,0)=CalcSheet!BR4,'1. Calculator'!$C$28,0)++IF(ROUND(('1. Calculator'!$C$41-'1. Calculator'!$C$4)/30+1,0)=CalcSheet!BR4,'1. Calculator'!$C$42,0)</f>
        <v>0</v>
      </c>
      <c r="BS26" s="24">
        <f>+IF(ROUND(('1. Calculator'!$C$27-'1. Calculator'!$C$4)/30+1,0)=CalcSheet!BS4,'1. Calculator'!$C$28,0)++IF(ROUND(('1. Calculator'!$C$41-'1. Calculator'!$C$4)/30+1,0)=CalcSheet!BS4,'1. Calculator'!$C$42,0)</f>
        <v>0</v>
      </c>
      <c r="BT26" s="24">
        <f>+IF(ROUND(('1. Calculator'!$C$27-'1. Calculator'!$C$4)/30+1,0)=CalcSheet!BT4,'1. Calculator'!$C$28,0)++IF(ROUND(('1. Calculator'!$C$41-'1. Calculator'!$C$4)/30+1,0)=CalcSheet!BT4,'1. Calculator'!$C$42,0)</f>
        <v>0</v>
      </c>
      <c r="BU26" s="24">
        <f>+IF(ROUND(('1. Calculator'!$C$27-'1. Calculator'!$C$4)/30+1,0)=CalcSheet!BU4,'1. Calculator'!$C$28,0)++IF(ROUND(('1. Calculator'!$C$41-'1. Calculator'!$C$4)/30+1,0)=CalcSheet!BU4,'1. Calculator'!$C$42,0)</f>
        <v>0</v>
      </c>
      <c r="BV26" s="24">
        <f>+IF(ROUND(('1. Calculator'!$C$27-'1. Calculator'!$C$4)/30+1,0)=CalcSheet!BV4,'1. Calculator'!$C$28,0)++IF(ROUND(('1. Calculator'!$C$41-'1. Calculator'!$C$4)/30+1,0)=CalcSheet!BV4,'1. Calculator'!$C$42,0)</f>
        <v>0</v>
      </c>
      <c r="BW26" s="24">
        <f>+IF(ROUND(('1. Calculator'!$C$27-'1. Calculator'!$C$4)/30+1,0)=CalcSheet!BW4,'1. Calculator'!$C$28,0)++IF(ROUND(('1. Calculator'!$C$41-'1. Calculator'!$C$4)/30+1,0)=CalcSheet!BW4,'1. Calculator'!$C$42,0)</f>
        <v>0</v>
      </c>
    </row>
    <row r="27" spans="3:75" ht="19.5" customHeight="1" x14ac:dyDescent="0.2">
      <c r="C27" t="s">
        <v>28</v>
      </c>
      <c r="D27" s="24">
        <f>+ROUND(D24+D25+D26,2)</f>
        <v>425000</v>
      </c>
      <c r="E27" s="24">
        <f t="shared" ref="E27:N27" si="25">+E24+E25+E26</f>
        <v>350000</v>
      </c>
      <c r="F27" s="24">
        <f t="shared" si="25"/>
        <v>275000</v>
      </c>
      <c r="G27" s="24">
        <f t="shared" si="25"/>
        <v>200000</v>
      </c>
      <c r="H27" s="24">
        <f t="shared" si="25"/>
        <v>125000</v>
      </c>
      <c r="I27" s="24">
        <f t="shared" si="25"/>
        <v>50000</v>
      </c>
      <c r="J27" s="24">
        <f t="shared" si="25"/>
        <v>-25000</v>
      </c>
      <c r="K27" s="24">
        <f t="shared" si="25"/>
        <v>1900000</v>
      </c>
      <c r="L27" s="24">
        <f t="shared" si="25"/>
        <v>1825000</v>
      </c>
      <c r="M27" s="24">
        <f t="shared" si="25"/>
        <v>1750000</v>
      </c>
      <c r="N27" s="24">
        <f t="shared" si="25"/>
        <v>1675000</v>
      </c>
      <c r="O27" s="24">
        <f>+ROUND(O24+O25+O26,2)</f>
        <v>1600000</v>
      </c>
      <c r="P27" s="24">
        <f t="shared" ref="P27:AU27" si="26">+P24+P25+P26</f>
        <v>1475000</v>
      </c>
      <c r="Q27" s="24">
        <f t="shared" si="26"/>
        <v>1350000</v>
      </c>
      <c r="R27" s="24">
        <f t="shared" si="26"/>
        <v>1225000</v>
      </c>
      <c r="S27" s="24">
        <f t="shared" si="26"/>
        <v>1100000</v>
      </c>
      <c r="T27" s="24">
        <f t="shared" si="26"/>
        <v>975000</v>
      </c>
      <c r="U27" s="24">
        <f t="shared" si="26"/>
        <v>850000</v>
      </c>
      <c r="V27" s="24">
        <f t="shared" si="26"/>
        <v>725000</v>
      </c>
      <c r="W27" s="24">
        <f t="shared" si="26"/>
        <v>600000</v>
      </c>
      <c r="X27" s="24">
        <f t="shared" si="26"/>
        <v>475000</v>
      </c>
      <c r="Y27" s="24">
        <f t="shared" si="26"/>
        <v>350000</v>
      </c>
      <c r="Z27" s="24">
        <f t="shared" si="26"/>
        <v>225000</v>
      </c>
      <c r="AA27" s="24">
        <f t="shared" si="26"/>
        <v>100000</v>
      </c>
      <c r="AB27" s="24">
        <f t="shared" si="26"/>
        <v>20000</v>
      </c>
      <c r="AC27" s="24">
        <f t="shared" si="26"/>
        <v>-60000</v>
      </c>
      <c r="AD27" s="24">
        <f t="shared" si="26"/>
        <v>-140000</v>
      </c>
      <c r="AE27" s="24">
        <f t="shared" si="26"/>
        <v>-220000</v>
      </c>
      <c r="AF27" s="24">
        <f t="shared" si="26"/>
        <v>-300000</v>
      </c>
      <c r="AG27" s="24">
        <f t="shared" si="26"/>
        <v>-380000</v>
      </c>
      <c r="AH27" s="24">
        <f t="shared" si="26"/>
        <v>-460000</v>
      </c>
      <c r="AI27" s="24">
        <f t="shared" si="26"/>
        <v>-540000</v>
      </c>
      <c r="AJ27" s="24">
        <f t="shared" si="26"/>
        <v>-620000</v>
      </c>
      <c r="AK27" s="24">
        <f t="shared" si="26"/>
        <v>-700000</v>
      </c>
      <c r="AL27" s="24">
        <f t="shared" si="26"/>
        <v>-780000</v>
      </c>
      <c r="AM27" s="24">
        <f t="shared" si="26"/>
        <v>-860000</v>
      </c>
      <c r="AN27" s="24">
        <f t="shared" si="26"/>
        <v>-940000</v>
      </c>
      <c r="AO27" s="24">
        <f t="shared" si="26"/>
        <v>-1020000</v>
      </c>
      <c r="AP27" s="24">
        <f t="shared" si="26"/>
        <v>-1100000</v>
      </c>
      <c r="AQ27" s="24">
        <f t="shared" si="26"/>
        <v>-1180000</v>
      </c>
      <c r="AR27" s="24">
        <f t="shared" si="26"/>
        <v>-1260000</v>
      </c>
      <c r="AS27" s="24">
        <f t="shared" si="26"/>
        <v>-1340000</v>
      </c>
      <c r="AT27" s="24">
        <f t="shared" si="26"/>
        <v>-1420000</v>
      </c>
      <c r="AU27" s="24">
        <f t="shared" si="26"/>
        <v>-1500000</v>
      </c>
      <c r="AV27" s="24">
        <f t="shared" ref="AV27:BW27" si="27">+AV24+AV25+AV26</f>
        <v>-1580000</v>
      </c>
      <c r="AW27" s="24">
        <f t="shared" si="27"/>
        <v>-1660000</v>
      </c>
      <c r="AX27" s="24">
        <f t="shared" si="27"/>
        <v>-1740000</v>
      </c>
      <c r="AY27" s="24">
        <f t="shared" si="27"/>
        <v>-1820000</v>
      </c>
      <c r="AZ27" s="24">
        <f t="shared" si="27"/>
        <v>-1900000</v>
      </c>
      <c r="BA27" s="24">
        <f t="shared" si="27"/>
        <v>-1980000</v>
      </c>
      <c r="BB27" s="24">
        <f t="shared" si="27"/>
        <v>-2060000</v>
      </c>
      <c r="BC27" s="24">
        <f t="shared" si="27"/>
        <v>-2140000</v>
      </c>
      <c r="BD27" s="24">
        <f t="shared" si="27"/>
        <v>-2220000</v>
      </c>
      <c r="BE27" s="24">
        <f t="shared" si="27"/>
        <v>-2300000</v>
      </c>
      <c r="BF27" s="24">
        <f t="shared" si="27"/>
        <v>-2380000</v>
      </c>
      <c r="BG27" s="24">
        <f t="shared" si="27"/>
        <v>-2460000</v>
      </c>
      <c r="BH27" s="24">
        <f t="shared" si="27"/>
        <v>-2540000</v>
      </c>
      <c r="BI27" s="24">
        <f t="shared" si="27"/>
        <v>-2620000</v>
      </c>
      <c r="BJ27" s="24">
        <f t="shared" si="27"/>
        <v>-2700000</v>
      </c>
      <c r="BK27" s="24">
        <f t="shared" si="27"/>
        <v>-2780000</v>
      </c>
      <c r="BL27" s="24">
        <f t="shared" si="27"/>
        <v>-2860000</v>
      </c>
      <c r="BM27" s="24">
        <f t="shared" si="27"/>
        <v>-2940000</v>
      </c>
      <c r="BN27" s="24">
        <f t="shared" si="27"/>
        <v>-3020000</v>
      </c>
      <c r="BO27" s="24">
        <f t="shared" si="27"/>
        <v>-3100000</v>
      </c>
      <c r="BP27" s="24">
        <f t="shared" si="27"/>
        <v>-3180000</v>
      </c>
      <c r="BQ27" s="24">
        <f t="shared" si="27"/>
        <v>-3260000</v>
      </c>
      <c r="BR27" s="24">
        <f t="shared" si="27"/>
        <v>-3340000</v>
      </c>
      <c r="BS27" s="24">
        <f t="shared" si="27"/>
        <v>-3420000</v>
      </c>
      <c r="BT27" s="24">
        <f t="shared" si="27"/>
        <v>-3500000</v>
      </c>
      <c r="BU27" s="24">
        <f t="shared" si="27"/>
        <v>-3580000</v>
      </c>
      <c r="BV27" s="24">
        <f t="shared" si="27"/>
        <v>-3660000</v>
      </c>
      <c r="BW27" s="24">
        <f t="shared" si="27"/>
        <v>-3740000</v>
      </c>
    </row>
    <row r="28" spans="3:75" ht="19.5" customHeight="1" x14ac:dyDescent="0.2">
      <c r="C28" t="s">
        <v>33</v>
      </c>
      <c r="D28" s="24">
        <f t="shared" ref="D28:AI28" si="28">+IF(D27&gt;0,D27,0)</f>
        <v>425000</v>
      </c>
      <c r="E28" s="24">
        <f t="shared" si="28"/>
        <v>350000</v>
      </c>
      <c r="F28" s="24">
        <f t="shared" si="28"/>
        <v>275000</v>
      </c>
      <c r="G28" s="24">
        <f t="shared" si="28"/>
        <v>200000</v>
      </c>
      <c r="H28" s="24">
        <f t="shared" si="28"/>
        <v>125000</v>
      </c>
      <c r="I28" s="24">
        <f t="shared" si="28"/>
        <v>50000</v>
      </c>
      <c r="J28" s="24">
        <f t="shared" si="28"/>
        <v>0</v>
      </c>
      <c r="K28" s="24">
        <f t="shared" si="28"/>
        <v>1900000</v>
      </c>
      <c r="L28" s="24">
        <f t="shared" si="28"/>
        <v>1825000</v>
      </c>
      <c r="M28" s="24">
        <f t="shared" si="28"/>
        <v>1750000</v>
      </c>
      <c r="N28" s="24">
        <f t="shared" si="28"/>
        <v>1675000</v>
      </c>
      <c r="O28" s="24">
        <f t="shared" si="28"/>
        <v>1600000</v>
      </c>
      <c r="P28" s="24">
        <f t="shared" si="28"/>
        <v>1475000</v>
      </c>
      <c r="Q28" s="24">
        <f t="shared" si="28"/>
        <v>1350000</v>
      </c>
      <c r="R28" s="24">
        <f t="shared" si="28"/>
        <v>1225000</v>
      </c>
      <c r="S28" s="24">
        <f t="shared" si="28"/>
        <v>1100000</v>
      </c>
      <c r="T28" s="24">
        <f t="shared" si="28"/>
        <v>975000</v>
      </c>
      <c r="U28" s="24">
        <f t="shared" si="28"/>
        <v>850000</v>
      </c>
      <c r="V28" s="24">
        <f t="shared" si="28"/>
        <v>725000</v>
      </c>
      <c r="W28" s="24">
        <f t="shared" si="28"/>
        <v>600000</v>
      </c>
      <c r="X28" s="24">
        <f t="shared" si="28"/>
        <v>475000</v>
      </c>
      <c r="Y28" s="24">
        <f t="shared" si="28"/>
        <v>350000</v>
      </c>
      <c r="Z28" s="24">
        <f t="shared" si="28"/>
        <v>225000</v>
      </c>
      <c r="AA28" s="24">
        <f t="shared" si="28"/>
        <v>100000</v>
      </c>
      <c r="AB28" s="24">
        <f t="shared" si="28"/>
        <v>20000</v>
      </c>
      <c r="AC28" s="24">
        <f t="shared" si="28"/>
        <v>0</v>
      </c>
      <c r="AD28" s="24">
        <f t="shared" si="28"/>
        <v>0</v>
      </c>
      <c r="AE28" s="24">
        <f t="shared" si="28"/>
        <v>0</v>
      </c>
      <c r="AF28" s="24">
        <f t="shared" si="28"/>
        <v>0</v>
      </c>
      <c r="AG28" s="24">
        <f t="shared" si="28"/>
        <v>0</v>
      </c>
      <c r="AH28" s="24">
        <f t="shared" si="28"/>
        <v>0</v>
      </c>
      <c r="AI28" s="24">
        <f t="shared" si="28"/>
        <v>0</v>
      </c>
      <c r="AJ28" s="24">
        <f t="shared" ref="AJ28:BO28" si="29">+IF(AJ27&gt;0,AJ27,0)</f>
        <v>0</v>
      </c>
      <c r="AK28" s="24">
        <f t="shared" si="29"/>
        <v>0</v>
      </c>
      <c r="AL28" s="24">
        <f t="shared" si="29"/>
        <v>0</v>
      </c>
      <c r="AM28" s="24">
        <f t="shared" si="29"/>
        <v>0</v>
      </c>
      <c r="AN28" s="24">
        <f t="shared" si="29"/>
        <v>0</v>
      </c>
      <c r="AO28" s="24">
        <f t="shared" si="29"/>
        <v>0</v>
      </c>
      <c r="AP28" s="24">
        <f t="shared" si="29"/>
        <v>0</v>
      </c>
      <c r="AQ28" s="24">
        <f t="shared" si="29"/>
        <v>0</v>
      </c>
      <c r="AR28" s="24">
        <f t="shared" si="29"/>
        <v>0</v>
      </c>
      <c r="AS28" s="24">
        <f t="shared" si="29"/>
        <v>0</v>
      </c>
      <c r="AT28" s="24">
        <f t="shared" si="29"/>
        <v>0</v>
      </c>
      <c r="AU28" s="24">
        <f t="shared" si="29"/>
        <v>0</v>
      </c>
      <c r="AV28" s="24">
        <f t="shared" si="29"/>
        <v>0</v>
      </c>
      <c r="AW28" s="24">
        <f t="shared" si="29"/>
        <v>0</v>
      </c>
      <c r="AX28" s="24">
        <f t="shared" si="29"/>
        <v>0</v>
      </c>
      <c r="AY28" s="24">
        <f t="shared" si="29"/>
        <v>0</v>
      </c>
      <c r="AZ28" s="24">
        <f t="shared" si="29"/>
        <v>0</v>
      </c>
      <c r="BA28" s="24">
        <f t="shared" si="29"/>
        <v>0</v>
      </c>
      <c r="BB28" s="24">
        <f t="shared" si="29"/>
        <v>0</v>
      </c>
      <c r="BC28" s="24">
        <f t="shared" si="29"/>
        <v>0</v>
      </c>
      <c r="BD28" s="24">
        <f t="shared" si="29"/>
        <v>0</v>
      </c>
      <c r="BE28" s="24">
        <f t="shared" si="29"/>
        <v>0</v>
      </c>
      <c r="BF28" s="24">
        <f t="shared" si="29"/>
        <v>0</v>
      </c>
      <c r="BG28" s="24">
        <f t="shared" si="29"/>
        <v>0</v>
      </c>
      <c r="BH28" s="24">
        <f t="shared" si="29"/>
        <v>0</v>
      </c>
      <c r="BI28" s="24">
        <f t="shared" si="29"/>
        <v>0</v>
      </c>
      <c r="BJ28" s="24">
        <f t="shared" si="29"/>
        <v>0</v>
      </c>
      <c r="BK28" s="24">
        <f t="shared" si="29"/>
        <v>0</v>
      </c>
      <c r="BL28" s="24">
        <f t="shared" si="29"/>
        <v>0</v>
      </c>
      <c r="BM28" s="24">
        <f t="shared" si="29"/>
        <v>0</v>
      </c>
      <c r="BN28" s="24">
        <f t="shared" si="29"/>
        <v>0</v>
      </c>
      <c r="BO28" s="24">
        <f t="shared" si="29"/>
        <v>0</v>
      </c>
      <c r="BP28" s="24">
        <f t="shared" ref="BP28:BW28" si="30">+IF(BP27&gt;0,BP27,0)</f>
        <v>0</v>
      </c>
      <c r="BQ28" s="24">
        <f t="shared" si="30"/>
        <v>0</v>
      </c>
      <c r="BR28" s="24">
        <f t="shared" si="30"/>
        <v>0</v>
      </c>
      <c r="BS28" s="24">
        <f t="shared" si="30"/>
        <v>0</v>
      </c>
      <c r="BT28" s="24">
        <f t="shared" si="30"/>
        <v>0</v>
      </c>
      <c r="BU28" s="24">
        <f t="shared" si="30"/>
        <v>0</v>
      </c>
      <c r="BV28" s="24">
        <f t="shared" si="30"/>
        <v>0</v>
      </c>
      <c r="BW28" s="24">
        <f t="shared" si="30"/>
        <v>0</v>
      </c>
    </row>
    <row r="29" spans="3:75" ht="19.5" customHeight="1" x14ac:dyDescent="0.2">
      <c r="C29" t="s">
        <v>34</v>
      </c>
      <c r="D29" s="24">
        <f t="shared" ref="D29:AI29" si="31">+IF(D27&lt;=0,D27,0)</f>
        <v>0</v>
      </c>
      <c r="E29" s="24">
        <f t="shared" si="31"/>
        <v>0</v>
      </c>
      <c r="F29" s="24">
        <f t="shared" si="31"/>
        <v>0</v>
      </c>
      <c r="G29" s="24">
        <f t="shared" si="31"/>
        <v>0</v>
      </c>
      <c r="H29" s="24">
        <f t="shared" si="31"/>
        <v>0</v>
      </c>
      <c r="I29" s="24">
        <f t="shared" si="31"/>
        <v>0</v>
      </c>
      <c r="J29" s="24">
        <f t="shared" si="31"/>
        <v>-25000</v>
      </c>
      <c r="K29" s="24">
        <f t="shared" si="31"/>
        <v>0</v>
      </c>
      <c r="L29" s="24">
        <f t="shared" si="31"/>
        <v>0</v>
      </c>
      <c r="M29" s="24">
        <f t="shared" si="31"/>
        <v>0</v>
      </c>
      <c r="N29" s="24">
        <f t="shared" si="31"/>
        <v>0</v>
      </c>
      <c r="O29" s="24">
        <f t="shared" si="31"/>
        <v>0</v>
      </c>
      <c r="P29" s="24">
        <f t="shared" si="31"/>
        <v>0</v>
      </c>
      <c r="Q29" s="24">
        <f t="shared" si="31"/>
        <v>0</v>
      </c>
      <c r="R29" s="24">
        <f t="shared" si="31"/>
        <v>0</v>
      </c>
      <c r="S29" s="24">
        <f t="shared" si="31"/>
        <v>0</v>
      </c>
      <c r="T29" s="24">
        <f t="shared" si="31"/>
        <v>0</v>
      </c>
      <c r="U29" s="24">
        <f t="shared" si="31"/>
        <v>0</v>
      </c>
      <c r="V29" s="24">
        <f t="shared" si="31"/>
        <v>0</v>
      </c>
      <c r="W29" s="24">
        <f t="shared" si="31"/>
        <v>0</v>
      </c>
      <c r="X29" s="24">
        <f t="shared" si="31"/>
        <v>0</v>
      </c>
      <c r="Y29" s="24">
        <f t="shared" si="31"/>
        <v>0</v>
      </c>
      <c r="Z29" s="24">
        <f t="shared" si="31"/>
        <v>0</v>
      </c>
      <c r="AA29" s="24">
        <f t="shared" si="31"/>
        <v>0</v>
      </c>
      <c r="AB29" s="24">
        <f t="shared" si="31"/>
        <v>0</v>
      </c>
      <c r="AC29" s="24">
        <f t="shared" si="31"/>
        <v>-60000</v>
      </c>
      <c r="AD29" s="24">
        <f t="shared" si="31"/>
        <v>-140000</v>
      </c>
      <c r="AE29" s="24">
        <f t="shared" si="31"/>
        <v>-220000</v>
      </c>
      <c r="AF29" s="24">
        <f t="shared" si="31"/>
        <v>-300000</v>
      </c>
      <c r="AG29" s="24">
        <f t="shared" si="31"/>
        <v>-380000</v>
      </c>
      <c r="AH29" s="24">
        <f t="shared" si="31"/>
        <v>-460000</v>
      </c>
      <c r="AI29" s="24">
        <f t="shared" si="31"/>
        <v>-540000</v>
      </c>
      <c r="AJ29" s="24">
        <f t="shared" ref="AJ29:BO29" si="32">+IF(AJ27&lt;=0,AJ27,0)</f>
        <v>-620000</v>
      </c>
      <c r="AK29" s="24">
        <f t="shared" si="32"/>
        <v>-700000</v>
      </c>
      <c r="AL29" s="24">
        <f t="shared" si="32"/>
        <v>-780000</v>
      </c>
      <c r="AM29" s="24">
        <f t="shared" si="32"/>
        <v>-860000</v>
      </c>
      <c r="AN29" s="24">
        <f t="shared" si="32"/>
        <v>-940000</v>
      </c>
      <c r="AO29" s="24">
        <f t="shared" si="32"/>
        <v>-1020000</v>
      </c>
      <c r="AP29" s="24">
        <f t="shared" si="32"/>
        <v>-1100000</v>
      </c>
      <c r="AQ29" s="24">
        <f t="shared" si="32"/>
        <v>-1180000</v>
      </c>
      <c r="AR29" s="24">
        <f t="shared" si="32"/>
        <v>-1260000</v>
      </c>
      <c r="AS29" s="24">
        <f t="shared" si="32"/>
        <v>-1340000</v>
      </c>
      <c r="AT29" s="24">
        <f t="shared" si="32"/>
        <v>-1420000</v>
      </c>
      <c r="AU29" s="24">
        <f t="shared" si="32"/>
        <v>-1500000</v>
      </c>
      <c r="AV29" s="24">
        <f t="shared" si="32"/>
        <v>-1580000</v>
      </c>
      <c r="AW29" s="24">
        <f t="shared" si="32"/>
        <v>-1660000</v>
      </c>
      <c r="AX29" s="24">
        <f t="shared" si="32"/>
        <v>-1740000</v>
      </c>
      <c r="AY29" s="24">
        <f t="shared" si="32"/>
        <v>-1820000</v>
      </c>
      <c r="AZ29" s="24">
        <f t="shared" si="32"/>
        <v>-1900000</v>
      </c>
      <c r="BA29" s="24">
        <f t="shared" si="32"/>
        <v>-1980000</v>
      </c>
      <c r="BB29" s="24">
        <f t="shared" si="32"/>
        <v>-2060000</v>
      </c>
      <c r="BC29" s="24">
        <f t="shared" si="32"/>
        <v>-2140000</v>
      </c>
      <c r="BD29" s="24">
        <f t="shared" si="32"/>
        <v>-2220000</v>
      </c>
      <c r="BE29" s="24">
        <f t="shared" si="32"/>
        <v>-2300000</v>
      </c>
      <c r="BF29" s="24">
        <f t="shared" si="32"/>
        <v>-2380000</v>
      </c>
      <c r="BG29" s="24">
        <f t="shared" si="32"/>
        <v>-2460000</v>
      </c>
      <c r="BH29" s="24">
        <f t="shared" si="32"/>
        <v>-2540000</v>
      </c>
      <c r="BI29" s="24">
        <f t="shared" si="32"/>
        <v>-2620000</v>
      </c>
      <c r="BJ29" s="24">
        <f t="shared" si="32"/>
        <v>-2700000</v>
      </c>
      <c r="BK29" s="24">
        <f t="shared" si="32"/>
        <v>-2780000</v>
      </c>
      <c r="BL29" s="24">
        <f t="shared" si="32"/>
        <v>-2860000</v>
      </c>
      <c r="BM29" s="24">
        <f t="shared" si="32"/>
        <v>-2940000</v>
      </c>
      <c r="BN29" s="24">
        <f t="shared" si="32"/>
        <v>-3020000</v>
      </c>
      <c r="BO29" s="24">
        <f t="shared" si="32"/>
        <v>-3100000</v>
      </c>
      <c r="BP29" s="24">
        <f t="shared" ref="BP29:BW29" si="33">+IF(BP27&lt;=0,BP27,0)</f>
        <v>-3180000</v>
      </c>
      <c r="BQ29" s="24">
        <f t="shared" si="33"/>
        <v>-3260000</v>
      </c>
      <c r="BR29" s="24">
        <f t="shared" si="33"/>
        <v>-3340000</v>
      </c>
      <c r="BS29" s="24">
        <f t="shared" si="33"/>
        <v>-3420000</v>
      </c>
      <c r="BT29" s="24">
        <f t="shared" si="33"/>
        <v>-3500000</v>
      </c>
      <c r="BU29" s="24">
        <f t="shared" si="33"/>
        <v>-3580000</v>
      </c>
      <c r="BV29" s="24">
        <f t="shared" si="33"/>
        <v>-3660000</v>
      </c>
      <c r="BW29" s="24">
        <f t="shared" si="33"/>
        <v>-3740000</v>
      </c>
    </row>
    <row r="30" spans="3:75" ht="19.5" customHeight="1" x14ac:dyDescent="0.2">
      <c r="C30" t="s">
        <v>32</v>
      </c>
      <c r="D30">
        <f>+IF(AND(D27&gt;=0,COUNTIFS($C27:C27,"&lt;0")=0),1,IF(AND(C27&gt;0,D27&lt;0),ABS(1-D27/D25),0))</f>
        <v>1</v>
      </c>
      <c r="E30">
        <f>+IF(AND(E27&gt;=0,COUNTIFS($C27:D27,"&lt;0")=0),1,IF(AND(D27&gt;0,E27&lt;0),ABS(1-E27/E25),0))</f>
        <v>1</v>
      </c>
      <c r="F30">
        <f>+IF(AND(F27&gt;=0,COUNTIFS($C27:E27,"&lt;0")=0),1,IF(AND(E27&gt;0,F27&lt;0),ABS(1-F27/F25),0))</f>
        <v>1</v>
      </c>
      <c r="G30">
        <f>+IF(AND(G27&gt;=0,COUNTIFS($C27:F27,"&lt;0")=0),1,IF(AND(F27&gt;0,G27&lt;0),ABS(1-G27/G25),0))</f>
        <v>1</v>
      </c>
      <c r="H30">
        <f>+IF(AND(H27&gt;=0,COUNTIFS($C27:G27,"&lt;0")=0),1,IF(AND(G27&gt;0,H27&lt;0),ABS(1-H27/H25),0))</f>
        <v>1</v>
      </c>
      <c r="I30">
        <f>+IF(AND(I27&gt;=0,COUNTIFS($C27:H27,"&lt;0")=0),1,IF(AND(H27&gt;0,I27&lt;0),ABS(1-I27/I25),0))</f>
        <v>1</v>
      </c>
      <c r="J30">
        <f>+IF(AND(J27&gt;=0,COUNTIFS($C27:I27,"&lt;0")=0),1,IF(AND(I27&gt;0,J27&lt;0),ABS(1-J27/J25),0))</f>
        <v>0.66666666666666674</v>
      </c>
      <c r="K30">
        <f>+IF(AND(K27&gt;=0,COUNTIFS($C27:J27,"&lt;0")=0),1,IF(AND(J27&gt;0,K27&lt;0),ABS(1-K27/K25),0))</f>
        <v>0</v>
      </c>
      <c r="L30">
        <f>+IF(AND(L27&gt;=0,COUNTIFS($C27:K27,"&lt;0")=0),1,IF(AND(K27&gt;0,L27&lt;0),ABS(1-L27/L25),0))</f>
        <v>0</v>
      </c>
      <c r="M30">
        <f>+IF(AND(M27&gt;=0,COUNTIFS($C27:L27,"&lt;0")=0),1,IF(AND(L27&gt;0,M27&lt;0),ABS(1-M27/M25),0))</f>
        <v>0</v>
      </c>
      <c r="N30">
        <f>+IF(AND(N27&gt;=0,COUNTIFS($C27:M27,"&lt;0")=0),1,IF(AND(M27&gt;0,N27&lt;0),ABS(1-N27/N25),0))</f>
        <v>0</v>
      </c>
      <c r="O30">
        <f>+IF(AND(O27&gt;=0,COUNTIFS($C27:N27,"&lt;0")=0),1,IF(AND(N27&gt;0,O27&lt;0),ABS(1-O27/O25),0))</f>
        <v>0</v>
      </c>
      <c r="P30">
        <f>+IF(AND(P27&gt;=0,COUNTIFS($C27:O27,"&lt;0")=0),1,IF(AND(O27&gt;0,P27&lt;0),ABS(1-P27/P25),0))</f>
        <v>0</v>
      </c>
      <c r="Q30">
        <f>+IF(AND(Q27&gt;=0,COUNTIFS($C27:P27,"&lt;0")=0),1,IF(AND(P27&gt;0,Q27&lt;0),ABS(1-Q27/Q25),0))</f>
        <v>0</v>
      </c>
      <c r="R30">
        <f>+IF(AND(R27&gt;=0,COUNTIFS($C27:Q27,"&lt;0")=0),1,IF(AND(Q27&gt;0,R27&lt;0),ABS(1-R27/R25),0))</f>
        <v>0</v>
      </c>
      <c r="S30">
        <f>+IF(AND(S27&gt;=0,COUNTIFS($C27:R27,"&lt;0")=0),1,IF(AND(R27&gt;0,S27&lt;0),ABS(1-S27/S25),0))</f>
        <v>0</v>
      </c>
      <c r="T30">
        <f>+IF(AND(T27&gt;=0,COUNTIFS($C27:S27,"&lt;0")=0),1,IF(AND(S27&gt;0,T27&lt;0),ABS(1-T27/T25),0))</f>
        <v>0</v>
      </c>
      <c r="U30">
        <f>+IF(AND(U27&gt;=0,COUNTIFS($C27:T27,"&lt;0")=0),1,IF(AND(T27&gt;0,U27&lt;0),ABS(1-U27/U25),0))</f>
        <v>0</v>
      </c>
      <c r="V30">
        <f>+IF(AND(V27&gt;=0,COUNTIFS($C27:U27,"&lt;0")=0),1,IF(AND(U27&gt;0,V27&lt;0),ABS(1-V27/V25),0))</f>
        <v>0</v>
      </c>
      <c r="W30">
        <f>+IF(AND(W27&gt;=0,COUNTIFS($C27:V27,"&lt;0")=0),1,IF(AND(V27&gt;0,W27&lt;0),ABS(1-W27/W25),0))</f>
        <v>0</v>
      </c>
      <c r="X30">
        <f>+IF(AND(X27&gt;=0,COUNTIFS($C27:W27,"&lt;0")=0),1,IF(AND(W27&gt;0,X27&lt;0),ABS(1-X27/X25),0))</f>
        <v>0</v>
      </c>
      <c r="Y30">
        <f>+IF(AND(Y27&gt;=0,COUNTIFS($C27:X27,"&lt;0")=0),1,IF(AND(X27&gt;0,Y27&lt;0),ABS(1-Y27/Y25),0))</f>
        <v>0</v>
      </c>
      <c r="Z30">
        <f>+IF(AND(Z27&gt;=0,COUNTIFS($C27:Y27,"&lt;0")=0),1,IF(AND(Y27&gt;0,Z27&lt;0),ABS(1-Z27/Z25),0))</f>
        <v>0</v>
      </c>
      <c r="AA30">
        <f>+IF(AND(AA27&gt;=0,COUNTIFS($C27:Z27,"&lt;0")=0),1,IF(AND(Z27&gt;0,AA27&lt;0),ABS(1-AA27/AA25),0))</f>
        <v>0</v>
      </c>
      <c r="AB30">
        <f>+IF(AND(AB27&gt;=0,COUNTIFS($C27:AA27,"&lt;0")=0),1,IF(AND(AA27&gt;0,AB27&lt;0),ABS(1-AB27/AB25),0))</f>
        <v>0</v>
      </c>
      <c r="AC30">
        <f>+IF(AND(AC27&gt;=0,COUNTIFS($C27:AB27,"&lt;0")=0),1,IF(AND(AB27&gt;0,AC27&lt;0),ABS(1-AC27/AC25),0))</f>
        <v>0.25</v>
      </c>
      <c r="AD30">
        <f>+IF(AND(AD27&gt;=0,COUNTIFS($C27:AC27,"&lt;0")=0),1,IF(AND(AC27&gt;0,AD27&lt;0),ABS(1-AD27/AD25),0))</f>
        <v>0</v>
      </c>
      <c r="AE30">
        <f>+IF(AND(AE27&gt;=0,COUNTIFS($C27:AD27,"&lt;0")=0),1,IF(AND(AD27&gt;0,AE27&lt;0),ABS(1-AE27/AE25),0))</f>
        <v>0</v>
      </c>
      <c r="AF30">
        <f>+IF(AND(AF27&gt;=0,COUNTIFS($C27:AE27,"&lt;0")=0),1,IF(AND(AE27&gt;0,AF27&lt;0),ABS(1-AF27/AF25),0))</f>
        <v>0</v>
      </c>
      <c r="AG30">
        <f>+IF(AND(AG27&gt;=0,COUNTIFS($C27:AF27,"&lt;0")=0),1,IF(AND(AF27&gt;0,AG27&lt;0),ABS(1-AG27/AG25),0))</f>
        <v>0</v>
      </c>
      <c r="AH30">
        <f>+IF(AND(AH27&gt;=0,COUNTIFS($C27:AG27,"&lt;0")=0),1,IF(AND(AG27&gt;0,AH27&lt;0),ABS(1-AH27/AH25),0))</f>
        <v>0</v>
      </c>
      <c r="AI30">
        <f>+IF(AND(AI27&gt;=0,COUNTIFS($C27:AH27,"&lt;0")=0),1,IF(AND(AH27&gt;0,AI27&lt;0),ABS(1-AI27/AI25),0))</f>
        <v>0</v>
      </c>
      <c r="AJ30">
        <f>+IF(AND(AJ27&gt;=0,COUNTIFS($C27:AI27,"&lt;0")=0),1,IF(AND(AI27&gt;0,AJ27&lt;0),ABS(1-AJ27/AJ25),0))</f>
        <v>0</v>
      </c>
      <c r="AK30">
        <f>+IF(AND(AK27&gt;=0,COUNTIFS($C27:AJ27,"&lt;0")=0),1,IF(AND(AJ27&gt;0,AK27&lt;0),ABS(1-AK27/AK25),0))</f>
        <v>0</v>
      </c>
      <c r="AL30">
        <f>+IF(AND(AL27&gt;=0,COUNTIFS($C27:AK27,"&lt;0")=0),1,IF(AND(AK27&gt;0,AL27&lt;0),ABS(1-AL27/AL25),0))</f>
        <v>0</v>
      </c>
      <c r="AM30">
        <f>+IF(AND(AM27&gt;=0,COUNTIFS($C27:AL27,"&lt;0")=0),1,IF(AND(AL27&gt;0,AM27&lt;0),ABS(1-AM27/AM25),0))</f>
        <v>0</v>
      </c>
      <c r="AN30">
        <f>+IF(AND(AN27&gt;=0,COUNTIFS($C27:AM27,"&lt;0")=0),1,IF(AND(AM27&gt;0,AN27&lt;0),ABS(1-AN27/AN25),0))</f>
        <v>0</v>
      </c>
      <c r="AO30">
        <f>+IF(AND(AO27&gt;=0,COUNTIFS($C27:AN27,"&lt;0")=0),1,IF(AND(AN27&gt;0,AO27&lt;0),ABS(1-AO27/AO25),0))</f>
        <v>0</v>
      </c>
      <c r="AP30">
        <f>+IF(AND(AP27&gt;=0,COUNTIFS($C27:AO27,"&lt;0")=0),1,IF(AND(AO27&gt;0,AP27&lt;0),ABS(1-AP27/AP25),0))</f>
        <v>0</v>
      </c>
      <c r="AQ30">
        <f>+IF(AND(AQ27&gt;=0,COUNTIFS($C27:AP27,"&lt;0")=0),1,IF(AND(AP27&gt;0,AQ27&lt;0),ABS(1-AQ27/AQ25),0))</f>
        <v>0</v>
      </c>
      <c r="AR30">
        <f>+IF(AND(AR27&gt;=0,COUNTIFS($C27:AQ27,"&lt;0")=0),1,IF(AND(AQ27&gt;0,AR27&lt;0),ABS(1-AR27/AR25),0))</f>
        <v>0</v>
      </c>
      <c r="AS30">
        <f>+IF(AND(AS27&gt;=0,COUNTIFS($C27:AR27,"&lt;0")=0),1,IF(AND(AR27&gt;0,AS27&lt;0),ABS(1-AS27/AS25),0))</f>
        <v>0</v>
      </c>
      <c r="AT30">
        <f>+IF(AND(AT27&gt;=0,COUNTIFS($C27:AS27,"&lt;0")=0),1,IF(AND(AS27&gt;0,AT27&lt;0),ABS(1-AT27/AT25),0))</f>
        <v>0</v>
      </c>
      <c r="AU30">
        <f>+IF(AND(AU27&gt;=0,COUNTIFS($C27:AT27,"&lt;0")=0),1,IF(AND(AT27&gt;0,AU27&lt;0),ABS(1-AU27/AU25),0))</f>
        <v>0</v>
      </c>
      <c r="AV30">
        <f>+IF(AND(AV27&gt;=0,COUNTIFS($C27:AU27,"&lt;0")=0),1,IF(AND(AU27&gt;0,AV27&lt;0),ABS(1-AV27/AV25),0))</f>
        <v>0</v>
      </c>
      <c r="AW30">
        <f>+IF(AND(AW27&gt;=0,COUNTIFS($C27:AV27,"&lt;0")=0),1,IF(AND(AV27&gt;0,AW27&lt;0),ABS(1-AW27/AW25),0))</f>
        <v>0</v>
      </c>
      <c r="AX30">
        <f>+IF(AND(AX27&gt;=0,COUNTIFS($C27:AW27,"&lt;0")=0),1,IF(AND(AW27&gt;0,AX27&lt;0),ABS(1-AX27/AX25),0))</f>
        <v>0</v>
      </c>
      <c r="AY30">
        <f>+IF(AND(AY27&gt;=0,COUNTIFS($C27:AX27,"&lt;0")=0),1,IF(AND(AX27&gt;0,AY27&lt;0),ABS(1-AY27/AY25),0))</f>
        <v>0</v>
      </c>
      <c r="AZ30">
        <f>+IF(AND(AZ27&gt;=0,COUNTIFS($C27:AY27,"&lt;0")=0),1,IF(AND(AY27&gt;0,AZ27&lt;0),ABS(1-AZ27/AZ25),0))</f>
        <v>0</v>
      </c>
      <c r="BA30">
        <f>+IF(AND(BA27&gt;=0,COUNTIFS($C27:AZ27,"&lt;0")=0),1,IF(AND(AZ27&gt;0,BA27&lt;0),ABS(1-BA27/BA25),0))</f>
        <v>0</v>
      </c>
      <c r="BB30">
        <f>+IF(AND(BB27&gt;=0,COUNTIFS($C27:BA27,"&lt;0")=0),1,IF(AND(BA27&gt;0,BB27&lt;0),ABS(1-BB27/BB25),0))</f>
        <v>0</v>
      </c>
      <c r="BC30">
        <f>+IF(AND(BC27&gt;=0,COUNTIFS($C27:BB27,"&lt;0")=0),1,IF(AND(BB27&gt;0,BC27&lt;0),ABS(1-BC27/BC25),0))</f>
        <v>0</v>
      </c>
      <c r="BD30">
        <f>+IF(AND(BD27&gt;=0,COUNTIFS($C27:BC27,"&lt;0")=0),1,IF(AND(BC27&gt;0,BD27&lt;0),ABS(1-BD27/BD25),0))</f>
        <v>0</v>
      </c>
      <c r="BE30">
        <f>+IF(AND(BE27&gt;=0,COUNTIFS($C27:BD27,"&lt;0")=0),1,IF(AND(BD27&gt;0,BE27&lt;0),ABS(1-BE27/BE25),0))</f>
        <v>0</v>
      </c>
      <c r="BF30">
        <f>+IF(AND(BF27&gt;=0,COUNTIFS($C27:BE27,"&lt;0")=0),1,IF(AND(BE27&gt;0,BF27&lt;0),ABS(1-BF27/BF25),0))</f>
        <v>0</v>
      </c>
      <c r="BG30">
        <f>+IF(AND(BG27&gt;=0,COUNTIFS($C27:BF27,"&lt;0")=0),1,IF(AND(BF27&gt;0,BG27&lt;0),ABS(1-BG27/BG25),0))</f>
        <v>0</v>
      </c>
      <c r="BH30">
        <f>+IF(AND(BH27&gt;=0,COUNTIFS($C27:BG27,"&lt;0")=0),1,IF(AND(BG27&gt;0,BH27&lt;0),ABS(1-BH27/BH25),0))</f>
        <v>0</v>
      </c>
      <c r="BI30">
        <f>+IF(AND(BI27&gt;=0,COUNTIFS($C27:BH27,"&lt;0")=0),1,IF(AND(BH27&gt;0,BI27&lt;0),ABS(1-BI27/BI25),0))</f>
        <v>0</v>
      </c>
      <c r="BJ30">
        <f>+IF(AND(BJ27&gt;=0,COUNTIFS($C27:BI27,"&lt;0")=0),1,IF(AND(BI27&gt;0,BJ27&lt;0),ABS(1-BJ27/BJ25),0))</f>
        <v>0</v>
      </c>
      <c r="BK30">
        <f>+IF(AND(BK27&gt;=0,COUNTIFS($C27:BJ27,"&lt;0")=0),1,IF(AND(BJ27&gt;0,BK27&lt;0),ABS(1-BK27/BK25),0))</f>
        <v>0</v>
      </c>
      <c r="BL30">
        <f>+IF(AND(BL27&gt;=0,COUNTIFS($C27:BK27,"&lt;0")=0),1,IF(AND(BK27&gt;0,BL27&lt;0),ABS(1-BL27/BL25),0))</f>
        <v>0</v>
      </c>
      <c r="BM30">
        <f>+IF(AND(BM27&gt;=0,COUNTIFS($C27:BL27,"&lt;0")=0),1,IF(AND(BL27&gt;0,BM27&lt;0),ABS(1-BM27/BM25),0))</f>
        <v>0</v>
      </c>
      <c r="BN30">
        <f>+IF(AND(BN27&gt;=0,COUNTIFS($C27:BM27,"&lt;0")=0),1,IF(AND(BM27&gt;0,BN27&lt;0),ABS(1-BN27/BN25),0))</f>
        <v>0</v>
      </c>
      <c r="BO30">
        <f>+IF(AND(BO27&gt;=0,COUNTIFS($C27:BN27,"&lt;0")=0),1,IF(AND(BN27&gt;0,BO27&lt;0),ABS(1-BO27/BO25),0))</f>
        <v>0</v>
      </c>
      <c r="BP30">
        <f>+IF(AND(BP27&gt;=0,COUNTIFS($C27:BO27,"&lt;0")=0),1,IF(AND(BO27&gt;0,BP27&lt;0),ABS(1-BP27/BP25),0))</f>
        <v>0</v>
      </c>
      <c r="BQ30">
        <f>+IF(AND(BQ27&gt;=0,COUNTIFS($C27:BP27,"&lt;0")=0),1,IF(AND(BP27&gt;0,BQ27&lt;0),ABS(1-BQ27/BQ25),0))</f>
        <v>0</v>
      </c>
      <c r="BR30">
        <f>+IF(AND(BR27&gt;=0,COUNTIFS($C27:BQ27,"&lt;0")=0),1,IF(AND(BQ27&gt;0,BR27&lt;0),ABS(1-BR27/BR25),0))</f>
        <v>0</v>
      </c>
      <c r="BS30">
        <f>+IF(AND(BS27&gt;=0,COUNTIFS($C27:BR27,"&lt;0")=0),1,IF(AND(BR27&gt;0,BS27&lt;0),ABS(1-BS27/BS25),0))</f>
        <v>0</v>
      </c>
      <c r="BT30">
        <f>+IF(AND(BT27&gt;=0,COUNTIFS($C27:BS27,"&lt;0")=0),1,IF(AND(BS27&gt;0,BT27&lt;0),ABS(1-BT27/BT25),0))</f>
        <v>0</v>
      </c>
      <c r="BU30">
        <f>+IF(AND(BU27&gt;=0,COUNTIFS($C27:BT27,"&lt;0")=0),1,IF(AND(BT27&gt;0,BU27&lt;0),ABS(1-BU27/BU25),0))</f>
        <v>0</v>
      </c>
      <c r="BV30">
        <f>+IF(AND(BV27&gt;=0,COUNTIFS($C27:BU27,"&lt;0")=0),1,IF(AND(BU27&gt;0,BV27&lt;0),ABS(1-BV27/BV25),0))</f>
        <v>0</v>
      </c>
      <c r="BW30">
        <f>+IF(AND(BW27&gt;=0,COUNTIFS($C27:BV27,"&lt;0")=0),1,IF(AND(BV27&gt;0,BW27&lt;0),ABS(1-BW27/BW25),0))</f>
        <v>0</v>
      </c>
    </row>
    <row r="33" spans="3:75" ht="16" thickBot="1" x14ac:dyDescent="0.25">
      <c r="C33" s="23" t="s">
        <v>138</v>
      </c>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c r="BJ33" s="23"/>
      <c r="BK33" s="23"/>
      <c r="BL33" s="23"/>
      <c r="BM33" s="23"/>
      <c r="BN33" s="23"/>
      <c r="BO33" s="23"/>
      <c r="BP33" s="23"/>
      <c r="BQ33" s="23"/>
      <c r="BR33" s="23"/>
      <c r="BS33" s="23"/>
      <c r="BT33" s="23"/>
      <c r="BU33" s="23"/>
      <c r="BV33" s="23"/>
      <c r="BW33" s="23"/>
    </row>
    <row r="34" spans="3:75" ht="16" thickTop="1" x14ac:dyDescent="0.2">
      <c r="C34" t="s">
        <v>27</v>
      </c>
      <c r="D34" s="24">
        <f>+D8</f>
        <v>500000</v>
      </c>
      <c r="E34" s="24">
        <f>+D37</f>
        <v>425000</v>
      </c>
      <c r="F34" s="24">
        <f t="shared" ref="F34:BQ34" si="34">+E37</f>
        <v>350000</v>
      </c>
      <c r="G34" s="24">
        <f t="shared" si="34"/>
        <v>275000</v>
      </c>
      <c r="H34" s="24">
        <f t="shared" si="34"/>
        <v>200000</v>
      </c>
      <c r="I34" s="24">
        <f t="shared" si="34"/>
        <v>125000</v>
      </c>
      <c r="J34" s="24">
        <f t="shared" si="34"/>
        <v>50000</v>
      </c>
      <c r="K34" s="24">
        <f t="shared" si="34"/>
        <v>-25000</v>
      </c>
      <c r="L34" s="24">
        <f t="shared" si="34"/>
        <v>1900000</v>
      </c>
      <c r="M34" s="24">
        <f t="shared" si="34"/>
        <v>1825000</v>
      </c>
      <c r="N34" s="24">
        <f t="shared" si="34"/>
        <v>1750000</v>
      </c>
      <c r="O34" s="24">
        <f t="shared" si="34"/>
        <v>1675000</v>
      </c>
      <c r="P34" s="24">
        <f t="shared" si="34"/>
        <v>1600000</v>
      </c>
      <c r="Q34" s="24">
        <f t="shared" si="34"/>
        <v>1475000</v>
      </c>
      <c r="R34" s="24">
        <f t="shared" si="34"/>
        <v>1350000</v>
      </c>
      <c r="S34" s="24">
        <f t="shared" si="34"/>
        <v>1225000</v>
      </c>
      <c r="T34" s="24">
        <f t="shared" si="34"/>
        <v>1100000</v>
      </c>
      <c r="U34" s="24">
        <f t="shared" si="34"/>
        <v>975000</v>
      </c>
      <c r="V34" s="24">
        <f t="shared" si="34"/>
        <v>850000</v>
      </c>
      <c r="W34" s="24">
        <f t="shared" si="34"/>
        <v>725000</v>
      </c>
      <c r="X34" s="24">
        <f t="shared" si="34"/>
        <v>600000</v>
      </c>
      <c r="Y34" s="24">
        <f t="shared" si="34"/>
        <v>475000</v>
      </c>
      <c r="Z34" s="24">
        <f t="shared" si="34"/>
        <v>350000</v>
      </c>
      <c r="AA34" s="24">
        <f t="shared" si="34"/>
        <v>225000</v>
      </c>
      <c r="AB34" s="24">
        <f t="shared" si="34"/>
        <v>100000</v>
      </c>
      <c r="AC34" s="24">
        <f t="shared" si="34"/>
        <v>20000</v>
      </c>
      <c r="AD34" s="24">
        <f t="shared" si="34"/>
        <v>-60000</v>
      </c>
      <c r="AE34" s="24">
        <f t="shared" si="34"/>
        <v>-140000</v>
      </c>
      <c r="AF34" s="24">
        <f t="shared" si="34"/>
        <v>-220000</v>
      </c>
      <c r="AG34" s="24">
        <f t="shared" si="34"/>
        <v>-300000</v>
      </c>
      <c r="AH34" s="24">
        <f t="shared" si="34"/>
        <v>-380000</v>
      </c>
      <c r="AI34" s="24">
        <f t="shared" si="34"/>
        <v>-460000</v>
      </c>
      <c r="AJ34" s="24">
        <f t="shared" si="34"/>
        <v>-540000</v>
      </c>
      <c r="AK34" s="24">
        <f t="shared" si="34"/>
        <v>-620000</v>
      </c>
      <c r="AL34" s="24">
        <f t="shared" si="34"/>
        <v>-700000</v>
      </c>
      <c r="AM34" s="24">
        <f t="shared" si="34"/>
        <v>-780000</v>
      </c>
      <c r="AN34" s="24">
        <f t="shared" si="34"/>
        <v>-860000</v>
      </c>
      <c r="AO34" s="24">
        <f t="shared" si="34"/>
        <v>-940000</v>
      </c>
      <c r="AP34" s="24">
        <f t="shared" si="34"/>
        <v>-1020000</v>
      </c>
      <c r="AQ34" s="24">
        <f t="shared" si="34"/>
        <v>-1100000</v>
      </c>
      <c r="AR34" s="24">
        <f t="shared" si="34"/>
        <v>-1180000</v>
      </c>
      <c r="AS34" s="24">
        <f t="shared" si="34"/>
        <v>-1260000</v>
      </c>
      <c r="AT34" s="24">
        <f t="shared" si="34"/>
        <v>-1340000</v>
      </c>
      <c r="AU34" s="24">
        <f t="shared" si="34"/>
        <v>-1420000</v>
      </c>
      <c r="AV34" s="24">
        <f t="shared" si="34"/>
        <v>-1500000</v>
      </c>
      <c r="AW34" s="24">
        <f t="shared" si="34"/>
        <v>-1580000</v>
      </c>
      <c r="AX34" s="24">
        <f t="shared" si="34"/>
        <v>-1660000</v>
      </c>
      <c r="AY34" s="24">
        <f t="shared" si="34"/>
        <v>-1740000</v>
      </c>
      <c r="AZ34" s="24">
        <f t="shared" si="34"/>
        <v>-1820000</v>
      </c>
      <c r="BA34" s="24">
        <f t="shared" si="34"/>
        <v>-1900000</v>
      </c>
      <c r="BB34" s="24">
        <f t="shared" si="34"/>
        <v>-1980000</v>
      </c>
      <c r="BC34" s="24">
        <f t="shared" si="34"/>
        <v>-2060000</v>
      </c>
      <c r="BD34" s="24">
        <f t="shared" si="34"/>
        <v>-2140000</v>
      </c>
      <c r="BE34" s="24">
        <f t="shared" si="34"/>
        <v>-2220000</v>
      </c>
      <c r="BF34" s="24">
        <f t="shared" si="34"/>
        <v>-2300000</v>
      </c>
      <c r="BG34" s="24">
        <f t="shared" si="34"/>
        <v>-2380000</v>
      </c>
      <c r="BH34" s="24">
        <f t="shared" si="34"/>
        <v>-2460000</v>
      </c>
      <c r="BI34" s="24">
        <f t="shared" si="34"/>
        <v>-2540000</v>
      </c>
      <c r="BJ34" s="24">
        <f t="shared" si="34"/>
        <v>-2620000</v>
      </c>
      <c r="BK34" s="24">
        <f t="shared" si="34"/>
        <v>-2700000</v>
      </c>
      <c r="BL34" s="24">
        <f t="shared" si="34"/>
        <v>-2780000</v>
      </c>
      <c r="BM34" s="24">
        <f t="shared" si="34"/>
        <v>-2860000</v>
      </c>
      <c r="BN34" s="24">
        <f t="shared" si="34"/>
        <v>-2940000</v>
      </c>
      <c r="BO34" s="24">
        <f t="shared" si="34"/>
        <v>-3020000</v>
      </c>
      <c r="BP34" s="24">
        <f t="shared" si="34"/>
        <v>-3100000</v>
      </c>
      <c r="BQ34" s="24">
        <f t="shared" si="34"/>
        <v>-3180000</v>
      </c>
      <c r="BR34" s="24">
        <f t="shared" ref="BR34:BW34" si="35">+BQ37</f>
        <v>-3260000</v>
      </c>
      <c r="BS34" s="24">
        <f t="shared" si="35"/>
        <v>-3340000</v>
      </c>
      <c r="BT34" s="24">
        <f t="shared" si="35"/>
        <v>-3420000</v>
      </c>
      <c r="BU34" s="24">
        <f t="shared" si="35"/>
        <v>-3500000</v>
      </c>
      <c r="BV34" s="24">
        <f t="shared" si="35"/>
        <v>-3580000</v>
      </c>
      <c r="BW34" s="24">
        <f t="shared" si="35"/>
        <v>-3660000</v>
      </c>
    </row>
    <row r="35" spans="3:75" x14ac:dyDescent="0.2">
      <c r="C35" t="s">
        <v>31</v>
      </c>
      <c r="D35" s="24">
        <f>+D9</f>
        <v>-75000</v>
      </c>
      <c r="E35" s="24">
        <f t="shared" ref="E35:BP35" si="36">+E9</f>
        <v>-75000</v>
      </c>
      <c r="F35" s="24">
        <f t="shared" si="36"/>
        <v>-75000</v>
      </c>
      <c r="G35" s="24">
        <f t="shared" si="36"/>
        <v>-75000</v>
      </c>
      <c r="H35" s="24">
        <f t="shared" si="36"/>
        <v>-75000</v>
      </c>
      <c r="I35" s="24">
        <f t="shared" si="36"/>
        <v>-75000</v>
      </c>
      <c r="J35" s="24">
        <f t="shared" si="36"/>
        <v>-75000</v>
      </c>
      <c r="K35" s="24">
        <f t="shared" si="36"/>
        <v>-75000</v>
      </c>
      <c r="L35" s="24">
        <f t="shared" si="36"/>
        <v>-75000</v>
      </c>
      <c r="M35" s="24">
        <f t="shared" si="36"/>
        <v>-75000</v>
      </c>
      <c r="N35" s="24">
        <f t="shared" si="36"/>
        <v>-75000</v>
      </c>
      <c r="O35" s="24">
        <f t="shared" si="36"/>
        <v>-75000</v>
      </c>
      <c r="P35" s="24">
        <f t="shared" si="36"/>
        <v>-125000</v>
      </c>
      <c r="Q35" s="24">
        <f t="shared" si="36"/>
        <v>-125000</v>
      </c>
      <c r="R35" s="24">
        <f t="shared" si="36"/>
        <v>-125000</v>
      </c>
      <c r="S35" s="24">
        <f t="shared" si="36"/>
        <v>-125000</v>
      </c>
      <c r="T35" s="24">
        <f t="shared" si="36"/>
        <v>-125000</v>
      </c>
      <c r="U35" s="24">
        <f t="shared" si="36"/>
        <v>-125000</v>
      </c>
      <c r="V35" s="24">
        <f t="shared" si="36"/>
        <v>-125000</v>
      </c>
      <c r="W35" s="24">
        <f t="shared" si="36"/>
        <v>-125000</v>
      </c>
      <c r="X35" s="24">
        <f t="shared" si="36"/>
        <v>-125000</v>
      </c>
      <c r="Y35" s="24">
        <f t="shared" si="36"/>
        <v>-125000</v>
      </c>
      <c r="Z35" s="24">
        <f t="shared" si="36"/>
        <v>-125000</v>
      </c>
      <c r="AA35" s="24">
        <f t="shared" si="36"/>
        <v>-125000</v>
      </c>
      <c r="AB35" s="24">
        <f t="shared" si="36"/>
        <v>-80000</v>
      </c>
      <c r="AC35" s="24">
        <f t="shared" si="36"/>
        <v>-80000</v>
      </c>
      <c r="AD35" s="24">
        <f t="shared" si="36"/>
        <v>-80000</v>
      </c>
      <c r="AE35" s="24">
        <f t="shared" si="36"/>
        <v>-80000</v>
      </c>
      <c r="AF35" s="24">
        <f t="shared" si="36"/>
        <v>-80000</v>
      </c>
      <c r="AG35" s="24">
        <f t="shared" si="36"/>
        <v>-80000</v>
      </c>
      <c r="AH35" s="24">
        <f t="shared" si="36"/>
        <v>-80000</v>
      </c>
      <c r="AI35" s="24">
        <f t="shared" si="36"/>
        <v>-80000</v>
      </c>
      <c r="AJ35" s="24">
        <f t="shared" si="36"/>
        <v>-80000</v>
      </c>
      <c r="AK35" s="24">
        <f t="shared" si="36"/>
        <v>-80000</v>
      </c>
      <c r="AL35" s="24">
        <f t="shared" si="36"/>
        <v>-80000</v>
      </c>
      <c r="AM35" s="24">
        <f t="shared" si="36"/>
        <v>-80000</v>
      </c>
      <c r="AN35" s="24">
        <f t="shared" si="36"/>
        <v>-80000</v>
      </c>
      <c r="AO35" s="24">
        <f t="shared" si="36"/>
        <v>-80000</v>
      </c>
      <c r="AP35" s="24">
        <f t="shared" si="36"/>
        <v>-80000</v>
      </c>
      <c r="AQ35" s="24">
        <f t="shared" si="36"/>
        <v>-80000</v>
      </c>
      <c r="AR35" s="24">
        <f t="shared" si="36"/>
        <v>-80000</v>
      </c>
      <c r="AS35" s="24">
        <f t="shared" si="36"/>
        <v>-80000</v>
      </c>
      <c r="AT35" s="24">
        <f t="shared" si="36"/>
        <v>-80000</v>
      </c>
      <c r="AU35" s="24">
        <f t="shared" si="36"/>
        <v>-80000</v>
      </c>
      <c r="AV35" s="24">
        <f t="shared" si="36"/>
        <v>-80000</v>
      </c>
      <c r="AW35" s="24">
        <f t="shared" si="36"/>
        <v>-80000</v>
      </c>
      <c r="AX35" s="24">
        <f t="shared" si="36"/>
        <v>-80000</v>
      </c>
      <c r="AY35" s="24">
        <f t="shared" si="36"/>
        <v>-80000</v>
      </c>
      <c r="AZ35" s="24">
        <f t="shared" si="36"/>
        <v>-80000</v>
      </c>
      <c r="BA35" s="24">
        <f t="shared" si="36"/>
        <v>-80000</v>
      </c>
      <c r="BB35" s="24">
        <f t="shared" si="36"/>
        <v>-80000</v>
      </c>
      <c r="BC35" s="24">
        <f t="shared" si="36"/>
        <v>-80000</v>
      </c>
      <c r="BD35" s="24">
        <f t="shared" si="36"/>
        <v>-80000</v>
      </c>
      <c r="BE35" s="24">
        <f t="shared" si="36"/>
        <v>-80000</v>
      </c>
      <c r="BF35" s="24">
        <f t="shared" si="36"/>
        <v>-80000</v>
      </c>
      <c r="BG35" s="24">
        <f t="shared" si="36"/>
        <v>-80000</v>
      </c>
      <c r="BH35" s="24">
        <f t="shared" si="36"/>
        <v>-80000</v>
      </c>
      <c r="BI35" s="24">
        <f t="shared" si="36"/>
        <v>-80000</v>
      </c>
      <c r="BJ35" s="24">
        <f t="shared" si="36"/>
        <v>-80000</v>
      </c>
      <c r="BK35" s="24">
        <f t="shared" si="36"/>
        <v>-80000</v>
      </c>
      <c r="BL35" s="24">
        <f t="shared" si="36"/>
        <v>-80000</v>
      </c>
      <c r="BM35" s="24">
        <f t="shared" si="36"/>
        <v>-80000</v>
      </c>
      <c r="BN35" s="24">
        <f t="shared" si="36"/>
        <v>-80000</v>
      </c>
      <c r="BO35" s="24">
        <f t="shared" si="36"/>
        <v>-80000</v>
      </c>
      <c r="BP35" s="24">
        <f t="shared" si="36"/>
        <v>-80000</v>
      </c>
      <c r="BQ35" s="24">
        <f t="shared" ref="BQ35:BW35" si="37">+BQ9</f>
        <v>-80000</v>
      </c>
      <c r="BR35" s="24">
        <f t="shared" si="37"/>
        <v>-80000</v>
      </c>
      <c r="BS35" s="24">
        <f t="shared" si="37"/>
        <v>-80000</v>
      </c>
      <c r="BT35" s="24">
        <f t="shared" si="37"/>
        <v>-80000</v>
      </c>
      <c r="BU35" s="24">
        <f t="shared" si="37"/>
        <v>-80000</v>
      </c>
      <c r="BV35" s="24">
        <f t="shared" si="37"/>
        <v>-80000</v>
      </c>
      <c r="BW35" s="24">
        <f t="shared" si="37"/>
        <v>-80000</v>
      </c>
    </row>
    <row r="36" spans="3:75" x14ac:dyDescent="0.2">
      <c r="C36" t="s">
        <v>35</v>
      </c>
      <c r="D36" s="24">
        <f>+IF(ROUND(('1. Calculator'!$C$27-'1. Calculator'!$C$4)/30+1,0)=CalcSheet!D4,'1. Calculator'!$C$28,0)+IF(ROUND(('1. Calculator'!$C$41-'1. Calculator'!$C$4)/30+1,0)=CalcSheet!D4,'1. Calculator'!$C$42,0)+IF(ROUND(('1. Calculator'!$C$51-'1. Calculator'!$C$4)/30+1,0)=CalcSheet!D4,'1. Calculator'!$C$52,0)</f>
        <v>0</v>
      </c>
      <c r="E36" s="24">
        <f>+IF(ROUND(('1. Calculator'!$C$27-'1. Calculator'!$C$4)/30+1,0)=CalcSheet!E4,'1. Calculator'!$C$28,0)+IF(ROUND(('1. Calculator'!$C$41-'1. Calculator'!$C$4)/30+1,0)=CalcSheet!E4,'1. Calculator'!$C$42,0)+IF(ROUND(('1. Calculator'!$C$51-'1. Calculator'!$C$4)/30+1,0)=CalcSheet!E4,'1. Calculator'!$C$52,0)</f>
        <v>0</v>
      </c>
      <c r="F36" s="24">
        <f>+IF(ROUND(('1. Calculator'!$C$27-'1. Calculator'!$C$4)/30+1,0)=CalcSheet!F4,'1. Calculator'!$C$28,0)+IF(ROUND(('1. Calculator'!$C$41-'1. Calculator'!$C$4)/30+1,0)=CalcSheet!F4,'1. Calculator'!$C$42,0)+IF(ROUND(('1. Calculator'!$C$51-'1. Calculator'!$C$4)/30+1,0)=CalcSheet!F4,'1. Calculator'!$C$52,0)</f>
        <v>0</v>
      </c>
      <c r="G36" s="24">
        <f>+IF(ROUND(('1. Calculator'!$C$27-'1. Calculator'!$C$4)/30+1,0)=CalcSheet!G4,'1. Calculator'!$C$28,0)+IF(ROUND(('1. Calculator'!$C$41-'1. Calculator'!$C$4)/30+1,0)=CalcSheet!G4,'1. Calculator'!$C$42,0)+IF(ROUND(('1. Calculator'!$C$51-'1. Calculator'!$C$4)/30+1,0)=CalcSheet!G4,'1. Calculator'!$C$52,0)</f>
        <v>0</v>
      </c>
      <c r="H36" s="24">
        <f>+IF(ROUND(('1. Calculator'!$C$27-'1. Calculator'!$C$4)/30+1,0)=CalcSheet!H4,'1. Calculator'!$C$28,0)+IF(ROUND(('1. Calculator'!$C$41-'1. Calculator'!$C$4)/30+1,0)=CalcSheet!H4,'1. Calculator'!$C$42,0)+IF(ROUND(('1. Calculator'!$C$51-'1. Calculator'!$C$4)/30+1,0)=CalcSheet!H4,'1. Calculator'!$C$52,0)</f>
        <v>0</v>
      </c>
      <c r="I36" s="24">
        <f>+IF(ROUND(('1. Calculator'!$C$27-'1. Calculator'!$C$4)/30+1,0)=CalcSheet!I4,'1. Calculator'!$C$28,0)+IF(ROUND(('1. Calculator'!$C$41-'1. Calculator'!$C$4)/30+1,0)=CalcSheet!I4,'1. Calculator'!$C$42,0)+IF(ROUND(('1. Calculator'!$C$51-'1. Calculator'!$C$4)/30+1,0)=CalcSheet!I4,'1. Calculator'!$C$52,0)</f>
        <v>0</v>
      </c>
      <c r="J36" s="24">
        <f>+IF(ROUND(('1. Calculator'!$C$27-'1. Calculator'!$C$4)/30+1,0)=CalcSheet!J4,'1. Calculator'!$C$28,0)+IF(ROUND(('1. Calculator'!$C$41-'1. Calculator'!$C$4)/30+1,0)=CalcSheet!J4,'1. Calculator'!$C$42,0)+IF(ROUND(('1. Calculator'!$C$51-'1. Calculator'!$C$4)/30+1,0)=CalcSheet!J4,'1. Calculator'!$C$52,0)</f>
        <v>0</v>
      </c>
      <c r="K36" s="24">
        <f>+IF(ROUND(('1. Calculator'!$C$27-'1. Calculator'!$C$4)/30+1,0)=CalcSheet!K4,'1. Calculator'!$C$28,0)+IF(ROUND(('1. Calculator'!$C$41-'1. Calculator'!$C$4)/30+1,0)=CalcSheet!K4,'1. Calculator'!$C$42,0)+IF(ROUND(('1. Calculator'!$C$51-'1. Calculator'!$C$4)/30+1,0)=CalcSheet!K4,'1. Calculator'!$C$52,0)</f>
        <v>2000000</v>
      </c>
      <c r="L36" s="24">
        <f>+IF(ROUND(('1. Calculator'!$C$27-'1. Calculator'!$C$4)/30+1,0)=CalcSheet!L4,'1. Calculator'!$C$28,0)+IF(ROUND(('1. Calculator'!$C$41-'1. Calculator'!$C$4)/30+1,0)=CalcSheet!L4,'1. Calculator'!$C$42,0)+IF(ROUND(('1. Calculator'!$C$51-'1. Calculator'!$C$4)/30+1,0)=CalcSheet!L4,'1. Calculator'!$C$52,0)</f>
        <v>0</v>
      </c>
      <c r="M36" s="24">
        <f>+IF(ROUND(('1. Calculator'!$C$27-'1. Calculator'!$C$4)/30+1,0)=CalcSheet!M4,'1. Calculator'!$C$28,0)+IF(ROUND(('1. Calculator'!$C$41-'1. Calculator'!$C$4)/30+1,0)=CalcSheet!M4,'1. Calculator'!$C$42,0)+IF(ROUND(('1. Calculator'!$C$51-'1. Calculator'!$C$4)/30+1,0)=CalcSheet!M4,'1. Calculator'!$C$52,0)</f>
        <v>0</v>
      </c>
      <c r="N36" s="24">
        <f>+IF(ROUND(('1. Calculator'!$C$27-'1. Calculator'!$C$4)/30+1,0)=CalcSheet!N4,'1. Calculator'!$C$28,0)+IF(ROUND(('1. Calculator'!$C$41-'1. Calculator'!$C$4)/30+1,0)=CalcSheet!N4,'1. Calculator'!$C$42,0)+IF(ROUND(('1. Calculator'!$C$51-'1. Calculator'!$C$4)/30+1,0)=CalcSheet!N4,'1. Calculator'!$C$52,0)</f>
        <v>0</v>
      </c>
      <c r="O36" s="24">
        <f>+IF(ROUND(('1. Calculator'!$C$27-'1. Calculator'!$C$4)/30+1,0)=CalcSheet!O4,'1. Calculator'!$C$28,0)+IF(ROUND(('1. Calculator'!$C$41-'1. Calculator'!$C$4)/30+1,0)=CalcSheet!O4,'1. Calculator'!$C$42,0)+IF(ROUND(('1. Calculator'!$C$51-'1. Calculator'!$C$4)/30+1,0)=CalcSheet!O4,'1. Calculator'!$C$52,0)</f>
        <v>0</v>
      </c>
      <c r="P36" s="24">
        <f>+IF(ROUND(('1. Calculator'!$C$27-'1. Calculator'!$C$4)/30+1,0)=CalcSheet!P4,'1. Calculator'!$C$28,0)+IF(ROUND(('1. Calculator'!$C$41-'1. Calculator'!$C$4)/30+1,0)=CalcSheet!P4,'1. Calculator'!$C$42,0)+IF(ROUND(('1. Calculator'!$C$51-'1. Calculator'!$C$4)/30+1,0)=CalcSheet!P4,'1. Calculator'!$C$52,0)</f>
        <v>0</v>
      </c>
      <c r="Q36" s="24">
        <f>+IF(ROUND(('1. Calculator'!$C$27-'1. Calculator'!$C$4)/30+1,0)=CalcSheet!Q4,'1. Calculator'!$C$28,0)+IF(ROUND(('1. Calculator'!$C$41-'1. Calculator'!$C$4)/30+1,0)=CalcSheet!Q4,'1. Calculator'!$C$42,0)+IF(ROUND(('1. Calculator'!$C$51-'1. Calculator'!$C$4)/30+1,0)=CalcSheet!Q4,'1. Calculator'!$C$52,0)</f>
        <v>0</v>
      </c>
      <c r="R36" s="24">
        <f>+IF(ROUND(('1. Calculator'!$C$27-'1. Calculator'!$C$4)/30+1,0)=CalcSheet!R4,'1. Calculator'!$C$28,0)+IF(ROUND(('1. Calculator'!$C$41-'1. Calculator'!$C$4)/30+1,0)=CalcSheet!R4,'1. Calculator'!$C$42,0)+IF(ROUND(('1. Calculator'!$C$51-'1. Calculator'!$C$4)/30+1,0)=CalcSheet!R4,'1. Calculator'!$C$52,0)</f>
        <v>0</v>
      </c>
      <c r="S36" s="24">
        <f>+IF(ROUND(('1. Calculator'!$C$27-'1. Calculator'!$C$4)/30+1,0)=CalcSheet!S4,'1. Calculator'!$C$28,0)+IF(ROUND(('1. Calculator'!$C$41-'1. Calculator'!$C$4)/30+1,0)=CalcSheet!S4,'1. Calculator'!$C$42,0)+IF(ROUND(('1. Calculator'!$C$51-'1. Calculator'!$C$4)/30+1,0)=CalcSheet!S4,'1. Calculator'!$C$52,0)</f>
        <v>0</v>
      </c>
      <c r="T36" s="24">
        <f>+IF(ROUND(('1. Calculator'!$C$27-'1. Calculator'!$C$4)/30+1,0)=CalcSheet!T4,'1. Calculator'!$C$28,0)+IF(ROUND(('1. Calculator'!$C$41-'1. Calculator'!$C$4)/30+1,0)=CalcSheet!T4,'1. Calculator'!$C$42,0)+IF(ROUND(('1. Calculator'!$C$51-'1. Calculator'!$C$4)/30+1,0)=CalcSheet!T4,'1. Calculator'!$C$52,0)</f>
        <v>0</v>
      </c>
      <c r="U36" s="24">
        <f>+IF(ROUND(('1. Calculator'!$C$27-'1. Calculator'!$C$4)/30+1,0)=CalcSheet!U4,'1. Calculator'!$C$28,0)+IF(ROUND(('1. Calculator'!$C$41-'1. Calculator'!$C$4)/30+1,0)=CalcSheet!U4,'1. Calculator'!$C$42,0)+IF(ROUND(('1. Calculator'!$C$51-'1. Calculator'!$C$4)/30+1,0)=CalcSheet!U4,'1. Calculator'!$C$52,0)</f>
        <v>0</v>
      </c>
      <c r="V36" s="24">
        <f>+IF(ROUND(('1. Calculator'!$C$27-'1. Calculator'!$C$4)/30+1,0)=CalcSheet!V4,'1. Calculator'!$C$28,0)+IF(ROUND(('1. Calculator'!$C$41-'1. Calculator'!$C$4)/30+1,0)=CalcSheet!V4,'1. Calculator'!$C$42,0)+IF(ROUND(('1. Calculator'!$C$51-'1. Calculator'!$C$4)/30+1,0)=CalcSheet!V4,'1. Calculator'!$C$52,0)</f>
        <v>0</v>
      </c>
      <c r="W36" s="24">
        <f>+IF(ROUND(('1. Calculator'!$C$27-'1. Calculator'!$C$4)/30+1,0)=CalcSheet!W4,'1. Calculator'!$C$28,0)+IF(ROUND(('1. Calculator'!$C$41-'1. Calculator'!$C$4)/30+1,0)=CalcSheet!W4,'1. Calculator'!$C$42,0)+IF(ROUND(('1. Calculator'!$C$51-'1. Calculator'!$C$4)/30+1,0)=CalcSheet!W4,'1. Calculator'!$C$52,0)</f>
        <v>0</v>
      </c>
      <c r="X36" s="24">
        <f>+IF(ROUND(('1. Calculator'!$C$27-'1. Calculator'!$C$4)/30+1,0)=CalcSheet!X4,'1. Calculator'!$C$28,0)+IF(ROUND(('1. Calculator'!$C$41-'1. Calculator'!$C$4)/30+1,0)=CalcSheet!X4,'1. Calculator'!$C$42,0)+IF(ROUND(('1. Calculator'!$C$51-'1. Calculator'!$C$4)/30+1,0)=CalcSheet!X4,'1. Calculator'!$C$52,0)</f>
        <v>0</v>
      </c>
      <c r="Y36" s="24">
        <f>+IF(ROUND(('1. Calculator'!$C$27-'1. Calculator'!$C$4)/30+1,0)=CalcSheet!Y4,'1. Calculator'!$C$28,0)+IF(ROUND(('1. Calculator'!$C$41-'1. Calculator'!$C$4)/30+1,0)=CalcSheet!Y4,'1. Calculator'!$C$42,0)+IF(ROUND(('1. Calculator'!$C$51-'1. Calculator'!$C$4)/30+1,0)=CalcSheet!Y4,'1. Calculator'!$C$52,0)</f>
        <v>0</v>
      </c>
      <c r="Z36" s="24">
        <f>+IF(ROUND(('1. Calculator'!$C$27-'1. Calculator'!$C$4)/30+1,0)=CalcSheet!Z4,'1. Calculator'!$C$28,0)+IF(ROUND(('1. Calculator'!$C$41-'1. Calculator'!$C$4)/30+1,0)=CalcSheet!Z4,'1. Calculator'!$C$42,0)+IF(ROUND(('1. Calculator'!$C$51-'1. Calculator'!$C$4)/30+1,0)=CalcSheet!Z4,'1. Calculator'!$C$52,0)</f>
        <v>0</v>
      </c>
      <c r="AA36" s="24">
        <f>+IF(ROUND(('1. Calculator'!$C$27-'1. Calculator'!$C$4)/30+1,0)=CalcSheet!AA4,'1. Calculator'!$C$28,0)+IF(ROUND(('1. Calculator'!$C$41-'1. Calculator'!$C$4)/30+1,0)=CalcSheet!AA4,'1. Calculator'!$C$42,0)+IF(ROUND(('1. Calculator'!$C$51-'1. Calculator'!$C$4)/30+1,0)=CalcSheet!AA4,'1. Calculator'!$C$52,0)</f>
        <v>0</v>
      </c>
      <c r="AB36" s="24">
        <f>+IF(ROUND(('1. Calculator'!$C$27-'1. Calculator'!$C$4)/30+1,0)=CalcSheet!AB4,'1. Calculator'!$C$28,0)+IF(ROUND(('1. Calculator'!$C$41-'1. Calculator'!$C$4)/30+1,0)=CalcSheet!AB4,'1. Calculator'!$C$42,0)+IF(ROUND(('1. Calculator'!$C$51-'1. Calculator'!$C$4)/30+1,0)=CalcSheet!AB4,'1. Calculator'!$C$52,0)</f>
        <v>0</v>
      </c>
      <c r="AC36" s="24">
        <f>+IF(ROUND(('1. Calculator'!$C$27-'1. Calculator'!$C$4)/30+1,0)=CalcSheet!AC4,'1. Calculator'!$C$28,0)+IF(ROUND(('1. Calculator'!$C$41-'1. Calculator'!$C$4)/30+1,0)=CalcSheet!AC4,'1. Calculator'!$C$42,0)+IF(ROUND(('1. Calculator'!$C$51-'1. Calculator'!$C$4)/30+1,0)=CalcSheet!AC4,'1. Calculator'!$C$52,0)</f>
        <v>0</v>
      </c>
      <c r="AD36" s="24">
        <f>+IF(ROUND(('1. Calculator'!$C$27-'1. Calculator'!$C$4)/30+1,0)=CalcSheet!AD4,'1. Calculator'!$C$28,0)+IF(ROUND(('1. Calculator'!$C$41-'1. Calculator'!$C$4)/30+1,0)=CalcSheet!AD4,'1. Calculator'!$C$42,0)+IF(ROUND(('1. Calculator'!$C$51-'1. Calculator'!$C$4)/30+1,0)=CalcSheet!AD4,'1. Calculator'!$C$52,0)</f>
        <v>0</v>
      </c>
      <c r="AE36" s="24">
        <f>+IF(ROUND(('1. Calculator'!$C$27-'1. Calculator'!$C$4)/30+1,0)=CalcSheet!AE4,'1. Calculator'!$C$28,0)+IF(ROUND(('1. Calculator'!$C$41-'1. Calculator'!$C$4)/30+1,0)=CalcSheet!AE4,'1. Calculator'!$C$42,0)+IF(ROUND(('1. Calculator'!$C$51-'1. Calculator'!$C$4)/30+1,0)=CalcSheet!AE4,'1. Calculator'!$C$52,0)</f>
        <v>0</v>
      </c>
      <c r="AF36" s="24">
        <f>+IF(ROUND(('1. Calculator'!$C$27-'1. Calculator'!$C$4)/30+1,0)=CalcSheet!AF4,'1. Calculator'!$C$28,0)+IF(ROUND(('1. Calculator'!$C$41-'1. Calculator'!$C$4)/30+1,0)=CalcSheet!AF4,'1. Calculator'!$C$42,0)+IF(ROUND(('1. Calculator'!$C$51-'1. Calculator'!$C$4)/30+1,0)=CalcSheet!AF4,'1. Calculator'!$C$52,0)</f>
        <v>0</v>
      </c>
      <c r="AG36" s="24">
        <f>+IF(ROUND(('1. Calculator'!$C$27-'1. Calculator'!$C$4)/30+1,0)=CalcSheet!AG4,'1. Calculator'!$C$28,0)+IF(ROUND(('1. Calculator'!$C$41-'1. Calculator'!$C$4)/30+1,0)=CalcSheet!AG4,'1. Calculator'!$C$42,0)+IF(ROUND(('1. Calculator'!$C$51-'1. Calculator'!$C$4)/30+1,0)=CalcSheet!AG4,'1. Calculator'!$C$52,0)</f>
        <v>0</v>
      </c>
      <c r="AH36" s="24">
        <f>+IF(ROUND(('1. Calculator'!$C$27-'1. Calculator'!$C$4)/30+1,0)=CalcSheet!AH4,'1. Calculator'!$C$28,0)+IF(ROUND(('1. Calculator'!$C$41-'1. Calculator'!$C$4)/30+1,0)=CalcSheet!AH4,'1. Calculator'!$C$42,0)+IF(ROUND(('1. Calculator'!$C$51-'1. Calculator'!$C$4)/30+1,0)=CalcSheet!AH4,'1. Calculator'!$C$52,0)</f>
        <v>0</v>
      </c>
      <c r="AI36" s="24">
        <f>+IF(ROUND(('1. Calculator'!$C$27-'1. Calculator'!$C$4)/30+1,0)=CalcSheet!AI4,'1. Calculator'!$C$28,0)+IF(ROUND(('1. Calculator'!$C$41-'1. Calculator'!$C$4)/30+1,0)=CalcSheet!AI4,'1. Calculator'!$C$42,0)+IF(ROUND(('1. Calculator'!$C$51-'1. Calculator'!$C$4)/30+1,0)=CalcSheet!AI4,'1. Calculator'!$C$52,0)</f>
        <v>0</v>
      </c>
      <c r="AJ36" s="24">
        <f>+IF(ROUND(('1. Calculator'!$C$27-'1. Calculator'!$C$4)/30+1,0)=CalcSheet!AJ4,'1. Calculator'!$C$28,0)+IF(ROUND(('1. Calculator'!$C$41-'1. Calculator'!$C$4)/30+1,0)=CalcSheet!AJ4,'1. Calculator'!$C$42,0)+IF(ROUND(('1. Calculator'!$C$51-'1. Calculator'!$C$4)/30+1,0)=CalcSheet!AJ4,'1. Calculator'!$C$52,0)</f>
        <v>0</v>
      </c>
      <c r="AK36" s="24">
        <f>+IF(ROUND(('1. Calculator'!$C$27-'1. Calculator'!$C$4)/30+1,0)=CalcSheet!AK4,'1. Calculator'!$C$28,0)+IF(ROUND(('1. Calculator'!$C$41-'1. Calculator'!$C$4)/30+1,0)=CalcSheet!AK4,'1. Calculator'!$C$42,0)+IF(ROUND(('1. Calculator'!$C$51-'1. Calculator'!$C$4)/30+1,0)=CalcSheet!AK4,'1. Calculator'!$C$52,0)</f>
        <v>0</v>
      </c>
      <c r="AL36" s="24">
        <f>+IF(ROUND(('1. Calculator'!$C$27-'1. Calculator'!$C$4)/30+1,0)=CalcSheet!AL4,'1. Calculator'!$C$28,0)+IF(ROUND(('1. Calculator'!$C$41-'1. Calculator'!$C$4)/30+1,0)=CalcSheet!AL4,'1. Calculator'!$C$42,0)+IF(ROUND(('1. Calculator'!$C$51-'1. Calculator'!$C$4)/30+1,0)=CalcSheet!AL4,'1. Calculator'!$C$52,0)</f>
        <v>0</v>
      </c>
      <c r="AM36" s="24">
        <f>+IF(ROUND(('1. Calculator'!$C$27-'1. Calculator'!$C$4)/30+1,0)=CalcSheet!AM4,'1. Calculator'!$C$28,0)+IF(ROUND(('1. Calculator'!$C$41-'1. Calculator'!$C$4)/30+1,0)=CalcSheet!AM4,'1. Calculator'!$C$42,0)+IF(ROUND(('1. Calculator'!$C$51-'1. Calculator'!$C$4)/30+1,0)=CalcSheet!AM4,'1. Calculator'!$C$52,0)</f>
        <v>0</v>
      </c>
      <c r="AN36" s="24">
        <f>+IF(ROUND(('1. Calculator'!$C$27-'1. Calculator'!$C$4)/30+1,0)=CalcSheet!AN4,'1. Calculator'!$C$28,0)+IF(ROUND(('1. Calculator'!$C$41-'1. Calculator'!$C$4)/30+1,0)=CalcSheet!AN4,'1. Calculator'!$C$42,0)+IF(ROUND(('1. Calculator'!$C$51-'1. Calculator'!$C$4)/30+1,0)=CalcSheet!AN4,'1. Calculator'!$C$52,0)</f>
        <v>0</v>
      </c>
      <c r="AO36" s="24">
        <f>+IF(ROUND(('1. Calculator'!$C$27-'1. Calculator'!$C$4)/30+1,0)=CalcSheet!AO4,'1. Calculator'!$C$28,0)+IF(ROUND(('1. Calculator'!$C$41-'1. Calculator'!$C$4)/30+1,0)=CalcSheet!AO4,'1. Calculator'!$C$42,0)+IF(ROUND(('1. Calculator'!$C$51-'1. Calculator'!$C$4)/30+1,0)=CalcSheet!AO4,'1. Calculator'!$C$52,0)</f>
        <v>0</v>
      </c>
      <c r="AP36" s="24">
        <f>+IF(ROUND(('1. Calculator'!$C$27-'1. Calculator'!$C$4)/30+1,0)=CalcSheet!AP4,'1. Calculator'!$C$28,0)+IF(ROUND(('1. Calculator'!$C$41-'1. Calculator'!$C$4)/30+1,0)=CalcSheet!AP4,'1. Calculator'!$C$42,0)+IF(ROUND(('1. Calculator'!$C$51-'1. Calculator'!$C$4)/30+1,0)=CalcSheet!AP4,'1. Calculator'!$C$52,0)</f>
        <v>0</v>
      </c>
      <c r="AQ36" s="24">
        <f>+IF(ROUND(('1. Calculator'!$C$27-'1. Calculator'!$C$4)/30+1,0)=CalcSheet!AQ4,'1. Calculator'!$C$28,0)+IF(ROUND(('1. Calculator'!$C$41-'1. Calculator'!$C$4)/30+1,0)=CalcSheet!AQ4,'1. Calculator'!$C$42,0)+IF(ROUND(('1. Calculator'!$C$51-'1. Calculator'!$C$4)/30+1,0)=CalcSheet!AQ4,'1. Calculator'!$C$52,0)</f>
        <v>0</v>
      </c>
      <c r="AR36" s="24">
        <f>+IF(ROUND(('1. Calculator'!$C$27-'1. Calculator'!$C$4)/30+1,0)=CalcSheet!AR4,'1. Calculator'!$C$28,0)+IF(ROUND(('1. Calculator'!$C$41-'1. Calculator'!$C$4)/30+1,0)=CalcSheet!AR4,'1. Calculator'!$C$42,0)+IF(ROUND(('1. Calculator'!$C$51-'1. Calculator'!$C$4)/30+1,0)=CalcSheet!AR4,'1. Calculator'!$C$52,0)</f>
        <v>0</v>
      </c>
      <c r="AS36" s="24">
        <f>+IF(ROUND(('1. Calculator'!$C$27-'1. Calculator'!$C$4)/30+1,0)=CalcSheet!AS4,'1. Calculator'!$C$28,0)+IF(ROUND(('1. Calculator'!$C$41-'1. Calculator'!$C$4)/30+1,0)=CalcSheet!AS4,'1. Calculator'!$C$42,0)+IF(ROUND(('1. Calculator'!$C$51-'1. Calculator'!$C$4)/30+1,0)=CalcSheet!AS4,'1. Calculator'!$C$52,0)</f>
        <v>0</v>
      </c>
      <c r="AT36" s="24">
        <f>+IF(ROUND(('1. Calculator'!$C$27-'1. Calculator'!$C$4)/30+1,0)=CalcSheet!AT4,'1. Calculator'!$C$28,0)+IF(ROUND(('1. Calculator'!$C$41-'1. Calculator'!$C$4)/30+1,0)=CalcSheet!AT4,'1. Calculator'!$C$42,0)+IF(ROUND(('1. Calculator'!$C$51-'1. Calculator'!$C$4)/30+1,0)=CalcSheet!AT4,'1. Calculator'!$C$52,0)</f>
        <v>0</v>
      </c>
      <c r="AU36" s="24">
        <f>+IF(ROUND(('1. Calculator'!$C$27-'1. Calculator'!$C$4)/30+1,0)=CalcSheet!AU4,'1. Calculator'!$C$28,0)+IF(ROUND(('1. Calculator'!$C$41-'1. Calculator'!$C$4)/30+1,0)=CalcSheet!AU4,'1. Calculator'!$C$42,0)+IF(ROUND(('1. Calculator'!$C$51-'1. Calculator'!$C$4)/30+1,0)=CalcSheet!AU4,'1. Calculator'!$C$52,0)</f>
        <v>0</v>
      </c>
      <c r="AV36" s="24">
        <f>+IF(ROUND(('1. Calculator'!$C$27-'1. Calculator'!$C$4)/30+1,0)=CalcSheet!AV4,'1. Calculator'!$C$28,0)+IF(ROUND(('1. Calculator'!$C$41-'1. Calculator'!$C$4)/30+1,0)=CalcSheet!AV4,'1. Calculator'!$C$42,0)+IF(ROUND(('1. Calculator'!$C$51-'1. Calculator'!$C$4)/30+1,0)=CalcSheet!AV4,'1. Calculator'!$C$52,0)</f>
        <v>0</v>
      </c>
      <c r="AW36" s="24">
        <f>+IF(ROUND(('1. Calculator'!$C$27-'1. Calculator'!$C$4)/30+1,0)=CalcSheet!AW4,'1. Calculator'!$C$28,0)+IF(ROUND(('1. Calculator'!$C$41-'1. Calculator'!$C$4)/30+1,0)=CalcSheet!AW4,'1. Calculator'!$C$42,0)+IF(ROUND(('1. Calculator'!$C$51-'1. Calculator'!$C$4)/30+1,0)=CalcSheet!AW4,'1. Calculator'!$C$52,0)</f>
        <v>0</v>
      </c>
      <c r="AX36" s="24">
        <f>+IF(ROUND(('1. Calculator'!$C$27-'1. Calculator'!$C$4)/30+1,0)=CalcSheet!AX4,'1. Calculator'!$C$28,0)+IF(ROUND(('1. Calculator'!$C$41-'1. Calculator'!$C$4)/30+1,0)=CalcSheet!AX4,'1. Calculator'!$C$42,0)+IF(ROUND(('1. Calculator'!$C$51-'1. Calculator'!$C$4)/30+1,0)=CalcSheet!AX4,'1. Calculator'!$C$52,0)</f>
        <v>0</v>
      </c>
      <c r="AY36" s="24">
        <f>+IF(ROUND(('1. Calculator'!$C$27-'1. Calculator'!$C$4)/30+1,0)=CalcSheet!AY4,'1. Calculator'!$C$28,0)+IF(ROUND(('1. Calculator'!$C$41-'1. Calculator'!$C$4)/30+1,0)=CalcSheet!AY4,'1. Calculator'!$C$42,0)+IF(ROUND(('1. Calculator'!$C$51-'1. Calculator'!$C$4)/30+1,0)=CalcSheet!AY4,'1. Calculator'!$C$52,0)</f>
        <v>0</v>
      </c>
      <c r="AZ36" s="24">
        <f>+IF(ROUND(('1. Calculator'!$C$27-'1. Calculator'!$C$4)/30+1,0)=CalcSheet!AZ4,'1. Calculator'!$C$28,0)+IF(ROUND(('1. Calculator'!$C$41-'1. Calculator'!$C$4)/30+1,0)=CalcSheet!AZ4,'1. Calculator'!$C$42,0)+IF(ROUND(('1. Calculator'!$C$51-'1. Calculator'!$C$4)/30+1,0)=CalcSheet!AZ4,'1. Calculator'!$C$52,0)</f>
        <v>0</v>
      </c>
      <c r="BA36" s="24">
        <f>+IF(ROUND(('1. Calculator'!$C$27-'1. Calculator'!$C$4)/30+1,0)=CalcSheet!BA4,'1. Calculator'!$C$28,0)+IF(ROUND(('1. Calculator'!$C$41-'1. Calculator'!$C$4)/30+1,0)=CalcSheet!BA4,'1. Calculator'!$C$42,0)+IF(ROUND(('1. Calculator'!$C$51-'1. Calculator'!$C$4)/30+1,0)=CalcSheet!BA4,'1. Calculator'!$C$52,0)</f>
        <v>0</v>
      </c>
      <c r="BB36" s="24">
        <f>+IF(ROUND(('1. Calculator'!$C$27-'1. Calculator'!$C$4)/30+1,0)=CalcSheet!BB4,'1. Calculator'!$C$28,0)+IF(ROUND(('1. Calculator'!$C$41-'1. Calculator'!$C$4)/30+1,0)=CalcSheet!BB4,'1. Calculator'!$C$42,0)+IF(ROUND(('1. Calculator'!$C$51-'1. Calculator'!$C$4)/30+1,0)=CalcSheet!BB4,'1. Calculator'!$C$52,0)</f>
        <v>0</v>
      </c>
      <c r="BC36" s="24">
        <f>+IF(ROUND(('1. Calculator'!$C$27-'1. Calculator'!$C$4)/30+1,0)=CalcSheet!BC4,'1. Calculator'!$C$28,0)+IF(ROUND(('1. Calculator'!$C$41-'1. Calculator'!$C$4)/30+1,0)=CalcSheet!BC4,'1. Calculator'!$C$42,0)+IF(ROUND(('1. Calculator'!$C$51-'1. Calculator'!$C$4)/30+1,0)=CalcSheet!BC4,'1. Calculator'!$C$52,0)</f>
        <v>0</v>
      </c>
      <c r="BD36" s="24">
        <f>+IF(ROUND(('1. Calculator'!$C$27-'1. Calculator'!$C$4)/30+1,0)=CalcSheet!BD4,'1. Calculator'!$C$28,0)+IF(ROUND(('1. Calculator'!$C$41-'1. Calculator'!$C$4)/30+1,0)=CalcSheet!BD4,'1. Calculator'!$C$42,0)+IF(ROUND(('1. Calculator'!$C$51-'1. Calculator'!$C$4)/30+1,0)=CalcSheet!BD4,'1. Calculator'!$C$52,0)</f>
        <v>0</v>
      </c>
      <c r="BE36" s="24">
        <f>+IF(ROUND(('1. Calculator'!$C$27-'1. Calculator'!$C$4)/30+1,0)=CalcSheet!BE4,'1. Calculator'!$C$28,0)+IF(ROUND(('1. Calculator'!$C$41-'1. Calculator'!$C$4)/30+1,0)=CalcSheet!BE4,'1. Calculator'!$C$42,0)+IF(ROUND(('1. Calculator'!$C$51-'1. Calculator'!$C$4)/30+1,0)=CalcSheet!BE4,'1. Calculator'!$C$52,0)</f>
        <v>0</v>
      </c>
      <c r="BF36" s="24">
        <f>+IF(ROUND(('1. Calculator'!$C$27-'1. Calculator'!$C$4)/30+1,0)=CalcSheet!BF4,'1. Calculator'!$C$28,0)+IF(ROUND(('1. Calculator'!$C$41-'1. Calculator'!$C$4)/30+1,0)=CalcSheet!BF4,'1. Calculator'!$C$42,0)+IF(ROUND(('1. Calculator'!$C$51-'1. Calculator'!$C$4)/30+1,0)=CalcSheet!BF4,'1. Calculator'!$C$52,0)</f>
        <v>0</v>
      </c>
      <c r="BG36" s="24">
        <f>+IF(ROUND(('1. Calculator'!$C$27-'1. Calculator'!$C$4)/30+1,0)=CalcSheet!BG4,'1. Calculator'!$C$28,0)+IF(ROUND(('1. Calculator'!$C$41-'1. Calculator'!$C$4)/30+1,0)=CalcSheet!BG4,'1. Calculator'!$C$42,0)+IF(ROUND(('1. Calculator'!$C$51-'1. Calculator'!$C$4)/30+1,0)=CalcSheet!BG4,'1. Calculator'!$C$52,0)</f>
        <v>0</v>
      </c>
      <c r="BH36" s="24">
        <f>+IF(ROUND(('1. Calculator'!$C$27-'1. Calculator'!$C$4)/30+1,0)=CalcSheet!BH4,'1. Calculator'!$C$28,0)+IF(ROUND(('1. Calculator'!$C$41-'1. Calculator'!$C$4)/30+1,0)=CalcSheet!BH4,'1. Calculator'!$C$42,0)+IF(ROUND(('1. Calculator'!$C$51-'1. Calculator'!$C$4)/30+1,0)=CalcSheet!BH4,'1. Calculator'!$C$52,0)</f>
        <v>0</v>
      </c>
      <c r="BI36" s="24">
        <f>+IF(ROUND(('1. Calculator'!$C$27-'1. Calculator'!$C$4)/30+1,0)=CalcSheet!BI4,'1. Calculator'!$C$28,0)+IF(ROUND(('1. Calculator'!$C$41-'1. Calculator'!$C$4)/30+1,0)=CalcSheet!BI4,'1. Calculator'!$C$42,0)+IF(ROUND(('1. Calculator'!$C$51-'1. Calculator'!$C$4)/30+1,0)=CalcSheet!BI4,'1. Calculator'!$C$52,0)</f>
        <v>0</v>
      </c>
      <c r="BJ36" s="24">
        <f>+IF(ROUND(('1. Calculator'!$C$27-'1. Calculator'!$C$4)/30+1,0)=CalcSheet!BJ4,'1. Calculator'!$C$28,0)+IF(ROUND(('1. Calculator'!$C$41-'1. Calculator'!$C$4)/30+1,0)=CalcSheet!BJ4,'1. Calculator'!$C$42,0)+IF(ROUND(('1. Calculator'!$C$51-'1. Calculator'!$C$4)/30+1,0)=CalcSheet!BJ4,'1. Calculator'!$C$52,0)</f>
        <v>0</v>
      </c>
      <c r="BK36" s="24">
        <f>+IF(ROUND(('1. Calculator'!$C$27-'1. Calculator'!$C$4)/30+1,0)=CalcSheet!BK4,'1. Calculator'!$C$28,0)+IF(ROUND(('1. Calculator'!$C$41-'1. Calculator'!$C$4)/30+1,0)=CalcSheet!BK4,'1. Calculator'!$C$42,0)+IF(ROUND(('1. Calculator'!$C$51-'1. Calculator'!$C$4)/30+1,0)=CalcSheet!BK4,'1. Calculator'!$C$52,0)</f>
        <v>0</v>
      </c>
      <c r="BL36" s="24">
        <f>+IF(ROUND(('1. Calculator'!$C$27-'1. Calculator'!$C$4)/30+1,0)=CalcSheet!BL4,'1. Calculator'!$C$28,0)+IF(ROUND(('1. Calculator'!$C$41-'1. Calculator'!$C$4)/30+1,0)=CalcSheet!BL4,'1. Calculator'!$C$42,0)+IF(ROUND(('1. Calculator'!$C$51-'1. Calculator'!$C$4)/30+1,0)=CalcSheet!BL4,'1. Calculator'!$C$52,0)</f>
        <v>0</v>
      </c>
      <c r="BM36" s="24">
        <f>+IF(ROUND(('1. Calculator'!$C$27-'1. Calculator'!$C$4)/30+1,0)=CalcSheet!BM4,'1. Calculator'!$C$28,0)+IF(ROUND(('1. Calculator'!$C$41-'1. Calculator'!$C$4)/30+1,0)=CalcSheet!BM4,'1. Calculator'!$C$42,0)+IF(ROUND(('1. Calculator'!$C$51-'1. Calculator'!$C$4)/30+1,0)=CalcSheet!BM4,'1. Calculator'!$C$52,0)</f>
        <v>0</v>
      </c>
      <c r="BN36" s="24">
        <f>+IF(ROUND(('1. Calculator'!$C$27-'1. Calculator'!$C$4)/30+1,0)=CalcSheet!BN4,'1. Calculator'!$C$28,0)+IF(ROUND(('1. Calculator'!$C$41-'1. Calculator'!$C$4)/30+1,0)=CalcSheet!BN4,'1. Calculator'!$C$42,0)+IF(ROUND(('1. Calculator'!$C$51-'1. Calculator'!$C$4)/30+1,0)=CalcSheet!BN4,'1. Calculator'!$C$52,0)</f>
        <v>0</v>
      </c>
      <c r="BO36" s="24">
        <f>+IF(ROUND(('1. Calculator'!$C$27-'1. Calculator'!$C$4)/30+1,0)=CalcSheet!BO4,'1. Calculator'!$C$28,0)+IF(ROUND(('1. Calculator'!$C$41-'1. Calculator'!$C$4)/30+1,0)=CalcSheet!BO4,'1. Calculator'!$C$42,0)+IF(ROUND(('1. Calculator'!$C$51-'1. Calculator'!$C$4)/30+1,0)=CalcSheet!BO4,'1. Calculator'!$C$52,0)</f>
        <v>0</v>
      </c>
      <c r="BP36" s="24">
        <f>+IF(ROUND(('1. Calculator'!$C$27-'1. Calculator'!$C$4)/30+1,0)=CalcSheet!BP4,'1. Calculator'!$C$28,0)+IF(ROUND(('1. Calculator'!$C$41-'1. Calculator'!$C$4)/30+1,0)=CalcSheet!BP4,'1. Calculator'!$C$42,0)+IF(ROUND(('1. Calculator'!$C$51-'1. Calculator'!$C$4)/30+1,0)=CalcSheet!BP4,'1. Calculator'!$C$52,0)</f>
        <v>0</v>
      </c>
      <c r="BQ36" s="24">
        <f>+IF(ROUND(('1. Calculator'!$C$27-'1. Calculator'!$C$4)/30+1,0)=CalcSheet!BQ4,'1. Calculator'!$C$28,0)+IF(ROUND(('1. Calculator'!$C$41-'1. Calculator'!$C$4)/30+1,0)=CalcSheet!BQ4,'1. Calculator'!$C$42,0)+IF(ROUND(('1. Calculator'!$C$51-'1. Calculator'!$C$4)/30+1,0)=CalcSheet!BQ4,'1. Calculator'!$C$52,0)</f>
        <v>0</v>
      </c>
      <c r="BR36" s="24">
        <f>+IF(ROUND(('1. Calculator'!$C$27-'1. Calculator'!$C$4)/30+1,0)=CalcSheet!BR4,'1. Calculator'!$C$28,0)+IF(ROUND(('1. Calculator'!$C$41-'1. Calculator'!$C$4)/30+1,0)=CalcSheet!BR4,'1. Calculator'!$C$42,0)+IF(ROUND(('1. Calculator'!$C$51-'1. Calculator'!$C$4)/30+1,0)=CalcSheet!BR4,'1. Calculator'!$C$52,0)</f>
        <v>0</v>
      </c>
      <c r="BS36" s="24">
        <f>+IF(ROUND(('1. Calculator'!$C$27-'1. Calculator'!$C$4)/30+1,0)=CalcSheet!BS4,'1. Calculator'!$C$28,0)+IF(ROUND(('1. Calculator'!$C$41-'1. Calculator'!$C$4)/30+1,0)=CalcSheet!BS4,'1. Calculator'!$C$42,0)+IF(ROUND(('1. Calculator'!$C$51-'1. Calculator'!$C$4)/30+1,0)=CalcSheet!BS4,'1. Calculator'!$C$52,0)</f>
        <v>0</v>
      </c>
      <c r="BT36" s="24">
        <f>+IF(ROUND(('1. Calculator'!$C$27-'1. Calculator'!$C$4)/30+1,0)=CalcSheet!BT4,'1. Calculator'!$C$28,0)+IF(ROUND(('1. Calculator'!$C$41-'1. Calculator'!$C$4)/30+1,0)=CalcSheet!BT4,'1. Calculator'!$C$42,0)+IF(ROUND(('1. Calculator'!$C$51-'1. Calculator'!$C$4)/30+1,0)=CalcSheet!BT4,'1. Calculator'!$C$52,0)</f>
        <v>0</v>
      </c>
      <c r="BU36" s="24">
        <f>+IF(ROUND(('1. Calculator'!$C$27-'1. Calculator'!$C$4)/30+1,0)=CalcSheet!BU4,'1. Calculator'!$C$28,0)+IF(ROUND(('1. Calculator'!$C$41-'1. Calculator'!$C$4)/30+1,0)=CalcSheet!BU4,'1. Calculator'!$C$42,0)+IF(ROUND(('1. Calculator'!$C$51-'1. Calculator'!$C$4)/30+1,0)=CalcSheet!BU4,'1. Calculator'!$C$52,0)</f>
        <v>0</v>
      </c>
      <c r="BV36" s="24">
        <f>+IF(ROUND(('1. Calculator'!$C$27-'1. Calculator'!$C$4)/30+1,0)=CalcSheet!BV4,'1. Calculator'!$C$28,0)+IF(ROUND(('1. Calculator'!$C$41-'1. Calculator'!$C$4)/30+1,0)=CalcSheet!BV4,'1. Calculator'!$C$42,0)+IF(ROUND(('1. Calculator'!$C$51-'1. Calculator'!$C$4)/30+1,0)=CalcSheet!BV4,'1. Calculator'!$C$52,0)</f>
        <v>0</v>
      </c>
      <c r="BW36" s="24">
        <f>+IF(ROUND(('1. Calculator'!$C$27-'1. Calculator'!$C$4)/30+1,0)=CalcSheet!BW4,'1. Calculator'!$C$28,0)+IF(ROUND(('1. Calculator'!$C$41-'1. Calculator'!$C$4)/30+1,0)=CalcSheet!BW4,'1. Calculator'!$C$42,0)+IF(ROUND(('1. Calculator'!$C$51-'1. Calculator'!$C$4)/30+1,0)=CalcSheet!BW4,'1. Calculator'!$C$52,0)</f>
        <v>0</v>
      </c>
    </row>
    <row r="37" spans="3:75" x14ac:dyDescent="0.2">
      <c r="C37" t="s">
        <v>28</v>
      </c>
      <c r="D37" s="24">
        <f>+ROUND(D34+D35+D36,2)</f>
        <v>425000</v>
      </c>
      <c r="E37" s="24">
        <f t="shared" ref="E37:N37" si="38">+E34+E35+E36</f>
        <v>350000</v>
      </c>
      <c r="F37" s="24">
        <f t="shared" si="38"/>
        <v>275000</v>
      </c>
      <c r="G37" s="24">
        <f t="shared" si="38"/>
        <v>200000</v>
      </c>
      <c r="H37" s="24">
        <f t="shared" si="38"/>
        <v>125000</v>
      </c>
      <c r="I37" s="24">
        <f t="shared" si="38"/>
        <v>50000</v>
      </c>
      <c r="J37" s="24">
        <f t="shared" si="38"/>
        <v>-25000</v>
      </c>
      <c r="K37" s="24">
        <f t="shared" si="38"/>
        <v>1900000</v>
      </c>
      <c r="L37" s="24">
        <f t="shared" si="38"/>
        <v>1825000</v>
      </c>
      <c r="M37" s="24">
        <f t="shared" si="38"/>
        <v>1750000</v>
      </c>
      <c r="N37" s="24">
        <f t="shared" si="38"/>
        <v>1675000</v>
      </c>
      <c r="O37" s="24">
        <f>+ROUND(O34+O35+O36,2)</f>
        <v>1600000</v>
      </c>
      <c r="P37" s="24">
        <f t="shared" ref="P37:AU37" si="39">+P34+P35+P36</f>
        <v>1475000</v>
      </c>
      <c r="Q37" s="24">
        <f t="shared" si="39"/>
        <v>1350000</v>
      </c>
      <c r="R37" s="24">
        <f t="shared" si="39"/>
        <v>1225000</v>
      </c>
      <c r="S37" s="24">
        <f t="shared" si="39"/>
        <v>1100000</v>
      </c>
      <c r="T37" s="24">
        <f t="shared" si="39"/>
        <v>975000</v>
      </c>
      <c r="U37" s="24">
        <f t="shared" si="39"/>
        <v>850000</v>
      </c>
      <c r="V37" s="24">
        <f t="shared" si="39"/>
        <v>725000</v>
      </c>
      <c r="W37" s="24">
        <f t="shared" si="39"/>
        <v>600000</v>
      </c>
      <c r="X37" s="24">
        <f t="shared" si="39"/>
        <v>475000</v>
      </c>
      <c r="Y37" s="24">
        <f t="shared" si="39"/>
        <v>350000</v>
      </c>
      <c r="Z37" s="24">
        <f t="shared" si="39"/>
        <v>225000</v>
      </c>
      <c r="AA37" s="24">
        <f t="shared" si="39"/>
        <v>100000</v>
      </c>
      <c r="AB37" s="24">
        <f t="shared" si="39"/>
        <v>20000</v>
      </c>
      <c r="AC37" s="24">
        <f t="shared" si="39"/>
        <v>-60000</v>
      </c>
      <c r="AD37" s="24">
        <f t="shared" si="39"/>
        <v>-140000</v>
      </c>
      <c r="AE37" s="24">
        <f t="shared" si="39"/>
        <v>-220000</v>
      </c>
      <c r="AF37" s="24">
        <f t="shared" si="39"/>
        <v>-300000</v>
      </c>
      <c r="AG37" s="24">
        <f t="shared" si="39"/>
        <v>-380000</v>
      </c>
      <c r="AH37" s="24">
        <f t="shared" si="39"/>
        <v>-460000</v>
      </c>
      <c r="AI37" s="24">
        <f t="shared" si="39"/>
        <v>-540000</v>
      </c>
      <c r="AJ37" s="24">
        <f t="shared" si="39"/>
        <v>-620000</v>
      </c>
      <c r="AK37" s="24">
        <f t="shared" si="39"/>
        <v>-700000</v>
      </c>
      <c r="AL37" s="24">
        <f t="shared" si="39"/>
        <v>-780000</v>
      </c>
      <c r="AM37" s="24">
        <f t="shared" si="39"/>
        <v>-860000</v>
      </c>
      <c r="AN37" s="24">
        <f t="shared" si="39"/>
        <v>-940000</v>
      </c>
      <c r="AO37" s="24">
        <f t="shared" si="39"/>
        <v>-1020000</v>
      </c>
      <c r="AP37" s="24">
        <f t="shared" si="39"/>
        <v>-1100000</v>
      </c>
      <c r="AQ37" s="24">
        <f t="shared" si="39"/>
        <v>-1180000</v>
      </c>
      <c r="AR37" s="24">
        <f t="shared" si="39"/>
        <v>-1260000</v>
      </c>
      <c r="AS37" s="24">
        <f t="shared" si="39"/>
        <v>-1340000</v>
      </c>
      <c r="AT37" s="24">
        <f t="shared" si="39"/>
        <v>-1420000</v>
      </c>
      <c r="AU37" s="24">
        <f t="shared" si="39"/>
        <v>-1500000</v>
      </c>
      <c r="AV37" s="24">
        <f t="shared" ref="AV37:BW37" si="40">+AV34+AV35+AV36</f>
        <v>-1580000</v>
      </c>
      <c r="AW37" s="24">
        <f t="shared" si="40"/>
        <v>-1660000</v>
      </c>
      <c r="AX37" s="24">
        <f t="shared" si="40"/>
        <v>-1740000</v>
      </c>
      <c r="AY37" s="24">
        <f t="shared" si="40"/>
        <v>-1820000</v>
      </c>
      <c r="AZ37" s="24">
        <f t="shared" si="40"/>
        <v>-1900000</v>
      </c>
      <c r="BA37" s="24">
        <f t="shared" si="40"/>
        <v>-1980000</v>
      </c>
      <c r="BB37" s="24">
        <f t="shared" si="40"/>
        <v>-2060000</v>
      </c>
      <c r="BC37" s="24">
        <f t="shared" si="40"/>
        <v>-2140000</v>
      </c>
      <c r="BD37" s="24">
        <f t="shared" si="40"/>
        <v>-2220000</v>
      </c>
      <c r="BE37" s="24">
        <f t="shared" si="40"/>
        <v>-2300000</v>
      </c>
      <c r="BF37" s="24">
        <f t="shared" si="40"/>
        <v>-2380000</v>
      </c>
      <c r="BG37" s="24">
        <f t="shared" si="40"/>
        <v>-2460000</v>
      </c>
      <c r="BH37" s="24">
        <f t="shared" si="40"/>
        <v>-2540000</v>
      </c>
      <c r="BI37" s="24">
        <f t="shared" si="40"/>
        <v>-2620000</v>
      </c>
      <c r="BJ37" s="24">
        <f t="shared" si="40"/>
        <v>-2700000</v>
      </c>
      <c r="BK37" s="24">
        <f t="shared" si="40"/>
        <v>-2780000</v>
      </c>
      <c r="BL37" s="24">
        <f t="shared" si="40"/>
        <v>-2860000</v>
      </c>
      <c r="BM37" s="24">
        <f t="shared" si="40"/>
        <v>-2940000</v>
      </c>
      <c r="BN37" s="24">
        <f t="shared" si="40"/>
        <v>-3020000</v>
      </c>
      <c r="BO37" s="24">
        <f t="shared" si="40"/>
        <v>-3100000</v>
      </c>
      <c r="BP37" s="24">
        <f t="shared" si="40"/>
        <v>-3180000</v>
      </c>
      <c r="BQ37" s="24">
        <f t="shared" si="40"/>
        <v>-3260000</v>
      </c>
      <c r="BR37" s="24">
        <f t="shared" si="40"/>
        <v>-3340000</v>
      </c>
      <c r="BS37" s="24">
        <f t="shared" si="40"/>
        <v>-3420000</v>
      </c>
      <c r="BT37" s="24">
        <f t="shared" si="40"/>
        <v>-3500000</v>
      </c>
      <c r="BU37" s="24">
        <f t="shared" si="40"/>
        <v>-3580000</v>
      </c>
      <c r="BV37" s="24">
        <f t="shared" si="40"/>
        <v>-3660000</v>
      </c>
      <c r="BW37" s="24">
        <f t="shared" si="40"/>
        <v>-3740000</v>
      </c>
    </row>
    <row r="38" spans="3:75" x14ac:dyDescent="0.2">
      <c r="C38" t="s">
        <v>33</v>
      </c>
      <c r="D38" s="24">
        <f t="shared" ref="D38:AI38" si="41">+IF(D37&gt;0,D37,0)</f>
        <v>425000</v>
      </c>
      <c r="E38" s="24">
        <f t="shared" si="41"/>
        <v>350000</v>
      </c>
      <c r="F38" s="24">
        <f t="shared" si="41"/>
        <v>275000</v>
      </c>
      <c r="G38" s="24">
        <f t="shared" si="41"/>
        <v>200000</v>
      </c>
      <c r="H38" s="24">
        <f t="shared" si="41"/>
        <v>125000</v>
      </c>
      <c r="I38" s="24">
        <f t="shared" si="41"/>
        <v>50000</v>
      </c>
      <c r="J38" s="24">
        <f t="shared" si="41"/>
        <v>0</v>
      </c>
      <c r="K38" s="24">
        <f t="shared" si="41"/>
        <v>1900000</v>
      </c>
      <c r="L38" s="24">
        <f t="shared" si="41"/>
        <v>1825000</v>
      </c>
      <c r="M38" s="24">
        <f t="shared" si="41"/>
        <v>1750000</v>
      </c>
      <c r="N38" s="24">
        <f t="shared" si="41"/>
        <v>1675000</v>
      </c>
      <c r="O38" s="24">
        <f t="shared" si="41"/>
        <v>1600000</v>
      </c>
      <c r="P38" s="24">
        <f t="shared" si="41"/>
        <v>1475000</v>
      </c>
      <c r="Q38" s="24">
        <f t="shared" si="41"/>
        <v>1350000</v>
      </c>
      <c r="R38" s="24">
        <f t="shared" si="41"/>
        <v>1225000</v>
      </c>
      <c r="S38" s="24">
        <f t="shared" si="41"/>
        <v>1100000</v>
      </c>
      <c r="T38" s="24">
        <f t="shared" si="41"/>
        <v>975000</v>
      </c>
      <c r="U38" s="24">
        <f t="shared" si="41"/>
        <v>850000</v>
      </c>
      <c r="V38" s="24">
        <f t="shared" si="41"/>
        <v>725000</v>
      </c>
      <c r="W38" s="24">
        <f t="shared" si="41"/>
        <v>600000</v>
      </c>
      <c r="X38" s="24">
        <f t="shared" si="41"/>
        <v>475000</v>
      </c>
      <c r="Y38" s="24">
        <f t="shared" si="41"/>
        <v>350000</v>
      </c>
      <c r="Z38" s="24">
        <f t="shared" si="41"/>
        <v>225000</v>
      </c>
      <c r="AA38" s="24">
        <f t="shared" si="41"/>
        <v>100000</v>
      </c>
      <c r="AB38" s="24">
        <f t="shared" si="41"/>
        <v>20000</v>
      </c>
      <c r="AC38" s="24">
        <f t="shared" si="41"/>
        <v>0</v>
      </c>
      <c r="AD38" s="24">
        <f t="shared" si="41"/>
        <v>0</v>
      </c>
      <c r="AE38" s="24">
        <f t="shared" si="41"/>
        <v>0</v>
      </c>
      <c r="AF38" s="24">
        <f t="shared" si="41"/>
        <v>0</v>
      </c>
      <c r="AG38" s="24">
        <f t="shared" si="41"/>
        <v>0</v>
      </c>
      <c r="AH38" s="24">
        <f t="shared" si="41"/>
        <v>0</v>
      </c>
      <c r="AI38" s="24">
        <f t="shared" si="41"/>
        <v>0</v>
      </c>
      <c r="AJ38" s="24">
        <f t="shared" ref="AJ38:BO38" si="42">+IF(AJ37&gt;0,AJ37,0)</f>
        <v>0</v>
      </c>
      <c r="AK38" s="24">
        <f t="shared" si="42"/>
        <v>0</v>
      </c>
      <c r="AL38" s="24">
        <f t="shared" si="42"/>
        <v>0</v>
      </c>
      <c r="AM38" s="24">
        <f t="shared" si="42"/>
        <v>0</v>
      </c>
      <c r="AN38" s="24">
        <f t="shared" si="42"/>
        <v>0</v>
      </c>
      <c r="AO38" s="24">
        <f t="shared" si="42"/>
        <v>0</v>
      </c>
      <c r="AP38" s="24">
        <f t="shared" si="42"/>
        <v>0</v>
      </c>
      <c r="AQ38" s="24">
        <f t="shared" si="42"/>
        <v>0</v>
      </c>
      <c r="AR38" s="24">
        <f t="shared" si="42"/>
        <v>0</v>
      </c>
      <c r="AS38" s="24">
        <f t="shared" si="42"/>
        <v>0</v>
      </c>
      <c r="AT38" s="24">
        <f t="shared" si="42"/>
        <v>0</v>
      </c>
      <c r="AU38" s="24">
        <f t="shared" si="42"/>
        <v>0</v>
      </c>
      <c r="AV38" s="24">
        <f t="shared" si="42"/>
        <v>0</v>
      </c>
      <c r="AW38" s="24">
        <f t="shared" si="42"/>
        <v>0</v>
      </c>
      <c r="AX38" s="24">
        <f t="shared" si="42"/>
        <v>0</v>
      </c>
      <c r="AY38" s="24">
        <f t="shared" si="42"/>
        <v>0</v>
      </c>
      <c r="AZ38" s="24">
        <f t="shared" si="42"/>
        <v>0</v>
      </c>
      <c r="BA38" s="24">
        <f t="shared" si="42"/>
        <v>0</v>
      </c>
      <c r="BB38" s="24">
        <f t="shared" si="42"/>
        <v>0</v>
      </c>
      <c r="BC38" s="24">
        <f t="shared" si="42"/>
        <v>0</v>
      </c>
      <c r="BD38" s="24">
        <f t="shared" si="42"/>
        <v>0</v>
      </c>
      <c r="BE38" s="24">
        <f t="shared" si="42"/>
        <v>0</v>
      </c>
      <c r="BF38" s="24">
        <f t="shared" si="42"/>
        <v>0</v>
      </c>
      <c r="BG38" s="24">
        <f t="shared" si="42"/>
        <v>0</v>
      </c>
      <c r="BH38" s="24">
        <f t="shared" si="42"/>
        <v>0</v>
      </c>
      <c r="BI38" s="24">
        <f t="shared" si="42"/>
        <v>0</v>
      </c>
      <c r="BJ38" s="24">
        <f t="shared" si="42"/>
        <v>0</v>
      </c>
      <c r="BK38" s="24">
        <f t="shared" si="42"/>
        <v>0</v>
      </c>
      <c r="BL38" s="24">
        <f t="shared" si="42"/>
        <v>0</v>
      </c>
      <c r="BM38" s="24">
        <f t="shared" si="42"/>
        <v>0</v>
      </c>
      <c r="BN38" s="24">
        <f t="shared" si="42"/>
        <v>0</v>
      </c>
      <c r="BO38" s="24">
        <f t="shared" si="42"/>
        <v>0</v>
      </c>
      <c r="BP38" s="24">
        <f t="shared" ref="BP38:BW38" si="43">+IF(BP37&gt;0,BP37,0)</f>
        <v>0</v>
      </c>
      <c r="BQ38" s="24">
        <f t="shared" si="43"/>
        <v>0</v>
      </c>
      <c r="BR38" s="24">
        <f t="shared" si="43"/>
        <v>0</v>
      </c>
      <c r="BS38" s="24">
        <f t="shared" si="43"/>
        <v>0</v>
      </c>
      <c r="BT38" s="24">
        <f t="shared" si="43"/>
        <v>0</v>
      </c>
      <c r="BU38" s="24">
        <f t="shared" si="43"/>
        <v>0</v>
      </c>
      <c r="BV38" s="24">
        <f t="shared" si="43"/>
        <v>0</v>
      </c>
      <c r="BW38" s="24">
        <f t="shared" si="43"/>
        <v>0</v>
      </c>
    </row>
    <row r="39" spans="3:75" x14ac:dyDescent="0.2">
      <c r="C39" t="s">
        <v>34</v>
      </c>
      <c r="D39" s="24">
        <f t="shared" ref="D39:AI39" si="44">+IF(D37&lt;=0,D37,0)</f>
        <v>0</v>
      </c>
      <c r="E39" s="24">
        <f t="shared" si="44"/>
        <v>0</v>
      </c>
      <c r="F39" s="24">
        <f t="shared" si="44"/>
        <v>0</v>
      </c>
      <c r="G39" s="24">
        <f t="shared" si="44"/>
        <v>0</v>
      </c>
      <c r="H39" s="24">
        <f t="shared" si="44"/>
        <v>0</v>
      </c>
      <c r="I39" s="24">
        <f t="shared" si="44"/>
        <v>0</v>
      </c>
      <c r="J39" s="24">
        <f t="shared" si="44"/>
        <v>-25000</v>
      </c>
      <c r="K39" s="24">
        <f t="shared" si="44"/>
        <v>0</v>
      </c>
      <c r="L39" s="24">
        <f t="shared" si="44"/>
        <v>0</v>
      </c>
      <c r="M39" s="24">
        <f t="shared" si="44"/>
        <v>0</v>
      </c>
      <c r="N39" s="24">
        <f t="shared" si="44"/>
        <v>0</v>
      </c>
      <c r="O39" s="24">
        <f t="shared" si="44"/>
        <v>0</v>
      </c>
      <c r="P39" s="24">
        <f t="shared" si="44"/>
        <v>0</v>
      </c>
      <c r="Q39" s="24">
        <f t="shared" si="44"/>
        <v>0</v>
      </c>
      <c r="R39" s="24">
        <f t="shared" si="44"/>
        <v>0</v>
      </c>
      <c r="S39" s="24">
        <f t="shared" si="44"/>
        <v>0</v>
      </c>
      <c r="T39" s="24">
        <f t="shared" si="44"/>
        <v>0</v>
      </c>
      <c r="U39" s="24">
        <f t="shared" si="44"/>
        <v>0</v>
      </c>
      <c r="V39" s="24">
        <f t="shared" si="44"/>
        <v>0</v>
      </c>
      <c r="W39" s="24">
        <f t="shared" si="44"/>
        <v>0</v>
      </c>
      <c r="X39" s="24">
        <f t="shared" si="44"/>
        <v>0</v>
      </c>
      <c r="Y39" s="24">
        <f t="shared" si="44"/>
        <v>0</v>
      </c>
      <c r="Z39" s="24">
        <f t="shared" si="44"/>
        <v>0</v>
      </c>
      <c r="AA39" s="24">
        <f t="shared" si="44"/>
        <v>0</v>
      </c>
      <c r="AB39" s="24">
        <f t="shared" si="44"/>
        <v>0</v>
      </c>
      <c r="AC39" s="24">
        <f t="shared" si="44"/>
        <v>-60000</v>
      </c>
      <c r="AD39" s="24">
        <f t="shared" si="44"/>
        <v>-140000</v>
      </c>
      <c r="AE39" s="24">
        <f t="shared" si="44"/>
        <v>-220000</v>
      </c>
      <c r="AF39" s="24">
        <f t="shared" si="44"/>
        <v>-300000</v>
      </c>
      <c r="AG39" s="24">
        <f t="shared" si="44"/>
        <v>-380000</v>
      </c>
      <c r="AH39" s="24">
        <f t="shared" si="44"/>
        <v>-460000</v>
      </c>
      <c r="AI39" s="24">
        <f t="shared" si="44"/>
        <v>-540000</v>
      </c>
      <c r="AJ39" s="24">
        <f t="shared" ref="AJ39:BO39" si="45">+IF(AJ37&lt;=0,AJ37,0)</f>
        <v>-620000</v>
      </c>
      <c r="AK39" s="24">
        <f t="shared" si="45"/>
        <v>-700000</v>
      </c>
      <c r="AL39" s="24">
        <f t="shared" si="45"/>
        <v>-780000</v>
      </c>
      <c r="AM39" s="24">
        <f t="shared" si="45"/>
        <v>-860000</v>
      </c>
      <c r="AN39" s="24">
        <f t="shared" si="45"/>
        <v>-940000</v>
      </c>
      <c r="AO39" s="24">
        <f t="shared" si="45"/>
        <v>-1020000</v>
      </c>
      <c r="AP39" s="24">
        <f t="shared" si="45"/>
        <v>-1100000</v>
      </c>
      <c r="AQ39" s="24">
        <f t="shared" si="45"/>
        <v>-1180000</v>
      </c>
      <c r="AR39" s="24">
        <f t="shared" si="45"/>
        <v>-1260000</v>
      </c>
      <c r="AS39" s="24">
        <f t="shared" si="45"/>
        <v>-1340000</v>
      </c>
      <c r="AT39" s="24">
        <f t="shared" si="45"/>
        <v>-1420000</v>
      </c>
      <c r="AU39" s="24">
        <f t="shared" si="45"/>
        <v>-1500000</v>
      </c>
      <c r="AV39" s="24">
        <f t="shared" si="45"/>
        <v>-1580000</v>
      </c>
      <c r="AW39" s="24">
        <f t="shared" si="45"/>
        <v>-1660000</v>
      </c>
      <c r="AX39" s="24">
        <f t="shared" si="45"/>
        <v>-1740000</v>
      </c>
      <c r="AY39" s="24">
        <f t="shared" si="45"/>
        <v>-1820000</v>
      </c>
      <c r="AZ39" s="24">
        <f t="shared" si="45"/>
        <v>-1900000</v>
      </c>
      <c r="BA39" s="24">
        <f t="shared" si="45"/>
        <v>-1980000</v>
      </c>
      <c r="BB39" s="24">
        <f t="shared" si="45"/>
        <v>-2060000</v>
      </c>
      <c r="BC39" s="24">
        <f t="shared" si="45"/>
        <v>-2140000</v>
      </c>
      <c r="BD39" s="24">
        <f t="shared" si="45"/>
        <v>-2220000</v>
      </c>
      <c r="BE39" s="24">
        <f t="shared" si="45"/>
        <v>-2300000</v>
      </c>
      <c r="BF39" s="24">
        <f t="shared" si="45"/>
        <v>-2380000</v>
      </c>
      <c r="BG39" s="24">
        <f t="shared" si="45"/>
        <v>-2460000</v>
      </c>
      <c r="BH39" s="24">
        <f t="shared" si="45"/>
        <v>-2540000</v>
      </c>
      <c r="BI39" s="24">
        <f t="shared" si="45"/>
        <v>-2620000</v>
      </c>
      <c r="BJ39" s="24">
        <f t="shared" si="45"/>
        <v>-2700000</v>
      </c>
      <c r="BK39" s="24">
        <f t="shared" si="45"/>
        <v>-2780000</v>
      </c>
      <c r="BL39" s="24">
        <f t="shared" si="45"/>
        <v>-2860000</v>
      </c>
      <c r="BM39" s="24">
        <f t="shared" si="45"/>
        <v>-2940000</v>
      </c>
      <c r="BN39" s="24">
        <f t="shared" si="45"/>
        <v>-3020000</v>
      </c>
      <c r="BO39" s="24">
        <f t="shared" si="45"/>
        <v>-3100000</v>
      </c>
      <c r="BP39" s="24">
        <f t="shared" ref="BP39:BW39" si="46">+IF(BP37&lt;=0,BP37,0)</f>
        <v>-3180000</v>
      </c>
      <c r="BQ39" s="24">
        <f t="shared" si="46"/>
        <v>-3260000</v>
      </c>
      <c r="BR39" s="24">
        <f t="shared" si="46"/>
        <v>-3340000</v>
      </c>
      <c r="BS39" s="24">
        <f t="shared" si="46"/>
        <v>-3420000</v>
      </c>
      <c r="BT39" s="24">
        <f t="shared" si="46"/>
        <v>-3500000</v>
      </c>
      <c r="BU39" s="24">
        <f t="shared" si="46"/>
        <v>-3580000</v>
      </c>
      <c r="BV39" s="24">
        <f t="shared" si="46"/>
        <v>-3660000</v>
      </c>
      <c r="BW39" s="24">
        <f t="shared" si="46"/>
        <v>-3740000</v>
      </c>
    </row>
    <row r="40" spans="3:75" x14ac:dyDescent="0.2">
      <c r="C40" t="s">
        <v>32</v>
      </c>
      <c r="D40">
        <f>+IF(AND(D37&gt;=0,COUNTIFS($C37:C37,"&lt;0")=0),1,IF(AND(C37&gt;0,D37&lt;0),ABS(1-D37/D35),0))</f>
        <v>1</v>
      </c>
      <c r="E40">
        <f>+IF(AND(E37&gt;=0,COUNTIFS($C37:D37,"&lt;0")=0),1,IF(AND(D37&gt;0,E37&lt;0),ABS(1-E37/E35),0))</f>
        <v>1</v>
      </c>
      <c r="F40">
        <f>+IF(AND(F37&gt;=0,COUNTIFS($C37:E37,"&lt;0")=0),1,IF(AND(E37&gt;0,F37&lt;0),ABS(1-F37/F35),0))</f>
        <v>1</v>
      </c>
      <c r="G40">
        <f>+IF(AND(G37&gt;=0,COUNTIFS($C37:F37,"&lt;0")=0),1,IF(AND(F37&gt;0,G37&lt;0),ABS(1-G37/G35),0))</f>
        <v>1</v>
      </c>
      <c r="H40">
        <f>+IF(AND(H37&gt;=0,COUNTIFS($C37:G37,"&lt;0")=0),1,IF(AND(G37&gt;0,H37&lt;0),ABS(1-H37/H35),0))</f>
        <v>1</v>
      </c>
      <c r="I40">
        <f>+IF(AND(I37&gt;=0,COUNTIFS($C37:H37,"&lt;0")=0),1,IF(AND(H37&gt;0,I37&lt;0),ABS(1-I37/I35),0))</f>
        <v>1</v>
      </c>
      <c r="J40">
        <f>+IF(AND(J37&gt;=0,COUNTIFS($C37:I37,"&lt;0")=0),1,IF(AND(I37&gt;0,J37&lt;0),ABS(1-J37/J35),0))</f>
        <v>0.66666666666666674</v>
      </c>
      <c r="K40">
        <f>+IF(AND(K37&gt;=0,COUNTIFS($C37:J37,"&lt;0")=0),1,IF(AND(J37&gt;0,K37&lt;0),ABS(1-K37/K35),0))</f>
        <v>0</v>
      </c>
      <c r="L40">
        <f>+IF(AND(L37&gt;=0,COUNTIFS($C37:K37,"&lt;0")=0),1,IF(AND(K37&gt;0,L37&lt;0),ABS(1-L37/L35),0))</f>
        <v>0</v>
      </c>
      <c r="M40">
        <f>+IF(AND(M37&gt;=0,COUNTIFS($C37:L37,"&lt;0")=0),1,IF(AND(L37&gt;0,M37&lt;0),ABS(1-M37/M35),0))</f>
        <v>0</v>
      </c>
      <c r="N40">
        <f>+IF(AND(N37&gt;=0,COUNTIFS($C37:M37,"&lt;0")=0),1,IF(AND(M37&gt;0,N37&lt;0),ABS(1-N37/N35),0))</f>
        <v>0</v>
      </c>
      <c r="O40">
        <f>+IF(AND(O37&gt;=0,COUNTIFS($C37:N37,"&lt;0")=0),1,IF(AND(N37&gt;0,O37&lt;0),ABS(1-O37/O35),0))</f>
        <v>0</v>
      </c>
      <c r="P40">
        <f>+IF(AND(P37&gt;=0,COUNTIFS($C37:O37,"&lt;0")=0),1,IF(AND(O37&gt;0,P37&lt;0),ABS(1-P37/P35),0))</f>
        <v>0</v>
      </c>
      <c r="Q40">
        <f>+IF(AND(Q37&gt;=0,COUNTIFS($C37:P37,"&lt;0")=0),1,IF(AND(P37&gt;0,Q37&lt;0),ABS(1-Q37/Q35),0))</f>
        <v>0</v>
      </c>
      <c r="R40">
        <f>+IF(AND(R37&gt;=0,COUNTIFS($C37:Q37,"&lt;0")=0),1,IF(AND(Q37&gt;0,R37&lt;0),ABS(1-R37/R35),0))</f>
        <v>0</v>
      </c>
      <c r="S40">
        <f>+IF(AND(S37&gt;=0,COUNTIFS($C37:R37,"&lt;0")=0),1,IF(AND(R37&gt;0,S37&lt;0),ABS(1-S37/S35),0))</f>
        <v>0</v>
      </c>
      <c r="T40">
        <f>+IF(AND(T37&gt;=0,COUNTIFS($C37:S37,"&lt;0")=0),1,IF(AND(S37&gt;0,T37&lt;0),ABS(1-T37/T35),0))</f>
        <v>0</v>
      </c>
      <c r="U40">
        <f>+IF(AND(U37&gt;=0,COUNTIFS($C37:T37,"&lt;0")=0),1,IF(AND(T37&gt;0,U37&lt;0),ABS(1-U37/U35),0))</f>
        <v>0</v>
      </c>
      <c r="V40">
        <f>+IF(AND(V37&gt;=0,COUNTIFS($C37:U37,"&lt;0")=0),1,IF(AND(U37&gt;0,V37&lt;0),ABS(1-V37/V35),0))</f>
        <v>0</v>
      </c>
      <c r="W40">
        <f>+IF(AND(W37&gt;=0,COUNTIFS($C37:V37,"&lt;0")=0),1,IF(AND(V37&gt;0,W37&lt;0),ABS(1-W37/W35),0))</f>
        <v>0</v>
      </c>
      <c r="X40">
        <f>+IF(AND(X37&gt;=0,COUNTIFS($C37:W37,"&lt;0")=0),1,IF(AND(W37&gt;0,X37&lt;0),ABS(1-X37/X35),0))</f>
        <v>0</v>
      </c>
      <c r="Y40">
        <f>+IF(AND(Y37&gt;=0,COUNTIFS($C37:X37,"&lt;0")=0),1,IF(AND(X37&gt;0,Y37&lt;0),ABS(1-Y37/Y35),0))</f>
        <v>0</v>
      </c>
      <c r="Z40">
        <f>+IF(AND(Z37&gt;=0,COUNTIFS($C37:Y37,"&lt;0")=0),1,IF(AND(Y37&gt;0,Z37&lt;0),ABS(1-Z37/Z35),0))</f>
        <v>0</v>
      </c>
      <c r="AA40">
        <f>+IF(AND(AA37&gt;=0,COUNTIFS($C37:Z37,"&lt;0")=0),1,IF(AND(Z37&gt;0,AA37&lt;0),ABS(1-AA37/AA35),0))</f>
        <v>0</v>
      </c>
      <c r="AB40">
        <f>+IF(AND(AB37&gt;=0,COUNTIFS($C37:AA37,"&lt;0")=0),1,IF(AND(AA37&gt;0,AB37&lt;0),ABS(1-AB37/AB35),0))</f>
        <v>0</v>
      </c>
      <c r="AC40">
        <f>+IF(AND(AC37&gt;=0,COUNTIFS($C37:AB37,"&lt;0")=0),1,IF(AND(AB37&gt;0,AC37&lt;0),ABS(1-AC37/AC35),0))</f>
        <v>0.25</v>
      </c>
      <c r="AD40">
        <f>+IF(AND(AD37&gt;=0,COUNTIFS($C37:AC37,"&lt;0")=0),1,IF(AND(AC37&gt;0,AD37&lt;0),ABS(1-AD37/AD35),0))</f>
        <v>0</v>
      </c>
      <c r="AE40">
        <f>+IF(AND(AE37&gt;=0,COUNTIFS($C37:AD37,"&lt;0")=0),1,IF(AND(AD37&gt;0,AE37&lt;0),ABS(1-AE37/AE35),0))</f>
        <v>0</v>
      </c>
      <c r="AF40">
        <f>+IF(AND(AF37&gt;=0,COUNTIFS($C37:AE37,"&lt;0")=0),1,IF(AND(AE37&gt;0,AF37&lt;0),ABS(1-AF37/AF35),0))</f>
        <v>0</v>
      </c>
      <c r="AG40">
        <f>+IF(AND(AG37&gt;=0,COUNTIFS($C37:AF37,"&lt;0")=0),1,IF(AND(AF37&gt;0,AG37&lt;0),ABS(1-AG37/AG35),0))</f>
        <v>0</v>
      </c>
      <c r="AH40">
        <f>+IF(AND(AH37&gt;=0,COUNTIFS($C37:AG37,"&lt;0")=0),1,IF(AND(AG37&gt;0,AH37&lt;0),ABS(1-AH37/AH35),0))</f>
        <v>0</v>
      </c>
      <c r="AI40">
        <f>+IF(AND(AI37&gt;=0,COUNTIFS($C37:AH37,"&lt;0")=0),1,IF(AND(AH37&gt;0,AI37&lt;0),ABS(1-AI37/AI35),0))</f>
        <v>0</v>
      </c>
      <c r="AJ40">
        <f>+IF(AND(AJ37&gt;=0,COUNTIFS($C37:AI37,"&lt;0")=0),1,IF(AND(AI37&gt;0,AJ37&lt;0),ABS(1-AJ37/AJ35),0))</f>
        <v>0</v>
      </c>
      <c r="AK40">
        <f>+IF(AND(AK37&gt;=0,COUNTIFS($C37:AJ37,"&lt;0")=0),1,IF(AND(AJ37&gt;0,AK37&lt;0),ABS(1-AK37/AK35),0))</f>
        <v>0</v>
      </c>
      <c r="AL40">
        <f>+IF(AND(AL37&gt;=0,COUNTIFS($C37:AK37,"&lt;0")=0),1,IF(AND(AK37&gt;0,AL37&lt;0),ABS(1-AL37/AL35),0))</f>
        <v>0</v>
      </c>
      <c r="AM40">
        <f>+IF(AND(AM37&gt;=0,COUNTIFS($C37:AL37,"&lt;0")=0),1,IF(AND(AL37&gt;0,AM37&lt;0),ABS(1-AM37/AM35),0))</f>
        <v>0</v>
      </c>
      <c r="AN40">
        <f>+IF(AND(AN37&gt;=0,COUNTIFS($C37:AM37,"&lt;0")=0),1,IF(AND(AM37&gt;0,AN37&lt;0),ABS(1-AN37/AN35),0))</f>
        <v>0</v>
      </c>
      <c r="AO40">
        <f>+IF(AND(AO37&gt;=0,COUNTIFS($C37:AN37,"&lt;0")=0),1,IF(AND(AN37&gt;0,AO37&lt;0),ABS(1-AO37/AO35),0))</f>
        <v>0</v>
      </c>
      <c r="AP40">
        <f>+IF(AND(AP37&gt;=0,COUNTIFS($C37:AO37,"&lt;0")=0),1,IF(AND(AO37&gt;0,AP37&lt;0),ABS(1-AP37/AP35),0))</f>
        <v>0</v>
      </c>
      <c r="AQ40">
        <f>+IF(AND(AQ37&gt;=0,COUNTIFS($C37:AP37,"&lt;0")=0),1,IF(AND(AP37&gt;0,AQ37&lt;0),ABS(1-AQ37/AQ35),0))</f>
        <v>0</v>
      </c>
      <c r="AR40">
        <f>+IF(AND(AR37&gt;=0,COUNTIFS($C37:AQ37,"&lt;0")=0),1,IF(AND(AQ37&gt;0,AR37&lt;0),ABS(1-AR37/AR35),0))</f>
        <v>0</v>
      </c>
      <c r="AS40">
        <f>+IF(AND(AS37&gt;=0,COUNTIFS($C37:AR37,"&lt;0")=0),1,IF(AND(AR37&gt;0,AS37&lt;0),ABS(1-AS37/AS35),0))</f>
        <v>0</v>
      </c>
      <c r="AT40">
        <f>+IF(AND(AT37&gt;=0,COUNTIFS($C37:AS37,"&lt;0")=0),1,IF(AND(AS37&gt;0,AT37&lt;0),ABS(1-AT37/AT35),0))</f>
        <v>0</v>
      </c>
      <c r="AU40">
        <f>+IF(AND(AU37&gt;=0,COUNTIFS($C37:AT37,"&lt;0")=0),1,IF(AND(AT37&gt;0,AU37&lt;0),ABS(1-AU37/AU35),0))</f>
        <v>0</v>
      </c>
      <c r="AV40">
        <f>+IF(AND(AV37&gt;=0,COUNTIFS($C37:AU37,"&lt;0")=0),1,IF(AND(AU37&gt;0,AV37&lt;0),ABS(1-AV37/AV35),0))</f>
        <v>0</v>
      </c>
      <c r="AW40">
        <f>+IF(AND(AW37&gt;=0,COUNTIFS($C37:AV37,"&lt;0")=0),1,IF(AND(AV37&gt;0,AW37&lt;0),ABS(1-AW37/AW35),0))</f>
        <v>0</v>
      </c>
      <c r="AX40">
        <f>+IF(AND(AX37&gt;=0,COUNTIFS($C37:AW37,"&lt;0")=0),1,IF(AND(AW37&gt;0,AX37&lt;0),ABS(1-AX37/AX35),0))</f>
        <v>0</v>
      </c>
      <c r="AY40">
        <f>+IF(AND(AY37&gt;=0,COUNTIFS($C37:AX37,"&lt;0")=0),1,IF(AND(AX37&gt;0,AY37&lt;0),ABS(1-AY37/AY35),0))</f>
        <v>0</v>
      </c>
      <c r="AZ40">
        <f>+IF(AND(AZ37&gt;=0,COUNTIFS($C37:AY37,"&lt;0")=0),1,IF(AND(AY37&gt;0,AZ37&lt;0),ABS(1-AZ37/AZ35),0))</f>
        <v>0</v>
      </c>
      <c r="BA40">
        <f>+IF(AND(BA37&gt;=0,COUNTIFS($C37:AZ37,"&lt;0")=0),1,IF(AND(AZ37&gt;0,BA37&lt;0),ABS(1-BA37/BA35),0))</f>
        <v>0</v>
      </c>
      <c r="BB40">
        <f>+IF(AND(BB37&gt;=0,COUNTIFS($C37:BA37,"&lt;0")=0),1,IF(AND(BA37&gt;0,BB37&lt;0),ABS(1-BB37/BB35),0))</f>
        <v>0</v>
      </c>
      <c r="BC40">
        <f>+IF(AND(BC37&gt;=0,COUNTIFS($C37:BB37,"&lt;0")=0),1,IF(AND(BB37&gt;0,BC37&lt;0),ABS(1-BC37/BC35),0))</f>
        <v>0</v>
      </c>
      <c r="BD40">
        <f>+IF(AND(BD37&gt;=0,COUNTIFS($C37:BC37,"&lt;0")=0),1,IF(AND(BC37&gt;0,BD37&lt;0),ABS(1-BD37/BD35),0))</f>
        <v>0</v>
      </c>
      <c r="BE40">
        <f>+IF(AND(BE37&gt;=0,COUNTIFS($C37:BD37,"&lt;0")=0),1,IF(AND(BD37&gt;0,BE37&lt;0),ABS(1-BE37/BE35),0))</f>
        <v>0</v>
      </c>
      <c r="BF40">
        <f>+IF(AND(BF37&gt;=0,COUNTIFS($C37:BE37,"&lt;0")=0),1,IF(AND(BE37&gt;0,BF37&lt;0),ABS(1-BF37/BF35),0))</f>
        <v>0</v>
      </c>
      <c r="BG40">
        <f>+IF(AND(BG37&gt;=0,COUNTIFS($C37:BF37,"&lt;0")=0),1,IF(AND(BF37&gt;0,BG37&lt;0),ABS(1-BG37/BG35),0))</f>
        <v>0</v>
      </c>
      <c r="BH40">
        <f>+IF(AND(BH37&gt;=0,COUNTIFS($C37:BG37,"&lt;0")=0),1,IF(AND(BG37&gt;0,BH37&lt;0),ABS(1-BH37/BH35),0))</f>
        <v>0</v>
      </c>
      <c r="BI40">
        <f>+IF(AND(BI37&gt;=0,COUNTIFS($C37:BH37,"&lt;0")=0),1,IF(AND(BH37&gt;0,BI37&lt;0),ABS(1-BI37/BI35),0))</f>
        <v>0</v>
      </c>
      <c r="BJ40">
        <f>+IF(AND(BJ37&gt;=0,COUNTIFS($C37:BI37,"&lt;0")=0),1,IF(AND(BI37&gt;0,BJ37&lt;0),ABS(1-BJ37/BJ35),0))</f>
        <v>0</v>
      </c>
      <c r="BK40">
        <f>+IF(AND(BK37&gt;=0,COUNTIFS($C37:BJ37,"&lt;0")=0),1,IF(AND(BJ37&gt;0,BK37&lt;0),ABS(1-BK37/BK35),0))</f>
        <v>0</v>
      </c>
      <c r="BL40">
        <f>+IF(AND(BL37&gt;=0,COUNTIFS($C37:BK37,"&lt;0")=0),1,IF(AND(BK37&gt;0,BL37&lt;0),ABS(1-BL37/BL35),0))</f>
        <v>0</v>
      </c>
      <c r="BM40">
        <f>+IF(AND(BM37&gt;=0,COUNTIFS($C37:BL37,"&lt;0")=0),1,IF(AND(BL37&gt;0,BM37&lt;0),ABS(1-BM37/BM35),0))</f>
        <v>0</v>
      </c>
      <c r="BN40">
        <f>+IF(AND(BN37&gt;=0,COUNTIFS($C37:BM37,"&lt;0")=0),1,IF(AND(BM37&gt;0,BN37&lt;0),ABS(1-BN37/BN35),0))</f>
        <v>0</v>
      </c>
      <c r="BO40">
        <f>+IF(AND(BO37&gt;=0,COUNTIFS($C37:BN37,"&lt;0")=0),1,IF(AND(BN37&gt;0,BO37&lt;0),ABS(1-BO37/BO35),0))</f>
        <v>0</v>
      </c>
      <c r="BP40">
        <f>+IF(AND(BP37&gt;=0,COUNTIFS($C37:BO37,"&lt;0")=0),1,IF(AND(BO37&gt;0,BP37&lt;0),ABS(1-BP37/BP35),0))</f>
        <v>0</v>
      </c>
      <c r="BQ40">
        <f>+IF(AND(BQ37&gt;=0,COUNTIFS($C37:BP37,"&lt;0")=0),1,IF(AND(BP37&gt;0,BQ37&lt;0),ABS(1-BQ37/BQ35),0))</f>
        <v>0</v>
      </c>
      <c r="BR40">
        <f>+IF(AND(BR37&gt;=0,COUNTIFS($C37:BQ37,"&lt;0")=0),1,IF(AND(BQ37&gt;0,BR37&lt;0),ABS(1-BR37/BR35),0))</f>
        <v>0</v>
      </c>
      <c r="BS40">
        <f>+IF(AND(BS37&gt;=0,COUNTIFS($C37:BR37,"&lt;0")=0),1,IF(AND(BR37&gt;0,BS37&lt;0),ABS(1-BS37/BS35),0))</f>
        <v>0</v>
      </c>
      <c r="BT40">
        <f>+IF(AND(BT37&gt;=0,COUNTIFS($C37:BS37,"&lt;0")=0),1,IF(AND(BS37&gt;0,BT37&lt;0),ABS(1-BT37/BT35),0))</f>
        <v>0</v>
      </c>
      <c r="BU40">
        <f>+IF(AND(BU37&gt;=0,COUNTIFS($C37:BT37,"&lt;0")=0),1,IF(AND(BT37&gt;0,BU37&lt;0),ABS(1-BU37/BU35),0))</f>
        <v>0</v>
      </c>
      <c r="BV40">
        <f>+IF(AND(BV37&gt;=0,COUNTIFS($C37:BU37,"&lt;0")=0),1,IF(AND(BU37&gt;0,BV37&lt;0),ABS(1-BV37/BV35),0))</f>
        <v>0</v>
      </c>
      <c r="BW40">
        <f>+IF(AND(BW37&gt;=0,COUNTIFS($C37:BV37,"&lt;0")=0),1,IF(AND(BV37&gt;0,BW37&lt;0),ABS(1-BW37/BW35),0))</f>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640FAF-3EA5-4668-A151-0067F7A5DB89}">
  <sheetPr codeName="Sheet5"/>
  <dimension ref="B3:F14"/>
  <sheetViews>
    <sheetView showGridLines="0" workbookViewId="0">
      <selection activeCell="C23" sqref="C23"/>
    </sheetView>
  </sheetViews>
  <sheetFormatPr baseColWidth="10" defaultColWidth="8.83203125" defaultRowHeight="15" x14ac:dyDescent="0.2"/>
  <cols>
    <col min="2" max="2" width="11.5" bestFit="1" customWidth="1"/>
    <col min="3" max="3" width="19.5" bestFit="1" customWidth="1"/>
    <col min="4" max="4" width="17.5" bestFit="1" customWidth="1"/>
    <col min="5" max="5" width="25" bestFit="1" customWidth="1"/>
    <col min="6" max="6" width="17.5" bestFit="1" customWidth="1"/>
  </cols>
  <sheetData>
    <row r="3" spans="2:6" ht="16" x14ac:dyDescent="0.2">
      <c r="B3" s="50" t="s">
        <v>47</v>
      </c>
    </row>
    <row r="4" spans="2:6" ht="16" thickBot="1" x14ac:dyDescent="0.25"/>
    <row r="5" spans="2:6" ht="16" thickBot="1" x14ac:dyDescent="0.25">
      <c r="B5" t="s">
        <v>48</v>
      </c>
      <c r="D5" s="51">
        <v>5</v>
      </c>
    </row>
    <row r="6" spans="2:6" ht="16" thickBot="1" x14ac:dyDescent="0.25">
      <c r="B6" t="s">
        <v>176</v>
      </c>
      <c r="D6" s="175">
        <f>+'1. Calculator'!C6</f>
        <v>1000000</v>
      </c>
    </row>
    <row r="7" spans="2:6" x14ac:dyDescent="0.2">
      <c r="C7" t="s">
        <v>40</v>
      </c>
    </row>
    <row r="8" spans="2:6" ht="16" x14ac:dyDescent="0.2">
      <c r="B8" s="50" t="s">
        <v>46</v>
      </c>
    </row>
    <row r="10" spans="2:6" ht="16" thickBot="1" x14ac:dyDescent="0.25"/>
    <row r="11" spans="2:6" ht="16" thickBot="1" x14ac:dyDescent="0.25">
      <c r="C11" s="180" t="s">
        <v>41</v>
      </c>
      <c r="D11" s="181" t="s">
        <v>37</v>
      </c>
      <c r="E11" s="181" t="s">
        <v>174</v>
      </c>
      <c r="F11" s="182" t="s">
        <v>177</v>
      </c>
    </row>
    <row r="12" spans="2:6" x14ac:dyDescent="0.2">
      <c r="B12" s="5" t="s">
        <v>24</v>
      </c>
      <c r="C12" s="52">
        <v>1.2</v>
      </c>
      <c r="D12" s="172">
        <v>2500000</v>
      </c>
      <c r="E12" s="179" t="s">
        <v>175</v>
      </c>
      <c r="F12" s="174">
        <f t="shared" ref="F12" si="0">+IF(OR($D$6="",$D$6=0,E12="N/A"),D12,E12*$D$6)</f>
        <v>2500000</v>
      </c>
    </row>
    <row r="13" spans="2:6" x14ac:dyDescent="0.2">
      <c r="B13" s="6" t="s">
        <v>25</v>
      </c>
      <c r="C13" s="52">
        <v>1</v>
      </c>
      <c r="D13" s="172">
        <v>6250000</v>
      </c>
      <c r="E13" s="177">
        <v>2</v>
      </c>
      <c r="F13" s="174">
        <f>+IF(OR($D$6="",$D$6=0,E13="N/A"),D13,E13*$D$6)</f>
        <v>2000000</v>
      </c>
    </row>
    <row r="14" spans="2:6" ht="16" thickBot="1" x14ac:dyDescent="0.25">
      <c r="B14" s="7" t="s">
        <v>1</v>
      </c>
      <c r="C14" s="53">
        <v>1</v>
      </c>
      <c r="D14" s="173">
        <v>8750000</v>
      </c>
      <c r="E14" s="178">
        <v>3</v>
      </c>
      <c r="F14" s="176">
        <f>+IF(OR($D$6="",$D$6=0,E14="N/A"),D14,E14*$D$6)</f>
        <v>3000000</v>
      </c>
    </row>
  </sheetData>
  <pageMargins left="0.7" right="0.7" top="0.75" bottom="0.75" header="0.3" footer="0.3"/>
  <drawing r:id="rId1"/>
</worksheet>
</file>

<file path=docMetadata/LabelInfo.xml><?xml version="1.0" encoding="utf-8"?>
<clbl:labelList xmlns:clbl="http://schemas.microsoft.com/office/2020/mipLabelMetadata">
  <clbl:label id="{bfd0b529-4a04-4616-88d2-531082d94bb8}" enabled="1" method="Standard" siteId="{e1f8af86-ee95-4718-bd0d-375b37366c83}" removed="0"/>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1. Calculator</vt:lpstr>
      <vt:lpstr>2.Detailed Cash Burn (Optional)</vt:lpstr>
      <vt:lpstr>3. P&amp;L BuildUp</vt:lpstr>
      <vt:lpstr>CalcSheet</vt:lpstr>
      <vt:lpstr>Assumption Customization</vt:lpstr>
      <vt:lpstr>forecast_startes</vt:lpstr>
      <vt:lpstr>'1. Calculator'!Print_Area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Nicolás Creixent</dc:creator>
  <cp:lastModifiedBy>Jeffrey Church</cp:lastModifiedBy>
  <dcterms:created xsi:type="dcterms:W3CDTF">2025-01-17T22:07:38Z</dcterms:created>
  <dcterms:modified xsi:type="dcterms:W3CDTF">2026-04-23T14:46:20Z</dcterms:modified>
</cp:coreProperties>
</file>