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Conversion C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0\ &quot;days&quot;"/>
    <numFmt numFmtId="166" formatCode="&quot;💵 +&quot;&quot;$&quot;#,##0;&quot;💸 -&quot;&quot;$&quot;#,##0"/>
    <numFmt numFmtId="167" formatCode="0.0\ &quot;months&quot;"/>
    <numFmt numFmtId="168" formatCode="0.0%"/>
    <numFmt numFmtId="169" formatCode="&quot;$&quot;#,##0;\(&quot;$&quot;#,##0\);\-"/>
  </numFmts>
  <fonts count="33">
    <font>
      <name val="Calibri"/>
      <family val="2"/>
      <color theme="1"/>
      <sz val="11"/>
      <scheme val="minor"/>
    </font>
    <font>
      <name val="Aptos Narrow"/>
      <family val="2"/>
      <b val="1"/>
      <color rgb="FFFFFFFF"/>
      <sz val="16"/>
      <scheme val="minor"/>
    </font>
    <font>
      <name val="Aptos Narrow"/>
      <family val="2"/>
      <i val="1"/>
      <color rgb="FFFFFFFF"/>
      <sz val="10"/>
      <scheme val="minor"/>
    </font>
    <font>
      <name val="Aptos Narrow"/>
      <family val="2"/>
      <b val="1"/>
      <color rgb="FFFFFFFF"/>
      <sz val="13"/>
      <scheme val="minor"/>
    </font>
    <font>
      <name val="Aptos Narrow"/>
      <family val="2"/>
      <b val="1"/>
      <color rgb="FFFFFFFF"/>
      <sz val="14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b val="1"/>
      <color rgb="FF0070C0"/>
      <sz val="13"/>
      <scheme val="minor"/>
    </font>
    <font>
      <name val="Aptos Narrow"/>
      <family val="2"/>
      <i val="1"/>
      <color rgb="FF595959"/>
      <sz val="13"/>
      <scheme val="minor"/>
    </font>
    <font>
      <name val="Aptos Narrow"/>
      <family val="2"/>
      <color rgb="FF595959"/>
      <sz val="13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rgb="FF595959"/>
      <sz val="13"/>
      <scheme val="minor"/>
    </font>
    <font>
      <name val="Aptos Narrow"/>
      <family val="2"/>
      <b val="1"/>
      <color rgb="FF375623"/>
      <sz val="13"/>
      <scheme val="minor"/>
    </font>
    <font>
      <name val="Aptos Narrow"/>
      <family val="2"/>
      <b val="1"/>
      <i val="1"/>
      <color rgb="FFFFFFFF"/>
      <sz val="13"/>
      <scheme val="minor"/>
    </font>
    <font>
      <name val="Aptos Narrow"/>
      <family val="2"/>
      <b val="1"/>
      <i val="1"/>
      <color rgb="FF595959"/>
      <sz val="13"/>
      <scheme val="minor"/>
    </font>
    <font>
      <name val="Aptos Narrow"/>
      <family val="2"/>
      <b val="1"/>
      <color rgb="FF7030A0"/>
      <sz val="14"/>
      <scheme val="minor"/>
    </font>
    <font>
      <name val="Aptos Narrow"/>
      <family val="2"/>
      <i val="1"/>
      <color rgb="FF595959"/>
      <sz val="9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rgb="FF595959"/>
      <sz val="12"/>
      <scheme val="minor"/>
    </font>
    <font>
      <name val="Aptos Narrow"/>
      <family val="2"/>
      <b val="1"/>
      <color rgb="FF375623"/>
      <sz val="12"/>
      <scheme val="minor"/>
    </font>
    <font>
      <name val="Aptos Narrow"/>
      <family val="2"/>
      <b val="1"/>
      <color rgb="FF595959"/>
      <sz val="12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rgb="FFC00000"/>
      <sz val="12"/>
      <scheme val="minor"/>
    </font>
    <font>
      <name val="Aptos Narrow"/>
      <family val="2"/>
      <b val="1"/>
      <color rgb="FFC00000"/>
      <sz val="12"/>
      <scheme val="minor"/>
    </font>
    <font>
      <name val="Aptos Narrow"/>
      <family val="2"/>
      <color rgb="FF7F7F7F"/>
      <sz val="12"/>
      <scheme val="minor"/>
    </font>
    <font>
      <name val="Aptos Narrow"/>
      <family val="2"/>
      <color rgb="FF375623"/>
      <sz val="12"/>
      <scheme val="minor"/>
    </font>
    <font>
      <name val="Aptos Narrow"/>
      <family val="2"/>
      <i val="1"/>
      <color rgb="FF7F7F7F"/>
      <sz val="9"/>
      <scheme val="minor"/>
    </font>
    <font>
      <name val="Aptos Narrow"/>
      <b val="1"/>
      <color rgb="FFFFFFFF"/>
      <sz val="10"/>
      <scheme val="minor"/>
    </font>
    <font>
      <name val="Aptos Narrow"/>
      <b val="1"/>
      <color rgb="FF1F3864"/>
      <sz val="10"/>
      <scheme val="minor"/>
    </font>
    <font>
      <name val="Aptos Narrow"/>
      <color rgb="FF404040"/>
      <sz val="10"/>
      <scheme val="minor"/>
    </font>
    <font>
      <name val="Aptos Narrow"/>
      <i val="1"/>
      <color rgb="FFC55A11"/>
      <sz val="9"/>
      <scheme val="minor"/>
    </font>
    <font>
      <name val="Aptos Narrow"/>
      <b val="1"/>
      <i val="1"/>
      <color rgb="FFC55A11"/>
      <sz val="9"/>
      <scheme val="minor"/>
    </font>
  </fonts>
  <fills count="23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E620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AD1FF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BF3E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/>
      <diagonal/>
    </border>
    <border>
      <left style="medium">
        <color indexed="64"/>
      </left>
      <right style="thin">
        <color rgb="FFCDA9E8"/>
      </right>
      <top style="thin">
        <color rgb="FF7030A0"/>
      </top>
      <bottom style="thin">
        <color rgb="FFCDA9E8"/>
      </bottom>
      <diagonal/>
    </border>
    <border>
      <left style="thin">
        <color rgb="FFCDA9E8"/>
      </left>
      <right style="thin">
        <color rgb="FFCDA9E8"/>
      </right>
      <top style="thin">
        <color rgb="FF7030A0"/>
      </top>
      <bottom style="thin">
        <color rgb="FFCDA9E8"/>
      </bottom>
      <diagonal/>
    </border>
    <border>
      <left style="thin">
        <color rgb="FFCDA9E8"/>
      </left>
      <right style="thin">
        <color rgb="FF7030A0"/>
      </right>
      <top style="thin">
        <color rgb="FF7030A0"/>
      </top>
      <bottom style="thin">
        <color rgb="FFCDA9E8"/>
      </bottom>
      <diagonal/>
    </border>
    <border>
      <left style="medium">
        <color indexed="64"/>
      </left>
      <right style="thin">
        <color rgb="FFCDA9E8"/>
      </right>
      <top style="thin">
        <color rgb="FFCDA9E8"/>
      </top>
      <bottom style="thin">
        <color rgb="FFCDA9E8"/>
      </bottom>
      <diagonal/>
    </border>
    <border>
      <left style="thin">
        <color rgb="FFCDA9E8"/>
      </left>
      <right style="thin">
        <color rgb="FFCDA9E8"/>
      </right>
      <top style="thin">
        <color rgb="FFCDA9E8"/>
      </top>
      <bottom style="thin">
        <color rgb="FFCDA9E8"/>
      </bottom>
      <diagonal/>
    </border>
    <border>
      <left style="thin">
        <color rgb="FFCDA9E8"/>
      </left>
      <right style="thin">
        <color rgb="FF7030A0"/>
      </right>
      <top style="thin">
        <color rgb="FFCDA9E8"/>
      </top>
      <bottom style="thin">
        <color rgb="FFCDA9E8"/>
      </bottom>
      <diagonal/>
    </border>
    <border>
      <left style="medium">
        <color indexed="64"/>
      </left>
      <right style="thin">
        <color rgb="FFCDA9E8"/>
      </right>
      <top style="thin">
        <color rgb="FFCDA9E8"/>
      </top>
      <bottom style="medium">
        <color indexed="64"/>
      </bottom>
      <diagonal/>
    </border>
    <border>
      <left style="thin">
        <color rgb="FFCDA9E8"/>
      </left>
      <right style="thin">
        <color rgb="FFCDA9E8"/>
      </right>
      <top style="thin">
        <color rgb="FFCDA9E8"/>
      </top>
      <bottom style="medium">
        <color indexed="64"/>
      </bottom>
      <diagonal/>
    </border>
    <border>
      <left style="thin">
        <color rgb="FFCDA9E8"/>
      </left>
      <right style="thin">
        <color rgb="FF7030A0"/>
      </right>
      <top style="thin">
        <color rgb="FFCDA9E8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medium">
        <color indexed="64"/>
      </left>
      <right style="thin">
        <color rgb="FFBDD7EE"/>
      </right>
      <top style="thin">
        <color rgb="FFBDD7EE"/>
      </top>
      <bottom style="medium">
        <color indexed="6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medium">
        <color indexed="64"/>
      </bottom>
      <diagonal/>
    </border>
    <border>
      <left style="thin">
        <color rgb="FFBDD7EE"/>
      </left>
      <right/>
      <top style="thin">
        <color rgb="FFBDD7EE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indent="1"/>
    </xf>
    <xf numFmtId="0" fontId="4" fillId="3" borderId="2" pivotButton="0" quotePrefix="0" xfId="0"/>
    <xf numFmtId="0" fontId="5" fillId="0" borderId="3" applyAlignment="1" pivotButton="0" quotePrefix="0" xfId="0">
      <alignment horizontal="left" indent="1"/>
    </xf>
    <xf numFmtId="164" fontId="6" fillId="4" borderId="0" pivotButton="0" quotePrefix="0" xfId="0"/>
    <xf numFmtId="0" fontId="7" fillId="0" borderId="3" applyAlignment="1" pivotButton="0" quotePrefix="0" xfId="0">
      <alignment horizontal="left" indent="1"/>
    </xf>
    <xf numFmtId="164" fontId="8" fillId="0" borderId="0" pivotButton="0" quotePrefix="0" xfId="0"/>
    <xf numFmtId="0" fontId="9" fillId="0" borderId="3" pivotButton="0" quotePrefix="0" xfId="0"/>
    <xf numFmtId="0" fontId="3" fillId="3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indent="1"/>
    </xf>
    <xf numFmtId="1" fontId="6" fillId="4" borderId="5" applyAlignment="1" pivotButton="0" quotePrefix="0" xfId="0">
      <alignment horizontal="center"/>
    </xf>
    <xf numFmtId="165" fontId="5" fillId="0" borderId="5" applyAlignment="1" pivotButton="0" quotePrefix="0" xfId="0">
      <alignment horizontal="center"/>
    </xf>
    <xf numFmtId="0" fontId="10" fillId="0" borderId="0" pivotButton="0" quotePrefix="0" xfId="0"/>
    <xf numFmtId="164" fontId="10" fillId="0" borderId="0" applyAlignment="1" pivotButton="0" quotePrefix="0" xfId="0">
      <alignment horizontal="left" indent="7"/>
    </xf>
    <xf numFmtId="164" fontId="10" fillId="0" borderId="7" applyAlignment="1" pivotButton="0" quotePrefix="0" xfId="0">
      <alignment horizontal="left" indent="7"/>
    </xf>
    <xf numFmtId="0" fontId="10" fillId="0" borderId="4" applyAlignment="1" pivotButton="0" quotePrefix="0" xfId="0">
      <alignment horizontal="left" vertical="center" indent="6"/>
    </xf>
    <xf numFmtId="0" fontId="10" fillId="0" borderId="5" applyAlignment="1" pivotButton="0" quotePrefix="0" xfId="0">
      <alignment horizontal="left" vertical="center" indent="6"/>
    </xf>
    <xf numFmtId="0" fontId="6" fillId="8" borderId="0" applyAlignment="1" pivotButton="0" quotePrefix="0" xfId="0">
      <alignment horizontal="left" vertical="center" indent="2"/>
    </xf>
    <xf numFmtId="164" fontId="6" fillId="8" borderId="0" applyAlignment="1" pivotButton="0" quotePrefix="0" xfId="0">
      <alignment horizontal="left" vertical="center" indent="6"/>
    </xf>
    <xf numFmtId="0" fontId="3" fillId="3" borderId="4" applyAlignment="1" pivotButton="0" quotePrefix="0" xfId="0">
      <alignment horizontal="left" indent="1"/>
    </xf>
    <xf numFmtId="0" fontId="3" fillId="3" borderId="5" applyAlignment="1" pivotButton="0" quotePrefix="0" xfId="0">
      <alignment horizontal="left" indent="1"/>
    </xf>
    <xf numFmtId="0" fontId="3" fillId="3" borderId="0" applyAlignment="1" pivotButton="0" quotePrefix="0" xfId="0">
      <alignment horizontal="left" indent="1"/>
    </xf>
    <xf numFmtId="0" fontId="3" fillId="3" borderId="8" applyAlignment="1" pivotButton="0" quotePrefix="0" xfId="0">
      <alignment horizontal="left" indent="1"/>
    </xf>
    <xf numFmtId="0" fontId="11" fillId="0" borderId="4" applyAlignment="1" pivotButton="0" quotePrefix="0" xfId="0">
      <alignment horizontal="left" indent="1"/>
    </xf>
    <xf numFmtId="1" fontId="10" fillId="0" borderId="5" applyAlignment="1" pivotButton="0" quotePrefix="0" xfId="0">
      <alignment horizontal="center"/>
    </xf>
    <xf numFmtId="165" fontId="10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left" indent="1"/>
    </xf>
    <xf numFmtId="165" fontId="5" fillId="9" borderId="5" applyAlignment="1" pivotButton="0" quotePrefix="0" xfId="0">
      <alignment horizontal="center"/>
    </xf>
    <xf numFmtId="165" fontId="5" fillId="10" borderId="5" applyAlignment="1" pivotButton="0" quotePrefix="0" xfId="0">
      <alignment horizontal="center"/>
    </xf>
    <xf numFmtId="165" fontId="5" fillId="11" borderId="5" applyAlignment="1" pivotButton="0" quotePrefix="0" xfId="0">
      <alignment horizontal="center"/>
    </xf>
    <xf numFmtId="0" fontId="3" fillId="2" borderId="4" applyAlignment="1" pivotButton="0" quotePrefix="0" xfId="0">
      <alignment horizontal="left" indent="1"/>
    </xf>
    <xf numFmtId="0" fontId="3" fillId="2" borderId="5" applyAlignment="1" pivotButton="0" quotePrefix="0" xfId="0">
      <alignment horizontal="left" indent="1"/>
    </xf>
    <xf numFmtId="0" fontId="3" fillId="2" borderId="0" applyAlignment="1" pivotButton="0" quotePrefix="0" xfId="0">
      <alignment horizontal="left" indent="1"/>
    </xf>
    <xf numFmtId="0" fontId="3" fillId="2" borderId="8" applyAlignment="1" pivotButton="0" quotePrefix="0" xfId="0">
      <alignment horizontal="left" indent="1"/>
    </xf>
    <xf numFmtId="164" fontId="5" fillId="9" borderId="5" applyAlignment="1" pivotButton="0" quotePrefix="0" xfId="0">
      <alignment horizontal="center"/>
    </xf>
    <xf numFmtId="164" fontId="5" fillId="10" borderId="5" applyAlignment="1" pivotButton="0" quotePrefix="0" xfId="0">
      <alignment horizontal="center"/>
    </xf>
    <xf numFmtId="164" fontId="5" fillId="11" borderId="5" applyAlignment="1" pivotButton="0" quotePrefix="0" xfId="0">
      <alignment horizontal="center"/>
    </xf>
    <xf numFmtId="0" fontId="10" fillId="0" borderId="0" applyAlignment="1" pivotButton="0" quotePrefix="0" xfId="0">
      <alignment horizontal="left" indent="1"/>
    </xf>
    <xf numFmtId="0" fontId="12" fillId="0" borderId="4" applyAlignment="1" pivotButton="0" quotePrefix="0" xfId="0">
      <alignment horizontal="left" indent="1"/>
    </xf>
    <xf numFmtId="0" fontId="10" fillId="0" borderId="5" applyAlignment="1" pivotButton="0" quotePrefix="0" xfId="0">
      <alignment horizontal="left" indent="1"/>
    </xf>
    <xf numFmtId="166" fontId="12" fillId="10" borderId="5" applyAlignment="1" pivotButton="0" quotePrefix="0" xfId="0">
      <alignment horizontal="left" indent="1"/>
    </xf>
    <xf numFmtId="0" fontId="7" fillId="0" borderId="9" applyAlignment="1" pivotButton="0" quotePrefix="0" xfId="0">
      <alignment horizontal="left" vertical="center" indent="1"/>
    </xf>
    <xf numFmtId="0" fontId="10" fillId="0" borderId="10" applyAlignment="1" pivotButton="0" quotePrefix="0" xfId="0">
      <alignment horizontal="left" vertical="center" indent="1"/>
    </xf>
    <xf numFmtId="167" fontId="12" fillId="0" borderId="10" applyAlignment="1" pivotButton="0" quotePrefix="0" xfId="0">
      <alignment horizontal="center" vertical="center"/>
    </xf>
    <xf numFmtId="0" fontId="13" fillId="12" borderId="11" applyAlignment="1" pivotButton="0" quotePrefix="0" xfId="0">
      <alignment horizontal="left" vertical="center" indent="1"/>
    </xf>
    <xf numFmtId="0" fontId="13" fillId="12" borderId="12" applyAlignment="1" pivotButton="0" quotePrefix="0" xfId="0">
      <alignment horizontal="left" vertical="center" indent="1"/>
    </xf>
    <xf numFmtId="0" fontId="13" fillId="12" borderId="13" applyAlignment="1" pivotButton="0" quotePrefix="0" xfId="0">
      <alignment horizontal="left" vertical="center" indent="1"/>
    </xf>
    <xf numFmtId="0" fontId="13" fillId="12" borderId="0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left" indent="1"/>
    </xf>
    <xf numFmtId="168" fontId="8" fillId="0" borderId="15" applyAlignment="1" pivotButton="0" quotePrefix="0" xfId="0">
      <alignment horizontal="left" indent="1"/>
    </xf>
    <xf numFmtId="167" fontId="12" fillId="0" borderId="16" applyAlignment="1" pivotButton="0" quotePrefix="0" xfId="0">
      <alignment horizontal="left" indent="1"/>
    </xf>
    <xf numFmtId="0" fontId="14" fillId="0" borderId="17" applyAlignment="1" pivotButton="0" quotePrefix="0" xfId="0">
      <alignment horizontal="left" indent="1"/>
    </xf>
    <xf numFmtId="0" fontId="14" fillId="0" borderId="18" applyAlignment="1" pivotButton="0" quotePrefix="0" xfId="0">
      <alignment horizontal="left" indent="1"/>
    </xf>
    <xf numFmtId="164" fontId="15" fillId="13" borderId="19" applyAlignment="1" pivotButton="0" quotePrefix="0" xfId="0">
      <alignment horizontal="left" indent="1"/>
    </xf>
    <xf numFmtId="0" fontId="10" fillId="0" borderId="20" applyAlignment="1" pivotButton="0" quotePrefix="0" xfId="0">
      <alignment horizontal="left" indent="1"/>
    </xf>
    <xf numFmtId="0" fontId="16" fillId="0" borderId="0" applyAlignment="1" pivotButton="0" quotePrefix="0" xfId="0">
      <alignment wrapText="1"/>
    </xf>
    <xf numFmtId="0" fontId="16" fillId="0" borderId="0" pivotButton="0" quotePrefix="0" xfId="0"/>
    <xf numFmtId="0" fontId="17" fillId="2" borderId="21" pivotButton="0" quotePrefix="0" xfId="0"/>
    <xf numFmtId="0" fontId="17" fillId="2" borderId="0" pivotButton="0" quotePrefix="0" xfId="0"/>
    <xf numFmtId="0" fontId="18" fillId="0" borderId="5" pivotButton="0" quotePrefix="0" xfId="0"/>
    <xf numFmtId="0" fontId="9" fillId="0" borderId="5" pivotButton="0" quotePrefix="0" xfId="0"/>
    <xf numFmtId="169" fontId="19" fillId="0" borderId="5" applyAlignment="1" pivotButton="0" quotePrefix="0" xfId="0">
      <alignment horizontal="center"/>
    </xf>
    <xf numFmtId="0" fontId="20" fillId="0" borderId="5" pivotButton="0" quotePrefix="0" xfId="0"/>
    <xf numFmtId="169" fontId="21" fillId="11" borderId="5" applyAlignment="1" pivotButton="0" quotePrefix="0" xfId="0">
      <alignment horizontal="center"/>
    </xf>
    <xf numFmtId="0" fontId="17" fillId="14" borderId="22" pivotButton="0" quotePrefix="0" xfId="0"/>
    <xf numFmtId="0" fontId="17" fillId="14" borderId="23" pivotButton="0" quotePrefix="0" xfId="0"/>
    <xf numFmtId="0" fontId="22" fillId="15" borderId="4" pivotButton="0" quotePrefix="0" xfId="0"/>
    <xf numFmtId="0" fontId="22" fillId="15" borderId="5" applyAlignment="1" pivotButton="0" quotePrefix="0" xfId="0">
      <alignment horizontal="center"/>
    </xf>
    <xf numFmtId="0" fontId="22" fillId="15" borderId="24" applyAlignment="1" pivotButton="0" quotePrefix="0" xfId="0">
      <alignment horizontal="center"/>
    </xf>
    <xf numFmtId="0" fontId="23" fillId="16" borderId="4" pivotButton="0" quotePrefix="0" xfId="0"/>
    <xf numFmtId="0" fontId="9" fillId="16" borderId="5" pivotButton="0" quotePrefix="0" xfId="0"/>
    <xf numFmtId="0" fontId="22" fillId="16" borderId="5" applyAlignment="1" pivotButton="0" quotePrefix="0" xfId="0">
      <alignment horizontal="center"/>
    </xf>
    <xf numFmtId="164" fontId="9" fillId="16" borderId="24" applyAlignment="1" pivotButton="0" quotePrefix="0" xfId="0">
      <alignment horizontal="center"/>
    </xf>
    <xf numFmtId="0" fontId="23" fillId="9" borderId="4" pivotButton="0" quotePrefix="0" xfId="0"/>
    <xf numFmtId="0" fontId="23" fillId="9" borderId="5" pivotButton="0" quotePrefix="0" xfId="0"/>
    <xf numFmtId="0" fontId="24" fillId="9" borderId="5" applyAlignment="1" pivotButton="0" quotePrefix="0" xfId="0">
      <alignment horizontal="center"/>
    </xf>
    <xf numFmtId="164" fontId="23" fillId="9" borderId="24" applyAlignment="1" pivotButton="0" quotePrefix="0" xfId="0">
      <alignment horizontal="center"/>
    </xf>
    <xf numFmtId="0" fontId="25" fillId="17" borderId="4" pivotButton="0" quotePrefix="0" xfId="0"/>
    <xf numFmtId="0" fontId="9" fillId="17" borderId="5" pivotButton="0" quotePrefix="0" xfId="0"/>
    <xf numFmtId="0" fontId="22" fillId="17" borderId="5" applyAlignment="1" pivotButton="0" quotePrefix="0" xfId="0">
      <alignment horizontal="center"/>
    </xf>
    <xf numFmtId="164" fontId="9" fillId="17" borderId="24" applyAlignment="1" pivotButton="0" quotePrefix="0" xfId="0">
      <alignment horizontal="center"/>
    </xf>
    <xf numFmtId="0" fontId="26" fillId="18" borderId="4" pivotButton="0" quotePrefix="0" xfId="0"/>
    <xf numFmtId="0" fontId="9" fillId="18" borderId="5" pivotButton="0" quotePrefix="0" xfId="0"/>
    <xf numFmtId="0" fontId="19" fillId="18" borderId="5" applyAlignment="1" pivotButton="0" quotePrefix="0" xfId="0">
      <alignment horizontal="center"/>
    </xf>
    <xf numFmtId="164" fontId="26" fillId="18" borderId="24" applyAlignment="1" pivotButton="0" quotePrefix="0" xfId="0">
      <alignment horizontal="center"/>
    </xf>
    <xf numFmtId="0" fontId="26" fillId="19" borderId="4" pivotButton="0" quotePrefix="0" xfId="0"/>
    <xf numFmtId="0" fontId="9" fillId="19" borderId="5" pivotButton="0" quotePrefix="0" xfId="0"/>
    <xf numFmtId="0" fontId="19" fillId="19" borderId="5" applyAlignment="1" pivotButton="0" quotePrefix="0" xfId="0">
      <alignment horizontal="center"/>
    </xf>
    <xf numFmtId="164" fontId="26" fillId="19" borderId="24" applyAlignment="1" pivotButton="0" quotePrefix="0" xfId="0">
      <alignment horizontal="center"/>
    </xf>
    <xf numFmtId="0" fontId="19" fillId="20" borderId="25" pivotButton="0" quotePrefix="0" xfId="0"/>
    <xf numFmtId="0" fontId="22" fillId="20" borderId="26" pivotButton="0" quotePrefix="0" xfId="0"/>
    <xf numFmtId="0" fontId="19" fillId="20" borderId="26" applyAlignment="1" pivotButton="0" quotePrefix="0" xfId="0">
      <alignment horizontal="center"/>
    </xf>
    <xf numFmtId="164" fontId="19" fillId="20" borderId="27" applyAlignment="1" pivotButton="0" quotePrefix="0" xfId="0">
      <alignment horizontal="center"/>
    </xf>
    <xf numFmtId="0" fontId="27" fillId="0" borderId="0" applyAlignment="1" pivotButton="0" quotePrefix="0" xfId="0">
      <alignment wrapText="1"/>
    </xf>
    <xf numFmtId="0" fontId="27" fillId="0" borderId="0" pivotButton="0" quotePrefix="0" xfId="0"/>
    <xf numFmtId="0" fontId="28" fillId="3" borderId="0" pivotButton="0" quotePrefix="0" xfId="0"/>
    <xf numFmtId="0" fontId="29" fillId="21" borderId="0" applyAlignment="1" pivotButton="0" quotePrefix="0" xfId="0">
      <alignment wrapText="1"/>
    </xf>
    <xf numFmtId="0" fontId="30" fillId="21" borderId="0" applyAlignment="1" pivotButton="0" quotePrefix="0" xfId="0">
      <alignment horizontal="left" vertical="center" wrapText="1"/>
    </xf>
    <xf numFmtId="0" fontId="29" fillId="22" borderId="0" applyAlignment="1" pivotButton="0" quotePrefix="0" xfId="0">
      <alignment wrapText="1"/>
    </xf>
    <xf numFmtId="0" fontId="31" fillId="16" borderId="0" applyAlignment="1" pivotButton="0" quotePrefix="0" xfId="0">
      <alignment wrapText="1"/>
    </xf>
    <xf numFmtId="0" fontId="28" fillId="3" borderId="0" applyAlignment="1" pivotButton="0" quotePrefix="0" xfId="0">
      <alignment wrapText="1"/>
    </xf>
    <xf numFmtId="0" fontId="32" fillId="1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6">
    <tabColor rgb="FF1F3864"/>
    <outlinePr summaryBelow="1" summaryRight="1"/>
    <pageSetUpPr/>
  </sheetPr>
  <dimension ref="A1:K75"/>
  <sheetViews>
    <sheetView workbookViewId="0">
      <selection activeCell="A1" sqref="A1"/>
    </sheetView>
  </sheetViews>
  <sheetFormatPr baseColWidth="10" defaultRowHeight="16"/>
  <cols>
    <col width="53" customWidth="1" min="2" max="2"/>
    <col width="29.1640625" customWidth="1" min="3" max="3"/>
    <col width="15" customWidth="1" min="4" max="4"/>
    <col width="17.5" customWidth="1" min="5" max="5"/>
    <col width="20.5" customWidth="1" min="6" max="6"/>
    <col width="18.33203125" customWidth="1" min="7" max="7"/>
    <col width="21.6640625" customWidth="1" min="8" max="8"/>
    <col width="33.33203125" customWidth="1" min="9" max="9"/>
    <col width="20" customWidth="1" min="10" max="10"/>
    <col width="3.33203125" customWidth="1" min="11" max="11"/>
  </cols>
  <sheetData>
    <row r="1" ht="34" customHeight="1"/>
    <row r="2" ht="27" customHeight="1">
      <c r="B2" s="1" t="inlineStr">
        <is>
          <t>💰 CASH CONVERSION CYCLE — Founder's Cash Flow Impact Tool</t>
        </is>
      </c>
      <c r="C2" s="1" t="n"/>
      <c r="D2" s="1" t="n"/>
      <c r="E2" s="1" t="n"/>
      <c r="F2" s="1" t="n"/>
      <c r="G2" s="1" t="n"/>
    </row>
    <row r="3" ht="27" customHeight="1">
      <c r="B3" s="2" t="inlineStr">
        <is>
          <t>See exactly how your payment decisions trap or free cash — change any yellow cell to explore the impact.</t>
        </is>
      </c>
      <c r="C3" s="2" t="n"/>
      <c r="D3" s="2" t="n"/>
      <c r="E3" s="2" t="n"/>
      <c r="F3" s="2" t="n"/>
      <c r="G3" s="2" t="n"/>
    </row>
    <row r="4" ht="18" customHeight="1"/>
    <row r="5" ht="27" customHeight="1">
      <c r="B5" s="3" t="inlineStr">
        <is>
          <t>📋 YOUR BUSINESS BASICS</t>
        </is>
      </c>
      <c r="C5" s="4" t="n"/>
      <c r="D5" s="4" t="n"/>
      <c r="E5" s="4" t="n"/>
      <c r="F5" s="4" t="n"/>
      <c r="G5" s="4" t="n"/>
    </row>
    <row r="6" ht="27" customHeight="1">
      <c r="B6" s="5" t="inlineStr">
        <is>
          <t>Annual Revenue ($)</t>
        </is>
      </c>
      <c r="C6" s="6" t="n">
        <v>15000000</v>
      </c>
    </row>
    <row r="7" ht="27" customHeight="1">
      <c r="B7" s="5" t="inlineStr">
        <is>
          <t>Annual COGS ($)  [cost of goods sold]</t>
        </is>
      </c>
      <c r="C7" s="6">
        <f>+C6*0.75</f>
        <v/>
      </c>
    </row>
    <row r="8" ht="27" customHeight="1">
      <c r="B8" s="7" t="inlineStr">
        <is>
          <t>→ Daily Revenue</t>
        </is>
      </c>
      <c r="C8" s="8">
        <f>C6/365</f>
        <v/>
      </c>
    </row>
    <row r="9" ht="27" customHeight="1">
      <c r="B9" s="7" t="inlineStr">
        <is>
          <t>→ Daily COGS</t>
        </is>
      </c>
      <c r="C9" s="8">
        <f>C7/365</f>
        <v/>
      </c>
    </row>
    <row r="10" ht="13" customHeight="1">
      <c r="B10" s="9" t="n"/>
    </row>
    <row r="11" ht="43" customHeight="1">
      <c r="B11" s="10" t="inlineStr">
        <is>
          <t>⚙️ SCENARIO INPUTS — Days</t>
        </is>
      </c>
      <c r="C11" s="11" t="inlineStr">
        <is>
          <t>Scenario A
(Current)</t>
        </is>
      </c>
      <c r="D11" s="12" t="inlineStr">
        <is>
          <t>Scenario B
(What If?)</t>
        </is>
      </c>
      <c r="E11" s="13" t="inlineStr">
        <is>
          <t>Difference</t>
        </is>
      </c>
      <c r="F11" s="14" t="inlineStr">
        <is>
          <t>Driver</t>
        </is>
      </c>
      <c r="G11" s="14" t="inlineStr">
        <is>
          <t>Cash Impact ($)</t>
        </is>
      </c>
    </row>
    <row r="12" ht="27" customHeight="1">
      <c r="B12" s="15" t="inlineStr">
        <is>
          <t>DSO — Days customers take to pay you</t>
        </is>
      </c>
      <c r="C12" s="16" t="n">
        <v>40</v>
      </c>
      <c r="D12" s="16" t="n">
        <v>40</v>
      </c>
      <c r="E12" s="17">
        <f>D12-C12</f>
        <v/>
      </c>
      <c r="F12" s="18" t="inlineStr">
        <is>
          <t>DSO (collect faster)</t>
        </is>
      </c>
      <c r="G12" s="19">
        <f>(C12-D12)*C8</f>
        <v/>
      </c>
    </row>
    <row r="13" ht="27" customHeight="1">
      <c r="B13" s="15" t="inlineStr">
        <is>
          <t>DIO — Days inventory sits before sold</t>
        </is>
      </c>
      <c r="C13" s="16" t="n">
        <v>50</v>
      </c>
      <c r="D13" s="16" t="n">
        <v>50</v>
      </c>
      <c r="E13" s="17">
        <f>D13-C13</f>
        <v/>
      </c>
      <c r="F13" s="18" t="inlineStr">
        <is>
          <t>DIO (lean inventory)</t>
        </is>
      </c>
      <c r="G13" s="19">
        <f>(C13-D13)*C9</f>
        <v/>
      </c>
    </row>
    <row r="14" ht="27" customHeight="1">
      <c r="B14" s="15" t="inlineStr">
        <is>
          <t>DPO — Days you take to pay suppliers</t>
        </is>
      </c>
      <c r="C14" s="16" t="n">
        <v>30</v>
      </c>
      <c r="D14" s="16" t="n">
        <v>30</v>
      </c>
      <c r="E14" s="17">
        <f>D14-C14</f>
        <v/>
      </c>
      <c r="F14" s="18" t="inlineStr">
        <is>
          <t>DPO (stretch payables)</t>
        </is>
      </c>
      <c r="G14" s="20">
        <f>(D14-C14)*C9</f>
        <v/>
      </c>
    </row>
    <row r="15" ht="27" customHeight="1">
      <c r="B15" s="21" t="n"/>
      <c r="C15" s="22" t="n"/>
      <c r="D15" s="22" t="n"/>
      <c r="E15" s="22" t="n"/>
      <c r="F15" s="23" t="inlineStr">
        <is>
          <t>NET CASH FREED</t>
        </is>
      </c>
      <c r="G15" s="24">
        <f>G12+G13+G14</f>
        <v/>
      </c>
    </row>
    <row r="16" ht="27" customHeight="1">
      <c r="B16" s="25" t="inlineStr">
        <is>
          <t>📊 CASH CONVERSION CYCLE (CCC = DSO + DIO − DPO)</t>
        </is>
      </c>
      <c r="C16" s="26" t="n"/>
      <c r="D16" s="26" t="n"/>
      <c r="E16" s="26" t="n"/>
      <c r="F16" s="27" t="n"/>
      <c r="G16" s="28" t="n"/>
    </row>
    <row r="17" ht="27" customHeight="1">
      <c r="B17" s="29" t="inlineStr">
        <is>
          <t>Days Sales Outstanding (DSO)</t>
        </is>
      </c>
      <c r="C17" s="30">
        <f>C12</f>
        <v/>
      </c>
      <c r="D17" s="30">
        <f>D12</f>
        <v/>
      </c>
      <c r="E17" s="31">
        <f>D17-C17</f>
        <v/>
      </c>
    </row>
    <row r="18" ht="27" customHeight="1">
      <c r="B18" s="32" t="inlineStr">
        <is>
          <t>Days Inventory Outstanding (DIO)</t>
        </is>
      </c>
      <c r="C18" s="30">
        <f>C13</f>
        <v/>
      </c>
      <c r="D18" s="30">
        <f>D13</f>
        <v/>
      </c>
      <c r="E18" s="31">
        <f>D18-C18</f>
        <v/>
      </c>
    </row>
    <row r="19" ht="27" customHeight="1">
      <c r="B19" s="32" t="inlineStr">
        <is>
          <t>Days Payable Outstanding (DPO)</t>
        </is>
      </c>
      <c r="C19" s="30">
        <f>+C14</f>
        <v/>
      </c>
      <c r="D19" s="30">
        <f>D14</f>
        <v/>
      </c>
      <c r="E19" s="31">
        <f>D19-C19</f>
        <v/>
      </c>
    </row>
    <row r="20" ht="27" customHeight="1">
      <c r="B20" s="15" t="inlineStr">
        <is>
          <t>⟹  Cash Conversion Cycle (days)</t>
        </is>
      </c>
      <c r="C20" s="33">
        <f>C17+C18-C19</f>
        <v/>
      </c>
      <c r="D20" s="34">
        <f>D17+D18-D19</f>
        <v/>
      </c>
      <c r="E20" s="35">
        <f>D20-C20</f>
        <v/>
      </c>
    </row>
    <row r="21" ht="27" customHeight="1">
      <c r="B21" s="9" t="n"/>
    </row>
    <row r="22" ht="27" customHeight="1">
      <c r="B22" s="36" t="inlineStr">
        <is>
          <t>💸 THE REAL DOLLAR IMPACT ON YOUR CASH</t>
        </is>
      </c>
      <c r="C22" s="37" t="n"/>
      <c r="D22" s="37" t="n"/>
      <c r="E22" s="37" t="n"/>
      <c r="F22" s="38" t="n"/>
      <c r="G22" s="39" t="n"/>
    </row>
    <row r="23" ht="27" customHeight="1">
      <c r="B23" s="15" t="inlineStr">
        <is>
          <t>Cash Tied Up in Operations (CCC × Daily COGS)</t>
        </is>
      </c>
      <c r="C23" s="40">
        <f>C20*C9</f>
        <v/>
      </c>
      <c r="D23" s="41">
        <f>D20*C9</f>
        <v/>
      </c>
      <c r="E23" s="42">
        <f>C23-D23</f>
        <v/>
      </c>
      <c r="F23" s="43" t="n"/>
      <c r="G23" s="43" t="n"/>
    </row>
    <row r="24" ht="27" customHeight="1">
      <c r="B24" s="44" t="inlineStr">
        <is>
          <t>One-Time Cash Released / (Required) when switching A → B</t>
        </is>
      </c>
      <c r="C24" s="45" t="n"/>
      <c r="D24" s="45" t="n"/>
      <c r="E24" s="46">
        <f>E23</f>
        <v/>
      </c>
      <c r="F24" s="43" t="n"/>
      <c r="G24" s="43" t="n"/>
    </row>
    <row r="25" ht="27" customHeight="1">
      <c r="B25" s="47" t="inlineStr">
        <is>
          <t>That's equivalent to this many months of runway freed</t>
        </is>
      </c>
      <c r="C25" s="48" t="n"/>
      <c r="D25" s="48" t="n"/>
      <c r="E25" s="49">
        <f>E23/(C7/12)</f>
        <v/>
      </c>
    </row>
    <row r="26" ht="27" customHeight="1">
      <c r="B26" s="50" t="inlineStr">
        <is>
          <t>💡 SALES EQUIVALENT — What Would It Take to Earn This in New Revenue?</t>
        </is>
      </c>
      <c r="C26" s="51" t="n"/>
      <c r="D26" s="51" t="n"/>
      <c r="E26" s="52" t="n"/>
      <c r="F26" s="53" t="n"/>
      <c r="G26" s="53" t="n"/>
    </row>
    <row r="27" ht="27" customHeight="1">
      <c r="B27" s="54" t="inlineStr">
        <is>
          <t>Gross Margin %  (Revenue − COGS)</t>
        </is>
      </c>
      <c r="C27" s="55">
        <f>(C6-C7)/C6</f>
        <v/>
      </c>
      <c r="D27" s="55">
        <f>(C6-C7)/C6</f>
        <v/>
      </c>
      <c r="E27" s="56" t="n"/>
      <c r="F27" s="43" t="n"/>
      <c r="G27" s="43" t="n"/>
    </row>
    <row r="28" ht="27" customHeight="1">
      <c r="B28" s="57" t="inlineStr">
        <is>
          <t>⭐ NEW SALES needed to equal this cash saving</t>
        </is>
      </c>
      <c r="C28" s="58" t="n"/>
      <c r="D28" s="58" t="n"/>
      <c r="E28" s="59">
        <f>IF(C27=0,"Enter COGS",E23/C27)</f>
        <v/>
      </c>
      <c r="F28" s="60" t="n"/>
      <c r="G28" s="60" t="n"/>
    </row>
    <row r="29" ht="27" customHeight="1">
      <c r="B29" s="61" t="inlineStr">
        <is>
          <t>Optimizing your CCC terms saves you the equivalent of winning this much in NEW sales — with zero cost of sales, zero marketing spend, zero new customers.</t>
        </is>
      </c>
      <c r="C29" s="62" t="n"/>
      <c r="D29" s="62" t="n"/>
      <c r="E29" s="62" t="n"/>
      <c r="F29" s="62" t="n"/>
      <c r="G29" s="62" t="n"/>
    </row>
    <row r="30" ht="27" customHeight="1">
      <c r="B30" s="63" t="inlineStr">
        <is>
          <t>💡 DECISION BREAKDOWN — What's Actually Happening</t>
        </is>
      </c>
      <c r="C30" s="63" t="n"/>
      <c r="D30" s="63" t="n"/>
      <c r="E30" s="63" t="n"/>
      <c r="F30" s="64" t="n"/>
      <c r="G30" s="64" t="n"/>
    </row>
    <row r="31" ht="27" customHeight="1">
      <c r="B31" s="65" t="inlineStr">
        <is>
          <t>DSO Impact: cash freed by collecting faster (or cost of being slow)</t>
        </is>
      </c>
      <c r="C31" s="66" t="n"/>
      <c r="D31" s="66" t="n"/>
      <c r="E31" s="67">
        <f>(C12-D12)*C8</f>
        <v/>
      </c>
    </row>
    <row r="32" ht="27" customHeight="1">
      <c r="B32" s="65" t="inlineStr">
        <is>
          <t>DIO Impact: cash freed by leaner inventory (or cost of overstocking)</t>
        </is>
      </c>
      <c r="C32" s="66" t="n"/>
      <c r="D32" s="66" t="n"/>
      <c r="E32" s="67">
        <f>(C13-D13)*C9</f>
        <v/>
      </c>
    </row>
    <row r="33" ht="27" customHeight="1">
      <c r="B33" s="65" t="inlineStr">
        <is>
          <t>DPO Impact: cash freed by stretching payables (or cost of paying early)</t>
        </is>
      </c>
      <c r="C33" s="66" t="n"/>
      <c r="D33" s="66" t="n"/>
      <c r="E33" s="67">
        <f>(D14-C14)*C9</f>
        <v/>
      </c>
    </row>
    <row r="34" ht="27" customHeight="1">
      <c r="B34" s="68" t="inlineStr">
        <is>
          <t>⟹  NET CASH IMPACT (should match above)</t>
        </is>
      </c>
      <c r="C34" s="66" t="n"/>
      <c r="D34" s="66" t="n"/>
      <c r="E34" s="69">
        <f>E31+E32+E33</f>
        <v/>
      </c>
    </row>
    <row r="35" ht="17" customHeight="1"/>
    <row r="36" ht="22" customHeight="1">
      <c r="B36" s="70" t="inlineStr">
        <is>
          <t>🪦 REAL-WORLD EXAMPLES (tap in your own numbers above)</t>
        </is>
      </c>
      <c r="C36" s="71" t="n"/>
      <c r="D36" s="71" t="n"/>
      <c r="E36" s="71" t="n"/>
      <c r="F36" s="71" t="n"/>
      <c r="G36" s="71" t="n"/>
    </row>
    <row r="37">
      <c r="B37" s="72" t="inlineStr">
        <is>
          <t>Scenario</t>
        </is>
      </c>
      <c r="C37" s="73" t="inlineStr">
        <is>
          <t>DSO</t>
        </is>
      </c>
      <c r="D37" s="73" t="inlineStr">
        <is>
          <t>DIO</t>
        </is>
      </c>
      <c r="E37" s="73" t="inlineStr">
        <is>
          <t>DPO</t>
        </is>
      </c>
      <c r="F37" s="73" t="inlineStr">
        <is>
          <t>CCC</t>
        </is>
      </c>
      <c r="G37" s="74" t="inlineStr">
        <is>
          <t>Cash Tied Up*</t>
        </is>
      </c>
    </row>
    <row r="38">
      <c r="B38" s="75" t="inlineStr">
        <is>
          <t>Cash-in-advance (worst case)</t>
        </is>
      </c>
      <c r="C38" s="76" t="n">
        <v>0</v>
      </c>
      <c r="D38" s="76" t="n">
        <v>45</v>
      </c>
      <c r="E38" s="76" t="n">
        <v>0</v>
      </c>
      <c r="F38" s="77">
        <f>C38+D38-E38</f>
        <v/>
      </c>
      <c r="G38" s="78">
        <f>F38*$C$9</f>
        <v/>
      </c>
    </row>
    <row r="39">
      <c r="B39" s="79" t="inlineStr">
        <is>
          <t>Customer on Net 60, you pay COD</t>
        </is>
      </c>
      <c r="C39" s="80" t="n">
        <v>60</v>
      </c>
      <c r="D39" s="80" t="n">
        <v>45</v>
      </c>
      <c r="E39" s="80" t="n">
        <v>0</v>
      </c>
      <c r="F39" s="81">
        <f>C39+D39-E39</f>
        <v/>
      </c>
      <c r="G39" s="82">
        <f>F39*$C$9</f>
        <v/>
      </c>
    </row>
    <row r="40">
      <c r="B40" s="83" t="inlineStr">
        <is>
          <t>Net 30 terms both sides (balanced)</t>
        </is>
      </c>
      <c r="C40" s="84" t="n">
        <v>30</v>
      </c>
      <c r="D40" s="84" t="n">
        <v>45</v>
      </c>
      <c r="E40" s="84" t="n">
        <v>30</v>
      </c>
      <c r="F40" s="85">
        <f>C40+D40-E40</f>
        <v/>
      </c>
      <c r="G40" s="86">
        <f>F40*$C$9</f>
        <v/>
      </c>
    </row>
    <row r="41">
      <c r="B41" s="87" t="inlineStr">
        <is>
          <t>Net 30 in, Net 45 out (slightly better)</t>
        </is>
      </c>
      <c r="C41" s="88" t="n">
        <v>30</v>
      </c>
      <c r="D41" s="88" t="n">
        <v>45</v>
      </c>
      <c r="E41" s="88" t="n">
        <v>45</v>
      </c>
      <c r="F41" s="89">
        <f>C41+D41-E41</f>
        <v/>
      </c>
      <c r="G41" s="90">
        <f>F41*$C$9</f>
        <v/>
      </c>
    </row>
    <row r="42">
      <c r="B42" s="91" t="inlineStr">
        <is>
          <t>Net 30 in, Net 60 out (strong)</t>
        </is>
      </c>
      <c r="C42" s="92" t="n">
        <v>30</v>
      </c>
      <c r="D42" s="92" t="n">
        <v>45</v>
      </c>
      <c r="E42" s="92" t="n">
        <v>60</v>
      </c>
      <c r="F42" s="93">
        <f>C42+D42-E42</f>
        <v/>
      </c>
      <c r="G42" s="94">
        <f>F42*$C$9</f>
        <v/>
      </c>
    </row>
    <row r="43" ht="17" customHeight="1">
      <c r="B43" s="95" t="inlineStr">
        <is>
          <t>Negative CCC (retail giant model)</t>
        </is>
      </c>
      <c r="C43" s="96" t="n">
        <v>14</v>
      </c>
      <c r="D43" s="96" t="n">
        <v>21</v>
      </c>
      <c r="E43" s="96" t="n">
        <v>45</v>
      </c>
      <c r="F43" s="97">
        <f>C43+D43-E43</f>
        <v/>
      </c>
      <c r="G43" s="98">
        <f>F43*$C$9</f>
        <v/>
      </c>
    </row>
    <row r="44" ht="28" customHeight="1">
      <c r="B44" s="99" t="inlineStr">
        <is>
          <t>*Sales Equiv = Cash Tied Up ÷ Gross Margin. Shows how much NEW revenue you'd need to generate the same cash as each CCC improvement. Updates with your numbers above.</t>
        </is>
      </c>
      <c r="C44" s="100" t="n"/>
      <c r="D44" s="100" t="n"/>
      <c r="E44" s="100" t="n"/>
      <c r="F44" s="100" t="n"/>
      <c r="G44" s="100" t="n"/>
    </row>
    <row r="45" ht="32" customHeight="1">
      <c r="B45" s="101" t="inlineStr">
        <is>
          <t>💳 REDUCE DSO — Get Paid Faster</t>
        </is>
      </c>
    </row>
    <row r="46" ht="38" customHeight="1">
      <c r="B46" s="102" t="inlineStr">
        <is>
          <t>Offer early-pay discounts (2/10 Net 30)</t>
        </is>
      </c>
      <c r="C46" s="103" t="inlineStr">
        <is>
          <t>2% discount if paid in 10 days. For a buyer on thin margins, this is compelling. You trade 2% to get cash 20 days sooner.</t>
        </is>
      </c>
    </row>
    <row r="47" ht="38" customHeight="1">
      <c r="B47" s="104" t="inlineStr">
        <is>
          <t>Invoice the moment product ships</t>
        </is>
      </c>
      <c r="C47" s="103" t="inlineStr">
        <is>
          <t>Every day of delay in sending the invoice is a free day of credit you never agreed to. Automate with your 3PL or ERP.</t>
        </is>
      </c>
    </row>
    <row r="48" ht="38" customHeight="1">
      <c r="B48" s="102" t="inlineStr">
        <is>
          <t>Require ACH/wire, not check</t>
        </is>
      </c>
      <c r="C48" s="103" t="inlineStr">
        <is>
          <t>Paper checks add 5–10 days of float in transit and clearing. ACH eliminates this entirely at near-zero cost.</t>
        </is>
      </c>
    </row>
    <row r="49" ht="38" customHeight="1">
      <c r="B49" s="104" t="inlineStr">
        <is>
          <t>Use receivables financing for large retail AR</t>
        </is>
      </c>
      <c r="C49" s="103" t="inlineStr">
        <is>
          <t>Retailers like Whole Foods / Target pay in 60–90 days. Invoice factoring or PO financing converts that AR to cash at 1–3% cost.</t>
        </is>
      </c>
    </row>
    <row r="50" ht="38" customHeight="1">
      <c r="B50" s="102" t="inlineStr">
        <is>
          <t>Escalate overdue invoices on Day 31, not Day 61</t>
        </is>
      </c>
      <c r="C50" s="103" t="inlineStr">
        <is>
          <t>Build a 30-day follow-up cadence: email Day 28, call Day 31, escalate to leadership by Day 45. Silence signals you don’t need the cash.</t>
        </is>
      </c>
    </row>
    <row r="51" ht="18" customHeight="1">
      <c r="B51" s="105" t="inlineStr">
        <is>
          <t>⚠️  Target: DSO under 35 days for wholesale. DTC should be near 0 (card-on-file).</t>
        </is>
      </c>
    </row>
    <row r="52" ht="20" customHeight="1">
      <c r="B52" s="106" t="inlineStr">
        <is>
          <t>📦 REDUCE DIO — Move Inventory Faster</t>
        </is>
      </c>
    </row>
    <row r="53" ht="38" customHeight="1">
      <c r="B53" s="102" t="inlineStr">
        <is>
          <t>Calculate sell-through rate before reordering</t>
        </is>
      </c>
      <c r="C53" s="103" t="inlineStr">
        <is>
          <t>Units sold ÷ units received = sell-through %. Order only when &gt; 70% sold. Ordering too early is the #1 cause of excess DIO.</t>
        </is>
      </c>
    </row>
    <row r="54" ht="38" customHeight="1">
      <c r="B54" s="104" t="inlineStr">
        <is>
          <t>Rationalize slow SKUs before they pile up</t>
        </is>
      </c>
      <c r="C54" s="103" t="inlineStr">
        <is>
          <t>A SKU with DIO &gt; 90 days is costing you cash AND storage. Use the SKU Rationalization tab to identify and cut dead weight.</t>
        </is>
      </c>
    </row>
    <row r="55" ht="38" customHeight="1">
      <c r="B55" s="102" t="inlineStr">
        <is>
          <t>Shift to make-to-order for eComm where possible</t>
        </is>
      </c>
      <c r="C55" s="103" t="inlineStr">
        <is>
          <t>DTC/Shopify orders can sometimes be fulfilled from smaller batch runs. Lean production beats carrying 90 days of finished goods.</t>
        </is>
      </c>
    </row>
    <row r="56" ht="38" customHeight="1">
      <c r="B56" s="104" t="inlineStr">
        <is>
          <t>Use promotions strategically to clear aging inventory</t>
        </is>
      </c>
      <c r="C56" s="103" t="inlineStr">
        <is>
          <t>A well-timed scan deal or bundle can clear 3–4 months of excess stock in weeks — freeing cash faster than any financing option.</t>
        </is>
      </c>
    </row>
    <row r="57" ht="38" customHeight="1">
      <c r="B57" s="102" t="inlineStr">
        <is>
          <t>Negotiate consignment terms with distributors</t>
        </is>
      </c>
      <c r="C57" s="103" t="inlineStr">
        <is>
          <t>For new SKU launches, push for consignment or scan-based payment so distributor takes the inventory risk, not you.</t>
        </is>
      </c>
    </row>
    <row r="58" ht="18" customHeight="1">
      <c r="B58" s="107" t="inlineStr">
        <is>
          <t>⚠️  Target: DIO under 45 days for perishables; under 60 for shelf-stable CPG. Over 90 days = cash crisis in slow months.</t>
        </is>
      </c>
    </row>
    <row r="59" ht="20" customHeight="1">
      <c r="B59" s="106" t="inlineStr">
        <is>
          <t>🏦 EXTEND DPO — Pay Suppliers Later (Without Burning Bridges)</t>
        </is>
      </c>
    </row>
    <row r="60" ht="38" customHeight="1">
      <c r="B60" s="102" t="inlineStr">
        <is>
          <t>Negotiate Net 60 or Net 90 with your co-man or 3PL</t>
        </is>
      </c>
      <c r="C60" s="103" t="inlineStr">
        <is>
          <t>Most co-manufacturers default to Net 30 but will extend to Net 60 for brands with a consistent order history. Just ask. Frame it as partnership.</t>
        </is>
      </c>
    </row>
    <row r="61" ht="38" customHeight="1">
      <c r="B61" s="104" t="inlineStr">
        <is>
          <t>Use a business credit card with grace period as a float buffer</t>
        </is>
      </c>
      <c r="C61" s="103" t="inlineStr">
        <is>
          <t>A card with 30–55-day grace + 45-day statement cycle = effective Net 75–85 on supplier purchases. Earns points too. Pay in full each cycle.</t>
        </is>
      </c>
    </row>
    <row r="62" ht="38" customHeight="1">
      <c r="B62" s="102" t="inlineStr">
        <is>
          <t>Separate ingredient from packaging POs to stagger due dates</t>
        </is>
      </c>
      <c r="C62" s="103" t="inlineStr">
        <is>
          <t>If you order ingredients and packaging in the same PO, they’re due together. Split them to spread cash outflows across weeks.</t>
        </is>
      </c>
    </row>
    <row r="63" ht="38" customHeight="1">
      <c r="B63" s="104" t="inlineStr">
        <is>
          <t>Time large POs to arrive after your biggest cash-in week</t>
        </is>
      </c>
      <c r="C63" s="103" t="inlineStr">
        <is>
          <t>Align production runs to follow your retailer payment cycle. If Target pays on the 15th, schedule co-man invoices due on the 20th.</t>
        </is>
      </c>
    </row>
    <row r="64" ht="38" customHeight="1">
      <c r="B64" s="102" t="inlineStr">
        <is>
          <t>Don’t extend DPO past your supplier’s patience threshold</t>
        </is>
      </c>
      <c r="C64" s="103" t="inlineStr">
        <is>
          <t>A supplier who loses trust will require prepayment — instantly collapsing your DPO to zero. The relationship is worth more than 15 float days.</t>
        </is>
      </c>
    </row>
    <row r="65" ht="18" customHeight="1">
      <c r="B65" s="107" t="inlineStr">
        <is>
          <t>⚠️  Target: DPO of 45–60 days for emerging brands. Under 30 = giving free credit. Over 90 without agreement = supplier relationship risk.</t>
        </is>
      </c>
    </row>
    <row r="66" ht="8" customHeight="1"/>
    <row r="67" ht="24" customHeight="1"/>
    <row r="68" ht="80" customHeight="1"/>
    <row r="69" ht="8" customHeight="1"/>
    <row r="70" ht="24" customHeight="1"/>
    <row r="71" ht="48" customHeight="1"/>
    <row r="72" ht="48" customHeight="1"/>
    <row r="73" ht="48" customHeight="1"/>
    <row r="74" ht="48" customHeight="1"/>
    <row r="75" ht="48" customHeight="1"/>
  </sheetData>
  <mergeCells count="21">
    <mergeCell ref="C48:F48"/>
    <mergeCell ref="C61:F61"/>
    <mergeCell ref="B59:F59"/>
    <mergeCell ref="C57:F57"/>
    <mergeCell ref="B58:F58"/>
    <mergeCell ref="B52:F52"/>
    <mergeCell ref="C53:F53"/>
    <mergeCell ref="C49:F49"/>
    <mergeCell ref="C62:F62"/>
    <mergeCell ref="C64:F64"/>
    <mergeCell ref="C54:F54"/>
    <mergeCell ref="C63:F63"/>
    <mergeCell ref="C47:F47"/>
    <mergeCell ref="C55:F55"/>
    <mergeCell ref="C50:F50"/>
    <mergeCell ref="B65:F65"/>
    <mergeCell ref="C56:F56"/>
    <mergeCell ref="B51:F51"/>
    <mergeCell ref="C46:F46"/>
    <mergeCell ref="B45:F45"/>
    <mergeCell ref="C60:F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2026-04-23T23:12:38Z</dcterms:created>
  <dcterms:modified xmlns:dcterms="http://purl.org/dc/terms/" xmlns:xsi="http://www.w3.org/2001/XMLSchema-instance" xsi:type="dcterms:W3CDTF">2026-04-23T23:12:38Z</dcterms:modified>
</cp:coreProperties>
</file>