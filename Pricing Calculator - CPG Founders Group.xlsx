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ing Calculator" sheetId="1" state="visible" r:id="rId1"/>
  </sheets>
  <definedNames/>
  <calcPr calcId="124519" fullCalcOnLoad="1"/>
</workbook>
</file>

<file path=xl/styles.xml><?xml version="1.0" encoding="utf-8"?>
<styleSheet xmlns="http://schemas.openxmlformats.org/spreadsheetml/2006/main">
  <numFmts count="3">
    <numFmt numFmtId="164" formatCode="&quot;$&quot;#,##0.00"/>
    <numFmt numFmtId="165" formatCode="_(&quot;$&quot;* #,##0.00_);_(&quot;$&quot;* \(#,##0.00\);_(&quot;$&quot;* &quot;-&quot;??_);_(@_)"/>
    <numFmt numFmtId="166" formatCode="0.0%"/>
  </numFmts>
  <fonts count="27">
    <font>
      <name val="Calibri"/>
      <family val="2"/>
      <color theme="1"/>
      <sz val="11"/>
      <scheme val="minor"/>
    </font>
    <font>
      <name val="Aptos Narrow"/>
      <family val="2"/>
      <b val="1"/>
      <color rgb="FFFFFFFF"/>
      <sz val="22"/>
      <scheme val="minor"/>
    </font>
    <font>
      <name val="Aptos Narrow"/>
      <family val="2"/>
      <color theme="1"/>
      <sz val="12"/>
      <scheme val="minor"/>
    </font>
    <font>
      <name val="Aptos Narrow"/>
      <family val="2"/>
      <i val="1"/>
      <color rgb="FFFFFFFF"/>
      <sz val="13"/>
      <scheme val="minor"/>
    </font>
    <font>
      <name val="Aptos Narrow"/>
      <family val="2"/>
      <b val="1"/>
      <color rgb="FFFFFFFF"/>
      <sz val="14"/>
      <scheme val="minor"/>
    </font>
    <font>
      <name val="Aptos Narrow"/>
      <family val="2"/>
      <color theme="1"/>
      <sz val="13"/>
      <scheme val="minor"/>
    </font>
    <font>
      <name val="Aptos Narrow"/>
      <family val="2"/>
      <b val="1"/>
      <color theme="1"/>
      <sz val="13"/>
      <scheme val="minor"/>
    </font>
    <font>
      <name val="Aptos Narrow"/>
      <family val="2"/>
      <b val="1"/>
      <color rgb="FFFFFFFF"/>
      <sz val="12"/>
      <scheme val="minor"/>
    </font>
    <font>
      <name val="Aptos Narrow"/>
      <family val="2"/>
      <color theme="1"/>
      <sz val="11"/>
      <scheme val="minor"/>
    </font>
    <font>
      <name val="Aptos Narrow"/>
      <family val="2"/>
      <b val="1"/>
      <color rgb="FFE97132"/>
      <sz val="12"/>
      <scheme val="minor"/>
    </font>
    <font>
      <name val="Aptos Narrow"/>
      <family val="2"/>
      <b val="1"/>
      <color rgb="FF0000AA"/>
      <sz val="12"/>
      <scheme val="minor"/>
    </font>
    <font>
      <name val="Aptos Narrow"/>
      <family val="2"/>
      <b val="1"/>
      <color rgb="FF00B050"/>
      <sz val="12"/>
      <scheme val="minor"/>
    </font>
    <font>
      <name val="Aptos Narrow"/>
      <family val="2"/>
      <color rgb="FFE97132"/>
      <sz val="12"/>
      <scheme val="minor"/>
    </font>
    <font>
      <name val="Aptos Narrow"/>
      <family val="2"/>
      <color rgb="FF555555"/>
      <sz val="12"/>
      <scheme val="minor"/>
    </font>
    <font>
      <name val="Aptos Narrow"/>
      <family val="2"/>
      <b val="1"/>
      <color rgb="FF156082"/>
      <sz val="12"/>
      <scheme val="minor"/>
    </font>
    <font>
      <name val="Aptos Narrow"/>
      <family val="2"/>
      <b val="1"/>
      <color rgb="FF555555"/>
      <sz val="12"/>
      <scheme val="minor"/>
    </font>
    <font>
      <name val="Aptos Narrow"/>
      <family val="2"/>
      <b val="1"/>
      <color theme="1"/>
      <sz val="12"/>
      <scheme val="minor"/>
    </font>
    <font>
      <name val="Aptos Narrow"/>
      <family val="2"/>
      <color rgb="FFC00000"/>
      <sz val="12"/>
      <scheme val="minor"/>
    </font>
    <font>
      <name val="Aptos Narrow"/>
      <family val="2"/>
      <color rgb="FF0000FF"/>
      <sz val="12"/>
      <scheme val="minor"/>
    </font>
    <font>
      <name val="Aptos Narrow"/>
      <b val="1"/>
      <color theme="1"/>
      <sz val="12"/>
      <scheme val="minor"/>
    </font>
    <font>
      <name val="Aptos Narrow"/>
      <family val="2"/>
      <b val="1"/>
      <color rgb="FFFFFFFF"/>
      <sz val="13"/>
      <scheme val="minor"/>
    </font>
    <font>
      <name val="Aptos Narrow"/>
      <family val="2"/>
      <b val="1"/>
      <color rgb="FF1F4E79"/>
      <sz val="11"/>
      <scheme val="minor"/>
    </font>
    <font>
      <name val="Aptos Narrow"/>
      <family val="2"/>
      <b val="1"/>
      <color rgb="FF000000"/>
      <sz val="12"/>
      <scheme val="minor"/>
    </font>
    <font>
      <name val="Aptos Narrow"/>
      <b val="1"/>
      <color rgb="FF1F4E79"/>
      <sz val="13"/>
      <scheme val="minor"/>
    </font>
    <font>
      <name val="Aptos Narrow"/>
      <family val="2"/>
      <b val="1"/>
      <color rgb="FF1F4E79"/>
      <sz val="12"/>
      <scheme val="minor"/>
    </font>
    <font>
      <name val="Aptos Narrow"/>
      <family val="2"/>
      <color rgb="FFFF0000"/>
      <sz val="12"/>
      <scheme val="minor"/>
    </font>
    <font>
      <name val="Aptos Narrow"/>
      <b val="1"/>
      <color theme="1"/>
      <sz val="13"/>
      <scheme val="minor"/>
    </font>
  </fonts>
  <fills count="18">
    <fill>
      <patternFill/>
    </fill>
    <fill>
      <patternFill patternType="gray125"/>
    </fill>
    <fill>
      <patternFill patternType="solid">
        <fgColor rgb="FF156082"/>
        <bgColor indexed="64"/>
      </patternFill>
    </fill>
    <fill>
      <patternFill patternType="solid">
        <fgColor rgb="FF0E4A62"/>
        <bgColor indexed="64"/>
      </patternFill>
    </fill>
    <fill>
      <patternFill patternType="solid">
        <fgColor rgb="FFE97132"/>
        <bgColor indexed="64"/>
      </patternFill>
    </fill>
    <fill>
      <patternFill patternType="solid">
        <fgColor theme="0"/>
        <bgColor indexed="64"/>
      </patternFill>
    </fill>
    <fill>
      <patternFill patternType="solid">
        <fgColor rgb="FF1A7A9E"/>
        <bgColor indexed="64"/>
      </patternFill>
    </fill>
    <fill>
      <patternFill patternType="solid">
        <fgColor rgb="FFB85A22"/>
        <bgColor indexed="64"/>
      </patternFill>
    </fill>
    <fill>
      <patternFill patternType="solid">
        <fgColor rgb="FFFAFCFF"/>
        <bgColor indexed="64"/>
      </patternFill>
    </fill>
    <fill>
      <patternFill patternType="solid">
        <fgColor rgb="FFFFE620"/>
        <bgColor indexed="64"/>
      </patternFill>
    </fill>
    <fill>
      <patternFill patternType="solid">
        <fgColor rgb="FFFFFFFF"/>
        <bgColor indexed="64"/>
      </patternFill>
    </fill>
    <fill>
      <patternFill patternType="solid">
        <fgColor rgb="FFF0F4F8"/>
        <bgColor indexed="64"/>
      </patternFill>
    </fill>
    <fill>
      <patternFill patternType="solid">
        <fgColor rgb="FFEFF6FA"/>
        <bgColor indexed="64"/>
      </patternFill>
    </fill>
    <fill>
      <patternFill patternType="solid">
        <fgColor rgb="FFFFFDE7"/>
        <bgColor indexed="64"/>
      </patternFill>
    </fill>
    <fill>
      <patternFill patternType="solid">
        <fgColor rgb="FFE2EFDA"/>
        <bgColor indexed="64"/>
      </patternFill>
    </fill>
    <fill>
      <patternFill patternType="solid">
        <fgColor theme="7" tint="0.7999816888943144"/>
        <bgColor indexed="64"/>
      </patternFill>
    </fill>
    <fill>
      <patternFill patternType="solid">
        <fgColor rgb="FF1F4E79"/>
        <bgColor indexed="64"/>
      </patternFill>
    </fill>
    <fill>
      <patternFill patternType="solid">
        <fgColor rgb="FFD6E4F0"/>
        <bgColor indexed="64"/>
      </patternFill>
    </fill>
  </fills>
  <borders count="18">
    <border>
      <left/>
      <right/>
      <top/>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bottom/>
      <diagonal/>
    </border>
    <border>
      <left style="thin">
        <color rgb="FF156082"/>
      </left>
      <right style="thin">
        <color rgb="FF156082"/>
      </right>
      <top style="thin">
        <color rgb="FF156082"/>
      </top>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right/>
      <top style="thin">
        <color indexed="64"/>
      </top>
      <bottom/>
      <diagonal/>
    </border>
    <border>
      <left/>
      <right style="medium">
        <color indexed="64"/>
      </right>
      <top style="thin">
        <color indexed="64"/>
      </top>
      <bottom/>
      <diagonal/>
    </border>
  </borders>
  <cellStyleXfs count="1">
    <xf numFmtId="0" fontId="0" fillId="0" borderId="0"/>
  </cellStyleXfs>
  <cellXfs count="95">
    <xf numFmtId="0" fontId="0" fillId="0" borderId="0" pivotButton="0" quotePrefix="0" xfId="0"/>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3" fillId="3" borderId="4" applyAlignment="1" pivotButton="0" quotePrefix="0" xfId="0">
      <alignment horizontal="center" vertical="center"/>
    </xf>
    <xf numFmtId="0" fontId="2" fillId="0" borderId="5" pivotButton="0" quotePrefix="0" xfId="0"/>
    <xf numFmtId="0" fontId="2" fillId="0" borderId="6" applyAlignment="1" pivotButton="0" quotePrefix="0" xfId="0">
      <alignment vertical="center"/>
    </xf>
    <xf numFmtId="0" fontId="2" fillId="0" borderId="5" applyAlignment="1" pivotButton="0" quotePrefix="0" xfId="0">
      <alignment vertical="center"/>
    </xf>
    <xf numFmtId="0" fontId="4" fillId="2" borderId="6" applyAlignment="1" pivotButton="0" quotePrefix="0" xfId="0">
      <alignment horizontal="center" vertical="center"/>
    </xf>
    <xf numFmtId="0" fontId="5" fillId="0" borderId="0" applyAlignment="1" pivotButton="0" quotePrefix="0" xfId="0">
      <alignment vertical="center"/>
    </xf>
    <xf numFmtId="0" fontId="4" fillId="4" borderId="5" applyAlignment="1" pivotButton="0" quotePrefix="0" xfId="0">
      <alignment horizontal="center" vertical="center"/>
    </xf>
    <xf numFmtId="0" fontId="6" fillId="5" borderId="0" applyAlignment="1" pivotButton="0" quotePrefix="0" xfId="0">
      <alignment horizontal="center" vertical="center"/>
    </xf>
    <xf numFmtId="0" fontId="7" fillId="6" borderId="6" applyAlignment="1" pivotButton="0" quotePrefix="0" xfId="0">
      <alignment horizontal="center" vertical="center"/>
    </xf>
    <xf numFmtId="0" fontId="7" fillId="6" borderId="0" applyAlignment="1" pivotButton="0" quotePrefix="0" xfId="0">
      <alignment horizontal="center" vertical="center"/>
    </xf>
    <xf numFmtId="0" fontId="8" fillId="0" borderId="0" applyAlignment="1" pivotButton="0" quotePrefix="0" xfId="0">
      <alignment vertical="center"/>
    </xf>
    <xf numFmtId="0" fontId="7" fillId="7" borderId="0" applyAlignment="1" pivotButton="0" quotePrefix="0" xfId="0">
      <alignment horizontal="center" vertical="center"/>
    </xf>
    <xf numFmtId="0" fontId="7" fillId="7" borderId="5" applyAlignment="1" pivotButton="0" quotePrefix="0" xfId="0">
      <alignment horizontal="center" vertical="center"/>
    </xf>
    <xf numFmtId="0" fontId="7" fillId="5" borderId="0" applyAlignment="1" pivotButton="0" quotePrefix="0" xfId="0">
      <alignment horizontal="center" vertical="center"/>
    </xf>
    <xf numFmtId="164" fontId="2" fillId="5" borderId="0" applyAlignment="1" pivotButton="0" quotePrefix="0" xfId="0">
      <alignment vertical="center"/>
    </xf>
    <xf numFmtId="0" fontId="9" fillId="8" borderId="6" applyAlignment="1" pivotButton="0" quotePrefix="0" xfId="0">
      <alignment horizontal="left" vertical="center" indent="1"/>
    </xf>
    <xf numFmtId="164" fontId="10" fillId="9" borderId="7" applyAlignment="1" pivotButton="0" quotePrefix="0" xfId="0">
      <alignment horizontal="center" vertical="center"/>
    </xf>
    <xf numFmtId="164" fontId="9" fillId="8" borderId="0" applyAlignment="1" pivotButton="0" quotePrefix="0" xfId="0">
      <alignment horizontal="center" vertical="center"/>
    </xf>
    <xf numFmtId="0" fontId="11" fillId="0" borderId="0" applyAlignment="1" pivotButton="0" quotePrefix="0" xfId="0">
      <alignment horizontal="left" vertical="center" indent="1"/>
    </xf>
    <xf numFmtId="165" fontId="10" fillId="9" borderId="8" applyAlignment="1" pivotButton="0" quotePrefix="0" xfId="0">
      <alignment horizontal="center" vertical="center"/>
    </xf>
    <xf numFmtId="164" fontId="11" fillId="0" borderId="5" applyAlignment="1" pivotButton="0" quotePrefix="0" xfId="0">
      <alignment horizontal="center" vertical="center"/>
    </xf>
    <xf numFmtId="0" fontId="2" fillId="5" borderId="0" applyAlignment="1" pivotButton="0" quotePrefix="0" xfId="0">
      <alignment vertical="center"/>
    </xf>
    <xf numFmtId="0" fontId="12" fillId="10" borderId="6" applyAlignment="1" pivotButton="0" quotePrefix="0" xfId="0">
      <alignment horizontal="left" vertical="center" indent="1"/>
    </xf>
    <xf numFmtId="9" fontId="10" fillId="9" borderId="7" applyAlignment="1" pivotButton="0" quotePrefix="0" xfId="0">
      <alignment horizontal="center" vertical="center"/>
    </xf>
    <xf numFmtId="164" fontId="12" fillId="0" borderId="0" applyAlignment="1" pivotButton="0" quotePrefix="0" xfId="0">
      <alignment horizontal="center" vertical="center"/>
    </xf>
    <xf numFmtId="0" fontId="12" fillId="0" borderId="0" applyAlignment="1" pivotButton="0" quotePrefix="0" xfId="0">
      <alignment horizontal="left" vertical="center" indent="1"/>
    </xf>
    <xf numFmtId="9" fontId="13" fillId="11" borderId="0" applyAlignment="1" pivotButton="0" quotePrefix="0" xfId="0">
      <alignment horizontal="center" vertical="center"/>
    </xf>
    <xf numFmtId="164" fontId="9" fillId="12" borderId="5" applyAlignment="1" pivotButton="0" quotePrefix="0" xfId="0">
      <alignment horizontal="center" vertical="center"/>
    </xf>
    <xf numFmtId="0" fontId="12" fillId="8" borderId="6" applyAlignment="1" pivotButton="0" quotePrefix="0" xfId="0">
      <alignment horizontal="left" vertical="center" indent="1"/>
    </xf>
    <xf numFmtId="9" fontId="10" fillId="9" borderId="8" applyAlignment="1" pivotButton="0" quotePrefix="0" xfId="0">
      <alignment horizontal="center" vertical="center"/>
    </xf>
    <xf numFmtId="0" fontId="9" fillId="0" borderId="0" applyAlignment="1" pivotButton="0" quotePrefix="0" xfId="0">
      <alignment horizontal="left" vertical="center" indent="1"/>
    </xf>
    <xf numFmtId="0" fontId="14" fillId="0" borderId="6" applyAlignment="1" pivotButton="0" quotePrefix="0" xfId="0">
      <alignment horizontal="left" vertical="center" indent="1"/>
    </xf>
    <xf numFmtId="164" fontId="14" fillId="12" borderId="0" applyAlignment="1" pivotButton="0" quotePrefix="0" xfId="0">
      <alignment horizontal="center" vertical="center"/>
    </xf>
    <xf numFmtId="0" fontId="14" fillId="0" borderId="0" applyAlignment="1" pivotButton="0" quotePrefix="0" xfId="0">
      <alignment horizontal="left" vertical="center" indent="1"/>
    </xf>
    <xf numFmtId="164" fontId="14" fillId="11" borderId="0" applyAlignment="1" pivotButton="0" quotePrefix="0" xfId="0">
      <alignment horizontal="center" vertical="center"/>
    </xf>
    <xf numFmtId="164" fontId="14" fillId="12" borderId="5" applyAlignment="1" pivotButton="0" quotePrefix="0" xfId="0">
      <alignment horizontal="center" vertical="center"/>
    </xf>
    <xf numFmtId="0" fontId="12" fillId="0" borderId="6" applyAlignment="1" pivotButton="0" quotePrefix="0" xfId="0">
      <alignment horizontal="left" vertical="center" indent="1"/>
    </xf>
    <xf numFmtId="166" fontId="14" fillId="11" borderId="0" applyAlignment="1" pivotButton="0" quotePrefix="0" xfId="0">
      <alignment horizontal="center" vertical="center"/>
    </xf>
    <xf numFmtId="0" fontId="9" fillId="0" borderId="6" applyAlignment="1" pivotButton="0" quotePrefix="0" xfId="0">
      <alignment horizontal="left" vertical="center" indent="1"/>
    </xf>
    <xf numFmtId="164" fontId="9" fillId="12" borderId="0" applyAlignment="1" pivotButton="0" quotePrefix="0" xfId="0">
      <alignment horizontal="center" vertical="center"/>
    </xf>
    <xf numFmtId="9" fontId="15" fillId="11" borderId="0" applyAlignment="1" pivotButton="0" quotePrefix="0" xfId="0">
      <alignment horizontal="center" vertical="center"/>
    </xf>
    <xf numFmtId="166" fontId="10" fillId="5" borderId="8" applyAlignment="1" pivotButton="0" quotePrefix="0" xfId="0">
      <alignment horizontal="center" vertical="center"/>
    </xf>
    <xf numFmtId="9" fontId="10" fillId="13" borderId="0" applyAlignment="1" pivotButton="0" quotePrefix="0" xfId="0">
      <alignment horizontal="center" vertical="center"/>
    </xf>
    <xf numFmtId="0" fontId="16" fillId="14" borderId="6" applyAlignment="1" pivotButton="0" quotePrefix="0" xfId="0">
      <alignment horizontal="left" vertical="center" indent="1"/>
    </xf>
    <xf numFmtId="9" fontId="16" fillId="5" borderId="0" applyAlignment="1" pivotButton="0" quotePrefix="0" xfId="0">
      <alignment horizontal="center" vertical="center"/>
    </xf>
    <xf numFmtId="164" fontId="16" fillId="15" borderId="0" applyAlignment="1" pivotButton="0" quotePrefix="0" xfId="0">
      <alignment horizontal="center" vertical="center"/>
    </xf>
    <xf numFmtId="0" fontId="9" fillId="5" borderId="0" applyAlignment="1" pivotButton="0" quotePrefix="0" xfId="0">
      <alignment horizontal="left" vertical="center" indent="1"/>
    </xf>
    <xf numFmtId="164" fontId="9" fillId="5" borderId="5" applyAlignment="1" pivotButton="0" quotePrefix="0" xfId="0">
      <alignment horizontal="center" vertical="center"/>
    </xf>
    <xf numFmtId="166" fontId="16" fillId="14" borderId="0" applyAlignment="1" pivotButton="0" quotePrefix="0" xfId="0">
      <alignment horizontal="center" vertical="center"/>
    </xf>
    <xf numFmtId="0" fontId="7" fillId="4" borderId="0" applyAlignment="1" pivotButton="0" quotePrefix="0" xfId="0">
      <alignment horizontal="left" vertical="center" indent="1"/>
    </xf>
    <xf numFmtId="164" fontId="7" fillId="4" borderId="5" applyAlignment="1" pivotButton="0" quotePrefix="0" xfId="0">
      <alignment horizontal="center" vertical="center"/>
    </xf>
    <xf numFmtId="0" fontId="13" fillId="0" borderId="0" applyAlignment="1" pivotButton="0" quotePrefix="0" xfId="0">
      <alignment horizontal="left" vertical="center" indent="1"/>
    </xf>
    <xf numFmtId="164" fontId="13" fillId="0" borderId="5" applyAlignment="1" pivotButton="0" quotePrefix="0" xfId="0">
      <alignment horizontal="center" vertical="center"/>
    </xf>
    <xf numFmtId="0" fontId="16" fillId="5" borderId="6" applyAlignment="1" pivotButton="0" quotePrefix="0" xfId="0">
      <alignment vertical="center"/>
    </xf>
    <xf numFmtId="164" fontId="10" fillId="5" borderId="0" applyAlignment="1" pivotButton="0" quotePrefix="0" xfId="0">
      <alignment horizontal="center" vertical="center"/>
    </xf>
    <xf numFmtId="0" fontId="16" fillId="0" borderId="0" applyAlignment="1" pivotButton="0" quotePrefix="0" xfId="0">
      <alignment horizontal="left" vertical="center" indent="1"/>
    </xf>
    <xf numFmtId="164" fontId="16" fillId="0" borderId="5" applyAlignment="1" pivotButton="0" quotePrefix="0" xfId="0">
      <alignment horizontal="center" vertical="center"/>
    </xf>
    <xf numFmtId="0" fontId="17" fillId="5" borderId="6" applyAlignment="1" pivotButton="0" quotePrefix="0" xfId="0">
      <alignment vertical="center"/>
    </xf>
    <xf numFmtId="164" fontId="17" fillId="5" borderId="0" applyAlignment="1" pivotButton="0" quotePrefix="0" xfId="0">
      <alignment horizontal="center" vertical="center"/>
    </xf>
    <xf numFmtId="0" fontId="11" fillId="5" borderId="6" applyAlignment="1" pivotButton="0" quotePrefix="0" xfId="0">
      <alignment vertical="center"/>
    </xf>
    <xf numFmtId="164" fontId="18" fillId="5" borderId="0" applyAlignment="1" pivotButton="0" quotePrefix="0" xfId="0">
      <alignment vertical="center"/>
    </xf>
    <xf numFmtId="164" fontId="11" fillId="5" borderId="0" applyAlignment="1" pivotButton="0" quotePrefix="0" xfId="0">
      <alignment horizontal="center" vertical="center"/>
    </xf>
    <xf numFmtId="164" fontId="16" fillId="0" borderId="5" applyAlignment="1" pivotButton="0" quotePrefix="0" xfId="0">
      <alignment horizontal="center" vertical="center" wrapText="1"/>
    </xf>
    <xf numFmtId="0" fontId="16" fillId="0" borderId="9" applyAlignment="1" pivotButton="0" quotePrefix="0" xfId="0">
      <alignment vertical="center"/>
    </xf>
    <xf numFmtId="164" fontId="18" fillId="0" borderId="10" applyAlignment="1" pivotButton="0" quotePrefix="0" xfId="0">
      <alignment vertical="center"/>
    </xf>
    <xf numFmtId="0" fontId="2" fillId="0" borderId="10" applyAlignment="1" pivotButton="0" quotePrefix="0" xfId="0">
      <alignment vertical="center"/>
    </xf>
    <xf numFmtId="0" fontId="19" fillId="0" borderId="10" applyAlignment="1" pivotButton="0" quotePrefix="0" xfId="0">
      <alignment horizontal="left" vertical="center" indent="1"/>
    </xf>
    <xf numFmtId="0" fontId="2" fillId="0" borderId="11" applyAlignment="1" pivotButton="0" quotePrefix="0" xfId="0">
      <alignment horizontal="center" vertical="center"/>
    </xf>
    <xf numFmtId="0" fontId="2" fillId="0" borderId="11" pivotButton="0" quotePrefix="0" xfId="0"/>
    <xf numFmtId="0" fontId="20" fillId="16" borderId="0" applyAlignment="1" pivotButton="0" quotePrefix="0" xfId="0">
      <alignment horizontal="left" vertical="center" indent="1"/>
    </xf>
    <xf numFmtId="0" fontId="21" fillId="17" borderId="0" pivotButton="0" quotePrefix="0" xfId="0"/>
    <xf numFmtId="0" fontId="16" fillId="0" borderId="0" pivotButton="0" quotePrefix="0" xfId="0"/>
    <xf numFmtId="0" fontId="18" fillId="0" borderId="0" applyAlignment="1" pivotButton="0" quotePrefix="0" xfId="0">
      <alignment horizontal="left" vertical="center" indent="2"/>
    </xf>
    <xf numFmtId="0" fontId="2" fillId="0" borderId="0" applyAlignment="1" pivotButton="0" quotePrefix="0" xfId="0">
      <alignment horizontal="left" vertical="center" wrapText="1"/>
    </xf>
    <xf numFmtId="0" fontId="2" fillId="0" borderId="0" applyAlignment="1" pivotButton="0" quotePrefix="0" xfId="0">
      <alignment wrapText="1"/>
    </xf>
    <xf numFmtId="0" fontId="22" fillId="0" borderId="0" pivotButton="0" quotePrefix="0" xfId="0"/>
    <xf numFmtId="0" fontId="4" fillId="16" borderId="12" applyAlignment="1" pivotButton="0" quotePrefix="0" xfId="0">
      <alignment vertical="center"/>
    </xf>
    <xf numFmtId="0" fontId="4" fillId="16" borderId="13" applyAlignment="1" pivotButton="0" quotePrefix="0" xfId="0">
      <alignment vertical="center"/>
    </xf>
    <xf numFmtId="0" fontId="4" fillId="16" borderId="14" applyAlignment="1" pivotButton="0" quotePrefix="0" xfId="0">
      <alignment vertical="center"/>
    </xf>
    <xf numFmtId="0" fontId="23" fillId="17" borderId="15" applyAlignment="1" pivotButton="0" quotePrefix="0" xfId="0">
      <alignment horizontal="center"/>
    </xf>
    <xf numFmtId="0" fontId="2" fillId="0" borderId="16" pivotButton="0" quotePrefix="0" xfId="0"/>
    <xf numFmtId="0" fontId="2" fillId="0" borderId="17" pivotButton="0" quotePrefix="0" xfId="0"/>
    <xf numFmtId="0" fontId="24" fillId="0" borderId="6" applyAlignment="1" pivotButton="0" quotePrefix="0" xfId="0">
      <alignment horizontal="left" vertical="center" wrapText="1"/>
    </xf>
    <xf numFmtId="0" fontId="2" fillId="0" borderId="5" applyAlignment="1" pivotButton="0" quotePrefix="0" xfId="0">
      <alignment horizontal="left" vertical="center" wrapText="1" indent="1"/>
    </xf>
    <xf numFmtId="0" fontId="2" fillId="0" borderId="6" applyAlignment="1" pivotButton="0" quotePrefix="0" xfId="0">
      <alignment vertical="center" wrapText="1"/>
    </xf>
    <xf numFmtId="0" fontId="25" fillId="0" borderId="5" applyAlignment="1" pivotButton="0" quotePrefix="0" xfId="0">
      <alignment horizontal="left" vertical="center" wrapText="1" indent="1"/>
    </xf>
    <xf numFmtId="0" fontId="2" fillId="0" borderId="6" applyAlignment="1" pivotButton="0" quotePrefix="0" xfId="0">
      <alignment wrapText="1"/>
    </xf>
    <xf numFmtId="0" fontId="24" fillId="0" borderId="6" applyAlignment="1" pivotButton="0" quotePrefix="0" xfId="0">
      <alignment wrapText="1"/>
    </xf>
    <xf numFmtId="0" fontId="23" fillId="9" borderId="9" applyAlignment="1" pivotButton="0" quotePrefix="0" xfId="0">
      <alignment horizontal="left" vertical="center" wrapText="1"/>
    </xf>
    <xf numFmtId="0" fontId="26" fillId="9" borderId="11" applyAlignment="1" pivotButton="0" quotePrefix="0" xfId="0">
      <alignment horizontal="left" vertical="center" wrapText="1" indent="1"/>
    </xf>
    <xf numFmtId="0" fontId="2" fillId="0" borderId="1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tabColor rgb="FFE97132"/>
    <outlinePr summaryBelow="1" summaryRight="1"/>
    <pageSetUpPr/>
  </sheetPr>
  <dimension ref="A1:K66"/>
  <sheetViews>
    <sheetView workbookViewId="0">
      <selection activeCell="A1" sqref="A1"/>
    </sheetView>
  </sheetViews>
  <sheetFormatPr baseColWidth="10" defaultRowHeight="16"/>
  <cols>
    <col width="23.6640625" customWidth="1" min="2" max="2"/>
    <col width="14" customWidth="1" min="3" max="3"/>
    <col width="18.33203125" customWidth="1" min="4" max="4"/>
    <col width="6.6640625" customWidth="1" min="5" max="5"/>
    <col width="34.83203125" customWidth="1" min="6" max="6"/>
    <col width="14" customWidth="1" min="7" max="7"/>
    <col width="20" customWidth="1" min="8" max="8"/>
    <col width="14" customWidth="1" min="9" max="9"/>
    <col width="19.5" customWidth="1" min="10" max="10"/>
    <col width="14" customWidth="1" min="11" max="11"/>
  </cols>
  <sheetData>
    <row r="1" ht="35" customHeight="1"/>
    <row r="2" ht="44" customHeight="1">
      <c r="B2" s="1" t="inlineStr">
        <is>
          <t>PRICING CALCULATOR  |  Find the Right Price for Your Product</t>
        </is>
      </c>
      <c r="C2" s="2" t="n"/>
      <c r="D2" s="2" t="n"/>
      <c r="E2" s="2" t="n"/>
      <c r="F2" s="2" t="n"/>
      <c r="G2" s="2" t="n"/>
      <c r="H2" s="3" t="n"/>
    </row>
    <row r="3" ht="31" customHeight="1">
      <c r="B3" s="4" t="inlineStr">
        <is>
          <t>Two approaches: start from MSRP and work down (margin stack) OR start from COGS and build up. Compare both against your competitive set to find your optimal price.</t>
        </is>
      </c>
      <c r="H3" s="5" t="n"/>
    </row>
    <row r="4">
      <c r="B4" s="6" t="n"/>
      <c r="H4" s="7" t="n"/>
    </row>
    <row r="5" ht="31" customHeight="1">
      <c r="B5" s="8" t="inlineStr">
        <is>
          <t>📉  APPROACH 1: MARGIN STACK (MSRP → Down)</t>
        </is>
      </c>
      <c r="E5" s="9" t="n"/>
      <c r="F5" s="10" t="inlineStr">
        <is>
          <t>📈  APPROACH 2: COGS+ BUILD-UP (Cost → Up)</t>
        </is>
      </c>
      <c r="H5" s="5" t="n"/>
      <c r="J5" s="11" t="n"/>
      <c r="K5" s="11" t="n"/>
    </row>
    <row r="6" ht="22" customHeight="1">
      <c r="B6" s="12" t="inlineStr">
        <is>
          <t>LINE ITEM</t>
        </is>
      </c>
      <c r="C6" s="13" t="inlineStr">
        <is>
          <t>YOUR VALUE</t>
        </is>
      </c>
      <c r="D6" s="13" t="inlineStr">
        <is>
          <t>RESULT ($/unit)</t>
        </is>
      </c>
      <c r="E6" s="14" t="n"/>
      <c r="F6" s="15" t="inlineStr">
        <is>
          <t>LINE ITEM</t>
        </is>
      </c>
      <c r="G6" s="15" t="inlineStr">
        <is>
          <t>YOUR INPUT</t>
        </is>
      </c>
      <c r="H6" s="16" t="inlineStr">
        <is>
          <t>RESULT ($/unit)</t>
        </is>
      </c>
      <c r="J6" s="17" t="n"/>
      <c r="K6" s="18" t="n"/>
    </row>
    <row r="7" ht="25" customHeight="1">
      <c r="B7" s="19" t="inlineStr">
        <is>
          <t>1. Brand MSRP</t>
        </is>
      </c>
      <c r="C7" s="20" t="n">
        <v>2.99</v>
      </c>
      <c r="D7" s="21">
        <f>C7</f>
        <v/>
      </c>
      <c r="F7" s="22" t="inlineStr">
        <is>
          <t>1. Min Brand Contribution Margin $</t>
        </is>
      </c>
      <c r="G7" s="23" t="n">
        <v>0.505</v>
      </c>
      <c r="H7" s="24">
        <f>G7</f>
        <v/>
      </c>
      <c r="J7" s="25" t="n"/>
      <c r="K7" s="18" t="n"/>
    </row>
    <row r="8" ht="25" customHeight="1">
      <c r="B8" s="26" t="inlineStr">
        <is>
          <t>2. Less: Retailer Margin</t>
        </is>
      </c>
      <c r="C8" s="27" t="n">
        <v>0.4</v>
      </c>
      <c r="D8" s="28">
        <f>C7*C8</f>
        <v/>
      </c>
      <c r="F8" s="29" t="inlineStr">
        <is>
          <t>2. + Freight (% of Net Rev)</t>
        </is>
      </c>
      <c r="G8" s="30">
        <f>C15</f>
        <v/>
      </c>
      <c r="H8" s="31">
        <f>H12*G8</f>
        <v/>
      </c>
      <c r="J8" s="25" t="n"/>
      <c r="K8" s="18" t="n"/>
    </row>
    <row r="9" ht="25" customHeight="1">
      <c r="B9" s="32" t="inlineStr">
        <is>
          <t>3. Less: Distributor Margin</t>
        </is>
      </c>
      <c r="C9" s="33" t="n">
        <v>0.1</v>
      </c>
      <c r="D9" s="21">
        <f>(C7-D8)*C9</f>
        <v/>
      </c>
      <c r="F9" s="34" t="inlineStr">
        <is>
          <t>3. + Broker Commission (% of Net Rev)</t>
        </is>
      </c>
      <c r="G9" s="30">
        <f>C16</f>
        <v/>
      </c>
      <c r="H9" s="31">
        <f>H12*G9</f>
        <v/>
      </c>
      <c r="J9" s="25" t="n"/>
      <c r="K9" s="18" t="n"/>
    </row>
    <row r="10" ht="25" customHeight="1">
      <c r="B10" s="35" t="inlineStr">
        <is>
          <t>4. Gross Revenue to Brand</t>
        </is>
      </c>
      <c r="D10" s="36">
        <f>C7-D8-D9</f>
        <v/>
      </c>
      <c r="F10" s="37">
        <f> Brand Gross Margin $</f>
        <v/>
      </c>
      <c r="G10" s="38">
        <f>H12*G11</f>
        <v/>
      </c>
      <c r="H10" s="39">
        <f>H12*G11</f>
        <v/>
      </c>
      <c r="J10" s="25" t="n"/>
      <c r="K10" s="18" t="n"/>
    </row>
    <row r="11" ht="25" customHeight="1">
      <c r="B11" s="40" t="inlineStr">
        <is>
          <t>5. Less: Trade Spend &amp; Other Contra</t>
        </is>
      </c>
      <c r="C11" s="33" t="n">
        <v>0.25</v>
      </c>
      <c r="D11" s="28">
        <f>D10*C11</f>
        <v/>
      </c>
      <c r="F11" s="37" t="inlineStr">
        <is>
          <t>4. Brand Gross Margin % (= Approach 1)</t>
        </is>
      </c>
      <c r="G11" s="41">
        <f>C14</f>
        <v/>
      </c>
      <c r="H11" s="7" t="n"/>
    </row>
    <row r="12" ht="25" customHeight="1">
      <c r="B12" s="35" t="inlineStr">
        <is>
          <t>6. Net Revenue to Brand</t>
        </is>
      </c>
      <c r="D12" s="36">
        <f>D10-D11</f>
        <v/>
      </c>
      <c r="F12" s="37">
        <f> Net Revenue to Brand</f>
        <v/>
      </c>
      <c r="G12" s="38">
        <f>IFERROR(G7/(G11-G8-G9),0)</f>
        <v/>
      </c>
      <c r="H12" s="39">
        <f>IFERROR(G7/(G11-G8-G9),0)</f>
        <v/>
      </c>
    </row>
    <row r="13" ht="25" customHeight="1">
      <c r="B13" s="42" t="inlineStr">
        <is>
          <t>7. Less: COGS per Unit</t>
        </is>
      </c>
      <c r="C13" s="33" t="n">
        <v>0.5</v>
      </c>
      <c r="D13" s="43">
        <f>C13</f>
        <v/>
      </c>
      <c r="F13" s="34" t="inlineStr">
        <is>
          <t>5. + Trade Spend (% of Gross Rev)</t>
        </is>
      </c>
      <c r="G13" s="44">
        <f>C11</f>
        <v/>
      </c>
      <c r="H13" s="31">
        <f>H14-H12</f>
        <v/>
      </c>
    </row>
    <row r="14" ht="25" customHeight="1">
      <c r="B14" s="35" t="inlineStr">
        <is>
          <t>8. Brand Gross Margin</t>
        </is>
      </c>
      <c r="C14" s="45">
        <f>+D14/D12</f>
        <v/>
      </c>
      <c r="D14" s="36">
        <f>D12-D13</f>
        <v/>
      </c>
      <c r="F14" s="37">
        <f> Gross Revenue to Brand</f>
        <v/>
      </c>
      <c r="G14" s="46" t="n"/>
      <c r="H14" s="39">
        <f>IFERROR(H12/(1-G13),0)</f>
        <v/>
      </c>
    </row>
    <row r="15" ht="25" customHeight="1">
      <c r="B15" s="40" t="inlineStr">
        <is>
          <t>9. Less: Freight / Logistics</t>
        </is>
      </c>
      <c r="C15" s="33" t="n">
        <v>0.12</v>
      </c>
      <c r="D15" s="28">
        <f>D12*C15</f>
        <v/>
      </c>
      <c r="F15" s="34" t="inlineStr">
        <is>
          <t>6. + Distributor Margin %</t>
        </is>
      </c>
      <c r="G15" s="30">
        <f>C9</f>
        <v/>
      </c>
      <c r="H15" s="31">
        <f>H16-H14</f>
        <v/>
      </c>
    </row>
    <row r="16" ht="25" customHeight="1">
      <c r="B16" s="42" t="inlineStr">
        <is>
          <t>10. Less: Broker Commission</t>
        </is>
      </c>
      <c r="C16" s="33" t="n">
        <v>0.05</v>
      </c>
      <c r="D16" s="43">
        <f>D12*C16</f>
        <v/>
      </c>
      <c r="F16" s="37">
        <f> Distributor Invoice Price</f>
        <v/>
      </c>
      <c r="G16" s="46" t="n"/>
      <c r="H16" s="39">
        <f>IFERROR(H14/(1-G15),0)</f>
        <v/>
      </c>
    </row>
    <row r="17" ht="25" customHeight="1">
      <c r="B17" s="47" t="inlineStr">
        <is>
          <t>11. Brand Contribution Margin</t>
        </is>
      </c>
      <c r="C17" s="48" t="n"/>
      <c r="D17" s="49">
        <f>D14-D15-D16</f>
        <v/>
      </c>
      <c r="F17" s="50" t="inlineStr">
        <is>
          <t>7. + Retailer Margin %</t>
        </is>
      </c>
      <c r="G17" s="30">
        <f>C8</f>
        <v/>
      </c>
      <c r="H17" s="51">
        <f>H18-H16</f>
        <v/>
      </c>
    </row>
    <row r="18" ht="25" customHeight="1">
      <c r="B18" s="47" t="inlineStr">
        <is>
          <t>Brand CM % of MSRP</t>
        </is>
      </c>
      <c r="C18" s="48" t="n"/>
      <c r="D18" s="52">
        <f>IFERROR(D17/C7,0)</f>
        <v/>
      </c>
      <c r="F18" s="53">
        <f> MINIMUM VIABLE MSRP</f>
        <v/>
      </c>
      <c r="H18" s="54">
        <f>IFERROR(H16/(1-G17),0)</f>
        <v/>
      </c>
    </row>
    <row r="19" ht="25" customHeight="1">
      <c r="B19" s="47" t="inlineStr">
        <is>
          <t>Brand CM % of Net Revenue</t>
        </is>
      </c>
      <c r="C19" s="25" t="n"/>
      <c r="D19" s="52">
        <f>IFERROR(D17/D12,0)</f>
        <v/>
      </c>
      <c r="F19" s="55" t="inlineStr">
        <is>
          <t>Your Test MSRP (from left)</t>
        </is>
      </c>
      <c r="H19" s="56">
        <f>C7</f>
        <v/>
      </c>
    </row>
    <row r="20" ht="25" customHeight="1">
      <c r="B20" s="57" t="n"/>
      <c r="C20" s="58" t="n"/>
      <c r="D20" s="25" t="n"/>
      <c r="F20" s="59" t="inlineStr">
        <is>
          <t>Price Gap vs. COGS+ Floor</t>
        </is>
      </c>
      <c r="H20" s="60">
        <f>C7-H18</f>
        <v/>
      </c>
    </row>
    <row r="21" ht="25" customHeight="1">
      <c r="B21" s="61" t="n"/>
      <c r="C21" s="25" t="n"/>
      <c r="D21" s="62" t="n"/>
      <c r="F21" s="59" t="inlineStr">
        <is>
          <t>Margin Gap vs. Highest Competitor</t>
        </is>
      </c>
      <c r="H21" s="60">
        <f>IFERROR((C22*(1-C8)*(1-C9)*(1-C11)-C13-C22*(1-C8)*(1-C9)*(1-C11)*C15-C22*(1-C8)*(1-C9)*(1-C11)*C16)-D17,0)</f>
        <v/>
      </c>
    </row>
    <row r="22" ht="37" customHeight="1">
      <c r="B22" s="63" t="inlineStr">
        <is>
          <t>Highest Competitor Price</t>
        </is>
      </c>
      <c r="C22" s="64" t="n">
        <v>3.49</v>
      </c>
      <c r="D22" s="65" t="n"/>
      <c r="F22" s="59" t="inlineStr">
        <is>
          <t>Margin Gap vs. Lowest Competitor</t>
        </is>
      </c>
      <c r="H22" s="66">
        <f>IFERROR((C23*(1-C8)*(1-C9)*(1-C11)-C13-C23*(1-C8)*(1-C9)*(1-C11)*C15-C23*(1-C8)*(1-C9)*(1-C11)*C16)-D17,0)</f>
        <v/>
      </c>
    </row>
    <row r="23" ht="17" customHeight="1">
      <c r="B23" s="67" t="inlineStr">
        <is>
          <t>Lowest Competitor Price</t>
        </is>
      </c>
      <c r="C23" s="68" t="n">
        <v>1.49</v>
      </c>
      <c r="D23" s="69" t="n"/>
      <c r="E23" s="69" t="n"/>
      <c r="F23" s="70" t="inlineStr">
        <is>
          <t>Pricing Verdict</t>
        </is>
      </c>
      <c r="G23" s="71">
        <f>IF(H20&gt;0.5,"Well above floor - room to compete",IF(H20&gt;0,"Above floor - healthy pricing",IF(H20&gt;-0.5,"Below floor - margin squeeze","Far below floor - unsustainable")))</f>
        <v/>
      </c>
      <c r="H23" s="72" t="n"/>
    </row>
    <row r="24"/>
    <row r="25" ht="23" customHeight="1">
      <c r="B25" s="73" t="inlineStr">
        <is>
          <t>📋  HOW TO COMPLETE THIS CALCULATOR</t>
        </is>
      </c>
    </row>
    <row r="26">
      <c r="B26" s="74" t="inlineStr">
        <is>
          <t>STEP-BY-STEP INPUTS</t>
        </is>
      </c>
    </row>
    <row r="27" ht="19" customHeight="1">
      <c r="B27" s="75" t="inlineStr">
        <is>
          <t>STEP 1 — Enter your channel cost assumptions (Approach 1, Column C)</t>
        </is>
      </c>
    </row>
    <row r="28" ht="20" customHeight="1">
      <c r="B28" s="76" t="inlineStr">
        <is>
          <t>C7  →  Brand MSRP</t>
        </is>
      </c>
      <c r="C28" s="77" t="inlineStr">
        <is>
          <t>Your target retail shelf price (e.g. $2.99). This is the price the consumer pays.</t>
        </is>
      </c>
    </row>
    <row r="29" ht="20" customHeight="1">
      <c r="B29" s="76" t="inlineStr">
        <is>
          <t>C8  →  Retailer Margin</t>
        </is>
      </c>
      <c r="C29" s="77" t="inlineStr">
        <is>
          <t>The % the retailer keeps (e.g. 0.40 = 40%). Conventional grocery is typically 35–45%.</t>
        </is>
      </c>
    </row>
    <row r="30" ht="20" customHeight="1">
      <c r="B30" s="76" t="inlineStr">
        <is>
          <t>C9  →  Distributor Margin</t>
        </is>
      </c>
      <c r="C30" s="77" t="inlineStr">
        <is>
          <t>The % your distributor takes (e.g. 0.10 = 10%). UNFI/KeHE typically run 10–14%.</t>
        </is>
      </c>
    </row>
    <row r="31" ht="20" customHeight="1">
      <c r="B31" s="76" t="inlineStr">
        <is>
          <t>C11  →  Trade Spend &amp; Contra</t>
        </is>
      </c>
      <c r="C31" s="77" t="inlineStr">
        <is>
          <t>% of gross revenue allocated to promotions, slotting, MCBs, and other trade deductions (e.g. 0.25 = 25%).</t>
        </is>
      </c>
    </row>
    <row r="32" ht="20" customHeight="1">
      <c r="B32" s="76" t="inlineStr">
        <is>
          <t>C13  →  COGS per Unit</t>
        </is>
      </c>
      <c r="C32" s="77" t="inlineStr">
        <is>
          <t>Your all-in cost to produce one unit (ingredients, packaging, co-man, etc.). This is your most critical input.</t>
        </is>
      </c>
    </row>
    <row r="33" ht="20" customHeight="1">
      <c r="B33" s="76" t="inlineStr">
        <is>
          <t>C15  →  Freight / Logistics</t>
        </is>
      </c>
      <c r="C33" s="77" t="inlineStr">
        <is>
          <t>% of net revenue spent on inbound/outbound freight and 3PL warehousing (e.g. 0.12 = 12%).</t>
        </is>
      </c>
    </row>
    <row r="34" ht="20" customHeight="1">
      <c r="B34" s="76" t="inlineStr">
        <is>
          <t>C16  →  Broker Commission</t>
        </is>
      </c>
      <c r="C34" s="77" t="inlineStr">
        <is>
          <t>% of net revenue paid to your sales broker (e.g. 0.05 = 5%). Leave at 0 if you have no broker.</t>
        </is>
      </c>
    </row>
    <row r="35" ht="20" customHeight="1">
      <c r="C35" s="78" t="n"/>
    </row>
    <row r="36" ht="20" customHeight="1">
      <c r="B36" s="75" t="inlineStr">
        <is>
          <t>STEP 2 — Enter your competitive price range (Rows 22–23)</t>
        </is>
      </c>
      <c r="C36" s="78" t="n"/>
    </row>
    <row r="37" ht="20" customHeight="1">
      <c r="B37" s="76" t="inlineStr">
        <is>
          <t>C22  →  Highest Competitor Price</t>
        </is>
      </c>
      <c r="C37" s="77" t="inlineStr">
        <is>
          <t>The highest retail price for a comparable product in your category (e.g. $3.49 for a premium brand).</t>
        </is>
      </c>
    </row>
    <row r="38" ht="20" customHeight="1">
      <c r="B38" s="76" t="inlineStr">
        <is>
          <t>C23  →  Lowest Competitor Price</t>
        </is>
      </c>
      <c r="C38" s="77" t="inlineStr">
        <is>
          <t>The lowest retail price for a comparable product in your category (e.g. $1.49 for a value brand).</t>
        </is>
      </c>
    </row>
    <row r="39" ht="20" customHeight="1">
      <c r="C39" s="78" t="n"/>
    </row>
    <row r="40" ht="20" customHeight="1">
      <c r="B40" s="75" t="inlineStr">
        <is>
          <t>STEP 3 — Read your outputs (Approach 1, Column D)</t>
        </is>
      </c>
      <c r="C40" s="78" t="n"/>
    </row>
    <row r="41" ht="20" customHeight="1">
      <c r="B41" s="76" t="inlineStr">
        <is>
          <t>D17  →  Brand Contribution Margin $</t>
        </is>
      </c>
      <c r="C41" s="77" t="inlineStr">
        <is>
          <t>The dollar profit per unit after all channel costs. This is your primary metric — aim for $0.30+ at minimum.</t>
        </is>
      </c>
    </row>
    <row r="42" ht="20" customHeight="1">
      <c r="B42" s="76" t="inlineStr">
        <is>
          <t>D18  →  Brand CM % of MSRP</t>
        </is>
      </c>
      <c r="C42" s="77" t="inlineStr">
        <is>
          <t>CM as a % of the consumer price. Useful for comparing across different price points.</t>
        </is>
      </c>
    </row>
    <row r="43" ht="20" customHeight="1">
      <c r="B43" s="76" t="inlineStr">
        <is>
          <t>D19  →  Brand CM % of Net Revenue</t>
        </is>
      </c>
      <c r="C43" s="77" t="inlineStr">
        <is>
          <t>CM as a % of what actually hits your P&amp;L. Beverage benchmark: 35–45%+ is healthy; below 25% is a warning sign.</t>
        </is>
      </c>
    </row>
    <row r="44" ht="20" customHeight="1">
      <c r="C44" s="78" t="n"/>
    </row>
    <row r="45" ht="20" customHeight="1">
      <c r="B45" s="79" t="inlineStr">
        <is>
          <t>STEP 4 — Read your outputs (Approach 2, Column H)</t>
        </is>
      </c>
      <c r="C45" s="78" t="n"/>
    </row>
    <row r="46" ht="20" customHeight="1">
      <c r="B46" s="76" t="inlineStr">
        <is>
          <t>H18  →  Minimum Viable MSRP</t>
        </is>
      </c>
      <c r="C46" s="77" t="inlineStr">
        <is>
          <t>The lowest price you can charge and still cover all costs + hit your CM target. Never price below this.</t>
        </is>
      </c>
    </row>
    <row r="47" ht="20" customHeight="1">
      <c r="B47" s="76" t="inlineStr">
        <is>
          <t>H20  →  Price Gap vs. COGS+ Floor</t>
        </is>
      </c>
      <c r="C47" s="77" t="inlineStr">
        <is>
          <t>How much headroom you have above the floor. Positive = safe. Zero or negative = unsustainable pricing.</t>
        </is>
      </c>
    </row>
    <row r="48" ht="20" customHeight="1">
      <c r="B48" s="76" t="inlineStr">
        <is>
          <t>H21  →  Margin Gap vs. Highest Competitor</t>
        </is>
      </c>
      <c r="C48" s="77" t="inlineStr">
        <is>
          <t>If positive: matching the top price would ADD this much CM$ per unit vs. your current price. Upside opportunity.</t>
        </is>
      </c>
    </row>
    <row r="49" ht="20" customHeight="1">
      <c r="B49" s="76" t="inlineStr">
        <is>
          <t>H22  →  Margin Gap vs. Lowest Competitor</t>
        </is>
      </c>
      <c r="C49" s="77" t="inlineStr">
        <is>
          <t>If negative: matching the lowest price would COST you this much CM$ per unit. A warning against chasing the bottom.</t>
        </is>
      </c>
    </row>
    <row r="50" ht="20" customHeight="1">
      <c r="B50" s="76" t="inlineStr">
        <is>
          <t>H23  →  Pricing Verdict</t>
        </is>
      </c>
      <c r="C50" s="77" t="inlineStr">
        <is>
          <t>Automated signal based on your Price Gap vs. Floor: Well above floor | Above floor | Below floor | Far below floor.</t>
        </is>
      </c>
    </row>
    <row r="51" ht="17" customHeight="1">
      <c r="C51" s="78" t="n"/>
    </row>
    <row r="52" ht="34" customHeight="1">
      <c r="B52" s="80" t="inlineStr">
        <is>
          <t>📊  HOW TO USE THIS CALCULATOR TO MAKE BETTER PRICING DECISIONS</t>
        </is>
      </c>
      <c r="C52" s="81" t="n"/>
      <c r="D52" s="81" t="n"/>
      <c r="E52" s="81" t="n"/>
      <c r="F52" s="81" t="n"/>
      <c r="G52" s="82" t="n"/>
    </row>
    <row r="53" ht="18" customHeight="1">
      <c r="B53" s="83" t="inlineStr">
        <is>
          <t>THE PRICING DECISION FRAMEWORK</t>
        </is>
      </c>
      <c r="C53" s="84" t="n"/>
      <c r="D53" s="84" t="n"/>
      <c r="E53" s="84" t="n"/>
      <c r="F53" s="84" t="n"/>
      <c r="G53" s="85" t="n"/>
    </row>
    <row r="54" ht="86" customHeight="1">
      <c r="B54" s="86" t="inlineStr">
        <is>
          <t>1. START WITH YOUR FLOOR, NOT YOUR CEILING</t>
        </is>
      </c>
      <c r="C54" s="87" t="inlineStr">
        <is>
          <t>Most founders anchor on a "feels right" MSRP and hope the margins work out. This is backwards. Start with Approach 2: plug in your COGS and minimum acceptable CM$, and let the model tell you the lowest price you can ever charge (H18). This is your pricing floor — a hard constraint, not a suggestion. If your desired MSRP is below this number, you have a cost problem, not a pricing problem.</t>
        </is>
      </c>
      <c r="G54" s="5" t="n"/>
    </row>
    <row r="55" ht="5" customHeight="1">
      <c r="B55" s="88" t="n"/>
      <c r="C55" s="78" t="n"/>
      <c r="G55" s="5" t="n"/>
    </row>
    <row r="56" ht="86" customHeight="1">
      <c r="B56" s="86" t="inlineStr">
        <is>
          <t>2. USE APPROACH 1 TO TEST YOUR TARGET PRICE</t>
        </is>
      </c>
      <c r="C56" s="87" t="inlineStr">
        <is>
          <t>Once you know your floor, enter your target MSRP in C7 and watch what falls through to D17 (Brand CM$). This is your real per-unit profit after the retailer, distributor, broker, trade spend, freight, and COGS all take their cut. If D17 is below $0.25–0.30/unit, your price or cost structure needs work before you scale. Scaling a low-CM product burns cash faster than it builds the business.</t>
        </is>
      </c>
      <c r="G56" s="5" t="n"/>
    </row>
    <row r="57" ht="12" customHeight="1">
      <c r="B57" s="88" t="n"/>
      <c r="C57" s="78" t="n"/>
      <c r="G57" s="5" t="n"/>
    </row>
    <row r="58" ht="86" customHeight="1">
      <c r="B58" s="86" t="inlineStr">
        <is>
          <t>3. UNDERSTAND WHAT CHANNEL COSTS ARE REALLY DOING TO YOU</t>
        </is>
      </c>
      <c r="C58" s="87" t="inlineStr">
        <is>
          <t>Look at the waterfall in Approach 1 (D7 through D17). On a $2.99 product, by the time the retailer (40%), distributor (10%), and trade spend (25%) have taken their share, you are working with roughly $1.21 in net revenue — less than half your MSRP. Freight and broker then come off that. This is the reality of conventional retail. If your margins feel tight, it’s rarely one cost item — it’s the compounding effect of all of them together.</t>
        </is>
      </c>
      <c r="G58" s="5" t="n"/>
    </row>
    <row r="59" ht="12" customHeight="1">
      <c r="B59" s="88" t="n"/>
      <c r="C59" s="78" t="n"/>
      <c r="G59" s="5" t="n"/>
    </row>
    <row r="60" ht="86" customHeight="1">
      <c r="B60" s="86" t="inlineStr">
        <is>
          <t>4. COMPETE ON VALUE, NOT ON PRICE</t>
        </is>
      </c>
      <c r="C60" s="89" t="inlineStr">
        <is>
          <t>Use H21 and H22 to understand the true cost of matching competitors. H22 (gap vs. lowest competitor) shows you exactly how much CM$ you sacrifice if you chase the cheapest price in the market. In most cases, a $0.50–1.00 price reduction wipes out $0.30–0.50 of your already-thin margin per unit. Instead, use H21 (gap vs. highest competitor) to see how much value you could capture by pricing up. Premium positioning in CPG is almost always more profitable than fighting for the bottom.</t>
        </is>
      </c>
      <c r="G60" s="5" t="n"/>
    </row>
    <row r="61" ht="10" customHeight="1">
      <c r="B61" s="88" t="n"/>
      <c r="C61" s="78" t="n"/>
      <c r="G61" s="5" t="n"/>
    </row>
    <row r="62" ht="86" customHeight="1">
      <c r="B62" s="86" t="inlineStr">
        <is>
          <t>5. PRICE GAP IS YOUR STRATEGIC RUNWAY</t>
        </is>
      </c>
      <c r="C62" s="87" t="inlineStr">
        <is>
          <t>H20 (Price Gap vs. COGS+ Floor) tells you how much room you have to maneuver. A large positive gap (&gt;$1.00) means you have flexibility to run deeper promotions, absorb cost increases, or offer trade deals without going underwater. A gap near zero means you are operating with no margin of safety — any cost increase, freight spike, or retailer demand for deeper promos could put you below your floor. Protect this gap as your business scales.</t>
        </is>
      </c>
      <c r="G62" s="5" t="n"/>
    </row>
    <row r="63" ht="8" customHeight="1">
      <c r="B63" s="90" t="n"/>
      <c r="C63" s="78" t="n"/>
      <c r="G63" s="5" t="n"/>
    </row>
    <row r="64" ht="86" customHeight="1">
      <c r="B64" s="86" t="inlineStr">
        <is>
          <t>6. RUN SCENARIOS BEFORE MAKING COMMITMENTS</t>
        </is>
      </c>
      <c r="C64" s="89" t="inlineStr">
        <is>
          <t>Before agreeing to a new retail account, promotional program, or distributor deal, update the relevant input cells and see what happens to D17 and H20. For example: a retailer asking for 5% more margin (C8: 0.40 → 0.45) combined with a 10% deeper promotion (C11: 0.25 → 0.35) can silently cut your CM$ nearly in half. Model it first. The calculator takes 30 seconds to update — a bad pricing commitment can take years to unwind.</t>
        </is>
      </c>
      <c r="G64" s="5" t="n"/>
    </row>
    <row r="65" ht="7" customHeight="1">
      <c r="B65" s="91" t="n"/>
      <c r="C65" s="77" t="n"/>
      <c r="D65" s="77" t="n"/>
      <c r="E65" s="77" t="n"/>
      <c r="F65" s="77" t="n"/>
      <c r="G65" s="5" t="n"/>
    </row>
    <row r="66" ht="86" customHeight="1">
      <c r="B66" s="92" t="inlineStr">
        <is>
          <t>⚠️  KEY BENCHMARKS TO KNOW</t>
        </is>
      </c>
      <c r="C66" s="93" t="inlineStr">
        <is>
          <t>Brand CM % of Net Revenue: 35-45%+ = healthy | 25-35% = monitor | &lt;25% = unsustainable     |     Brand CM $ per unit: $0.40+ = strong | $0.25-0.40 = acceptable | &lt;$0.25 = fix before scaling     |     Price Gap vs. Floor: &gt;$1.00 = strategic runway | $0.25-$1.00 = limited flexibility | &lt;$0.25 = danger zone</t>
        </is>
      </c>
      <c r="D66" s="94" t="n"/>
      <c r="E66" s="94" t="n"/>
      <c r="F66" s="94" t="n"/>
      <c r="G66" s="72" t="n"/>
    </row>
  </sheetData>
  <mergeCells count="31">
    <mergeCell ref="C49:G49"/>
    <mergeCell ref="C30:G30"/>
    <mergeCell ref="C34:G34"/>
    <mergeCell ref="F5:H5"/>
    <mergeCell ref="B25:C25"/>
    <mergeCell ref="C62:G62"/>
    <mergeCell ref="C42:G42"/>
    <mergeCell ref="C58:G58"/>
    <mergeCell ref="C33:G33"/>
    <mergeCell ref="G23:H23"/>
    <mergeCell ref="B53:G53"/>
    <mergeCell ref="C28:F28"/>
    <mergeCell ref="C64:G64"/>
    <mergeCell ref="C47:G47"/>
    <mergeCell ref="C54:G54"/>
    <mergeCell ref="C50:G50"/>
    <mergeCell ref="C41:G41"/>
    <mergeCell ref="C31:G31"/>
    <mergeCell ref="B3:H3"/>
    <mergeCell ref="C56:G56"/>
    <mergeCell ref="B5:D5"/>
    <mergeCell ref="C43:G43"/>
    <mergeCell ref="C46:G46"/>
    <mergeCell ref="C60:G60"/>
    <mergeCell ref="C29:F29"/>
    <mergeCell ref="B2:H2"/>
    <mergeCell ref="C48:G48"/>
    <mergeCell ref="C32:G32"/>
    <mergeCell ref="C38:G38"/>
    <mergeCell ref="C66:G66"/>
    <mergeCell ref="C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2026-04-23T23:12:37Z</dcterms:created>
  <dcterms:modified xmlns:dcterms="http://purl.org/dc/terms/" xmlns:xsi="http://www.w3.org/2001/XMLSchema-instance" xsi:type="dcterms:W3CDTF">2026-04-23T23:12:37Z</dcterms:modified>
</cp:coreProperties>
</file>