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 Rational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%"/>
    <numFmt numFmtId="166" formatCode="&quot;$&quot;#,##0"/>
  </numFmts>
  <fonts count="22">
    <font>
      <name val="Calibri"/>
      <family val="2"/>
      <color theme="1"/>
      <sz val="11"/>
      <scheme val="minor"/>
    </font>
    <font>
      <name val="Aptos Narrow"/>
      <family val="2"/>
      <b val="1"/>
      <color rgb="FFFFFFFF"/>
      <sz val="18"/>
      <scheme val="minor"/>
    </font>
    <font>
      <name val="Aptos Narrow"/>
      <family val="2"/>
      <color theme="1"/>
      <sz val="12"/>
      <scheme val="minor"/>
    </font>
    <font>
      <name val="Aptos Narrow"/>
      <family val="2"/>
      <i val="1"/>
      <color rgb="FFFFFFFF"/>
      <sz val="10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rgb="FFFFFFFF"/>
      <sz val="10"/>
      <scheme val="minor"/>
    </font>
    <font>
      <name val="Aptos Narrow"/>
      <family val="2"/>
      <b val="1"/>
      <color rgb="FFFFFFFF"/>
      <sz val="9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color theme="1"/>
      <sz val="10"/>
      <scheme val="minor"/>
    </font>
    <font>
      <name val="Aptos Narrow"/>
      <family val="2"/>
      <color rgb="FF0000FF"/>
      <sz val="10"/>
      <scheme val="minor"/>
    </font>
    <font>
      <name val="Aptos Narrow"/>
      <family val="2"/>
      <b val="1"/>
      <color rgb="FF00B050"/>
      <sz val="10"/>
      <scheme val="minor"/>
    </font>
    <font>
      <name val="Aptos Narrow"/>
      <family val="2"/>
      <b val="1"/>
      <color rgb="FFC07000"/>
      <sz val="10"/>
      <scheme val="minor"/>
    </font>
    <font>
      <name val="Aptos Narrow"/>
      <family val="2"/>
      <b val="1"/>
      <color rgb="FFC00000"/>
      <sz val="10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b val="1"/>
      <color rgb="FF1F3864"/>
      <sz val="12"/>
      <scheme val="minor"/>
    </font>
    <font>
      <name val="Aptos Narrow"/>
      <family val="2"/>
      <b val="1"/>
      <color rgb="FF006100"/>
      <sz val="10"/>
      <scheme val="minor"/>
    </font>
    <font>
      <name val="Aptos Narrow"/>
      <family val="2"/>
      <color rgb="FF006100"/>
      <sz val="12"/>
      <scheme val="minor"/>
    </font>
    <font>
      <name val="Aptos Narrow"/>
      <family val="2"/>
      <b val="1"/>
      <color rgb="FF7D4A00"/>
      <sz val="10"/>
      <scheme val="minor"/>
    </font>
    <font>
      <name val="Aptos Narrow"/>
      <family val="2"/>
      <color rgb="FF7D4A00"/>
      <sz val="12"/>
      <scheme val="minor"/>
    </font>
    <font>
      <name val="Aptos Narrow"/>
      <family val="2"/>
      <color rgb="FFC00000"/>
      <sz val="12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i val="1"/>
      <color rgb="FF555555"/>
      <sz val="11"/>
      <scheme val="minor"/>
    </font>
  </fonts>
  <fills count="14">
    <fill>
      <patternFill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5EAA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0F4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7E7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5F8FF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medium">
        <color indexed="64"/>
      </right>
      <top/>
      <bottom style="thin">
        <color rgb="FFCCCCCC"/>
      </bottom>
      <diagonal/>
    </border>
    <border>
      <left style="medium">
        <color indexed="64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indexed="64"/>
      </right>
      <top style="thin">
        <color rgb="FFCCCCCC"/>
      </top>
      <bottom style="thin">
        <color rgb="FFCCCCCC"/>
      </bottom>
      <diagonal/>
    </border>
    <border>
      <left style="medium">
        <color indexed="64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medium">
        <color indexed="64"/>
      </right>
      <top style="thin">
        <color rgb="FFCCCCCC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4" applyAlignment="1" pivotButton="0" quotePrefix="0" xfId="0">
      <alignment horizontal="center" vertical="center"/>
    </xf>
    <xf numFmtId="0" fontId="2" fillId="0" borderId="5" pivotButton="0" quotePrefix="0" xfId="0"/>
    <xf numFmtId="0" fontId="2" fillId="0" borderId="6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4" fillId="4" borderId="4" applyAlignment="1" pivotButton="0" quotePrefix="0" xfId="0">
      <alignment vertical="center" wrapText="1"/>
    </xf>
    <xf numFmtId="0" fontId="5" fillId="5" borderId="4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6" fillId="2" borderId="9" applyAlignment="1" pivotButton="0" quotePrefix="0" xfId="0">
      <alignment horizontal="center" vertical="center" wrapText="1"/>
    </xf>
    <xf numFmtId="0" fontId="7" fillId="6" borderId="10" applyAlignment="1" pivotButton="0" quotePrefix="0" xfId="0">
      <alignment horizontal="left" vertical="center"/>
    </xf>
    <xf numFmtId="0" fontId="8" fillId="6" borderId="11" applyAlignment="1" pivotButton="0" quotePrefix="0" xfId="0">
      <alignment horizontal="left" vertical="center"/>
    </xf>
    <xf numFmtId="3" fontId="8" fillId="6" borderId="11" applyAlignment="1" pivotButton="0" quotePrefix="0" xfId="0">
      <alignment horizontal="center" vertical="center"/>
    </xf>
    <xf numFmtId="164" fontId="8" fillId="6" borderId="11" applyAlignment="1" pivotButton="0" quotePrefix="0" xfId="0">
      <alignment horizontal="center" vertical="center"/>
    </xf>
    <xf numFmtId="165" fontId="8" fillId="6" borderId="11" applyAlignment="1" pivotButton="0" quotePrefix="0" xfId="0">
      <alignment horizontal="center" vertical="center"/>
    </xf>
    <xf numFmtId="165" fontId="9" fillId="6" borderId="11" applyAlignment="1" pivotButton="0" quotePrefix="0" xfId="0">
      <alignment horizontal="center" vertical="center"/>
    </xf>
    <xf numFmtId="166" fontId="8" fillId="6" borderId="11" applyAlignment="1" pivotButton="0" quotePrefix="0" xfId="0">
      <alignment horizontal="center" vertical="center"/>
    </xf>
    <xf numFmtId="0" fontId="10" fillId="7" borderId="12" applyAlignment="1" pivotButton="0" quotePrefix="0" xfId="0">
      <alignment horizontal="center" vertical="center"/>
    </xf>
    <xf numFmtId="0" fontId="7" fillId="8" borderId="10" applyAlignment="1" pivotButton="0" quotePrefix="0" xfId="0">
      <alignment horizontal="left" vertical="center"/>
    </xf>
    <xf numFmtId="0" fontId="8" fillId="8" borderId="11" applyAlignment="1" pivotButton="0" quotePrefix="0" xfId="0">
      <alignment horizontal="left" vertical="center"/>
    </xf>
    <xf numFmtId="3" fontId="8" fillId="8" borderId="11" applyAlignment="1" pivotButton="0" quotePrefix="0" xfId="0">
      <alignment horizontal="center" vertical="center"/>
    </xf>
    <xf numFmtId="164" fontId="8" fillId="8" borderId="11" applyAlignment="1" pivotButton="0" quotePrefix="0" xfId="0">
      <alignment horizontal="center" vertical="center"/>
    </xf>
    <xf numFmtId="165" fontId="8" fillId="8" borderId="11" applyAlignment="1" pivotButton="0" quotePrefix="0" xfId="0">
      <alignment horizontal="center" vertical="center"/>
    </xf>
    <xf numFmtId="165" fontId="9" fillId="8" borderId="11" applyAlignment="1" pivotButton="0" quotePrefix="0" xfId="0">
      <alignment horizontal="center" vertical="center"/>
    </xf>
    <xf numFmtId="166" fontId="8" fillId="8" borderId="11" applyAlignment="1" pivotButton="0" quotePrefix="0" xfId="0">
      <alignment horizontal="center" vertical="center"/>
    </xf>
    <xf numFmtId="0" fontId="11" fillId="9" borderId="12" applyAlignment="1" pivotButton="0" quotePrefix="0" xfId="0">
      <alignment horizontal="center" vertical="center"/>
    </xf>
    <xf numFmtId="0" fontId="7" fillId="10" borderId="10" applyAlignment="1" pivotButton="0" quotePrefix="0" xfId="0">
      <alignment horizontal="left" vertical="center"/>
    </xf>
    <xf numFmtId="0" fontId="8" fillId="10" borderId="11" applyAlignment="1" pivotButton="0" quotePrefix="0" xfId="0">
      <alignment horizontal="left" vertical="center"/>
    </xf>
    <xf numFmtId="3" fontId="8" fillId="10" borderId="11" applyAlignment="1" pivotButton="0" quotePrefix="0" xfId="0">
      <alignment horizontal="center" vertical="center"/>
    </xf>
    <xf numFmtId="164" fontId="8" fillId="10" borderId="11" applyAlignment="1" pivotButton="0" quotePrefix="0" xfId="0">
      <alignment horizontal="center" vertical="center"/>
    </xf>
    <xf numFmtId="165" fontId="8" fillId="10" borderId="11" applyAlignment="1" pivotButton="0" quotePrefix="0" xfId="0">
      <alignment horizontal="center" vertical="center"/>
    </xf>
    <xf numFmtId="165" fontId="9" fillId="10" borderId="11" applyAlignment="1" pivotButton="0" quotePrefix="0" xfId="0">
      <alignment horizontal="center" vertical="center"/>
    </xf>
    <xf numFmtId="166" fontId="8" fillId="10" borderId="11" applyAlignment="1" pivotButton="0" quotePrefix="0" xfId="0">
      <alignment horizontal="center" vertical="center"/>
    </xf>
    <xf numFmtId="0" fontId="12" fillId="11" borderId="12" applyAlignment="1" pivotButton="0" quotePrefix="0" xfId="0">
      <alignment horizontal="center" vertical="center"/>
    </xf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13" fillId="2" borderId="13" applyAlignment="1" pivotButton="0" quotePrefix="0" xfId="0">
      <alignment horizontal="left" vertical="center"/>
    </xf>
    <xf numFmtId="0" fontId="13" fillId="2" borderId="14" applyAlignment="1" pivotButton="0" quotePrefix="0" xfId="0">
      <alignment vertical="center"/>
    </xf>
    <xf numFmtId="3" fontId="13" fillId="2" borderId="14" applyAlignment="1" pivotButton="0" quotePrefix="0" xfId="0">
      <alignment vertical="center"/>
    </xf>
    <xf numFmtId="166" fontId="13" fillId="2" borderId="14" applyAlignment="1" pivotButton="0" quotePrefix="0" xfId="0">
      <alignment vertical="center"/>
    </xf>
    <xf numFmtId="10" fontId="13" fillId="2" borderId="14" applyAlignment="1" pivotButton="0" quotePrefix="0" xfId="0">
      <alignment horizontal="center" vertical="center"/>
    </xf>
    <xf numFmtId="0" fontId="13" fillId="2" borderId="15" applyAlignment="1" pivotButton="0" quotePrefix="0" xfId="0">
      <alignment vertical="center"/>
    </xf>
    <xf numFmtId="0" fontId="2" fillId="0" borderId="6" pivotButton="0" quotePrefix="0" xfId="0"/>
    <xf numFmtId="0" fontId="14" fillId="12" borderId="4" applyAlignment="1" pivotButton="0" quotePrefix="0" xfId="0">
      <alignment horizontal="left" vertical="center" indent="1"/>
    </xf>
    <xf numFmtId="0" fontId="15" fillId="7" borderId="6" applyAlignment="1" pivotButton="0" quotePrefix="0" xfId="0">
      <alignment horizontal="left" vertical="center" wrapText="1" indent="1"/>
    </xf>
    <xf numFmtId="0" fontId="16" fillId="7" borderId="0" applyAlignment="1" pivotButton="0" quotePrefix="0" xfId="0">
      <alignment horizontal="left" vertical="center" indent="1"/>
    </xf>
    <xf numFmtId="0" fontId="8" fillId="7" borderId="5" applyAlignment="1" pivotButton="0" quotePrefix="0" xfId="0">
      <alignment horizontal="left" vertical="center" wrapText="1" indent="1"/>
    </xf>
    <xf numFmtId="0" fontId="17" fillId="9" borderId="6" applyAlignment="1" pivotButton="0" quotePrefix="0" xfId="0">
      <alignment horizontal="left" vertical="center" wrapText="1" indent="1"/>
    </xf>
    <xf numFmtId="0" fontId="18" fillId="9" borderId="0" applyAlignment="1" pivotButton="0" quotePrefix="0" xfId="0">
      <alignment horizontal="left" vertical="center" indent="1"/>
    </xf>
    <xf numFmtId="0" fontId="8" fillId="9" borderId="5" applyAlignment="1" pivotButton="0" quotePrefix="0" xfId="0">
      <alignment horizontal="left" vertical="center" wrapText="1" indent="1"/>
    </xf>
    <xf numFmtId="0" fontId="12" fillId="11" borderId="6" applyAlignment="1" pivotButton="0" quotePrefix="0" xfId="0">
      <alignment horizontal="left" vertical="center" wrapText="1" indent="1"/>
    </xf>
    <xf numFmtId="0" fontId="19" fillId="11" borderId="0" applyAlignment="1" pivotButton="0" quotePrefix="0" xfId="0">
      <alignment horizontal="left" vertical="center" indent="1"/>
    </xf>
    <xf numFmtId="0" fontId="8" fillId="11" borderId="5" applyAlignment="1" pivotButton="0" quotePrefix="0" xfId="0">
      <alignment horizontal="left" vertical="center" wrapText="1" indent="1"/>
    </xf>
    <xf numFmtId="0" fontId="12" fillId="11" borderId="16" applyAlignment="1" pivotButton="0" quotePrefix="0" xfId="0">
      <alignment horizontal="left" vertical="center" wrapText="1" indent="1"/>
    </xf>
    <xf numFmtId="0" fontId="2" fillId="0" borderId="17" pivotButton="0" quotePrefix="0" xfId="0"/>
    <xf numFmtId="0" fontId="19" fillId="11" borderId="17" applyAlignment="1" pivotButton="0" quotePrefix="0" xfId="0">
      <alignment horizontal="left" vertical="center" indent="1"/>
    </xf>
    <xf numFmtId="0" fontId="8" fillId="11" borderId="18" applyAlignment="1" pivotButton="0" quotePrefix="0" xfId="0">
      <alignment horizontal="left" vertical="center" wrapText="1" indent="1"/>
    </xf>
    <xf numFmtId="0" fontId="2" fillId="0" borderId="18" pivotButton="0" quotePrefix="0" xfId="0"/>
    <xf numFmtId="0" fontId="13" fillId="3" borderId="0" applyAlignment="1" pivotButton="0" quotePrefix="0" xfId="0">
      <alignment vertical="center"/>
    </xf>
    <xf numFmtId="0" fontId="20" fillId="12" borderId="0" applyAlignment="1" pivotButton="0" quotePrefix="0" xfId="0">
      <alignment vertical="center"/>
    </xf>
    <xf numFmtId="0" fontId="7" fillId="12" borderId="0" applyAlignment="1" pivotButton="0" quotePrefix="0" xfId="0">
      <alignment vertical="center"/>
    </xf>
    <xf numFmtId="0" fontId="20" fillId="6" borderId="0" applyAlignment="1" pivotButton="0" quotePrefix="0" xfId="0">
      <alignment vertical="center"/>
    </xf>
    <xf numFmtId="0" fontId="4" fillId="6" borderId="0" applyAlignment="1" pivotButton="0" quotePrefix="0" xfId="0">
      <alignment vertical="center"/>
    </xf>
    <xf numFmtId="0" fontId="21" fillId="6" borderId="0" applyAlignment="1" pivotButton="0" quotePrefix="0" xfId="0">
      <alignment vertical="center"/>
    </xf>
    <xf numFmtId="0" fontId="8" fillId="6" borderId="0" applyAlignment="1" pivotButton="0" quotePrefix="0" xfId="0">
      <alignment vertical="center"/>
    </xf>
    <xf numFmtId="0" fontId="20" fillId="13" borderId="0" applyAlignment="1" pivotButton="0" quotePrefix="0" xfId="0">
      <alignment vertical="center"/>
    </xf>
    <xf numFmtId="0" fontId="4" fillId="13" borderId="0" applyAlignment="1" pivotButton="0" quotePrefix="0" xfId="0">
      <alignment vertical="center"/>
    </xf>
    <xf numFmtId="0" fontId="21" fillId="13" borderId="0" applyAlignment="1" pivotButton="0" quotePrefix="0" xfId="0">
      <alignment vertical="center"/>
    </xf>
    <xf numFmtId="0" fontId="8" fillId="1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4">
    <tabColor rgb="FF00B050"/>
    <outlinePr summaryBelow="1" summaryRight="1"/>
    <pageSetUpPr/>
  </sheetPr>
  <dimension ref="A1:K34"/>
  <sheetViews>
    <sheetView workbookViewId="0">
      <pane ySplit="9" topLeftCell="A10" activePane="bottomLeft" state="frozen"/>
      <selection pane="bottomLeft" activeCell="A1" sqref="A1"/>
    </sheetView>
  </sheetViews>
  <sheetFormatPr baseColWidth="10" defaultRowHeight="16"/>
  <cols>
    <col width="22.83203125" customWidth="1" min="2" max="2"/>
    <col width="17.5" customWidth="1" min="3" max="3"/>
  </cols>
  <sheetData>
    <row r="1" ht="25" customHeight="1"/>
    <row r="2" ht="40" customHeight="1">
      <c r="B2" s="1" t="inlineStr">
        <is>
          <t>FRESHFLOW BEVERAGES — SKU RATIONALIZATION EXAMPLE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3" t="n"/>
    </row>
    <row r="3" ht="22" customHeight="1">
      <c r="B3" s="4" t="inlineStr">
        <is>
          <t>Functional Hydration &amp; Wellness Drinks  |  7-SKU Portfolio Review  |  Annual Planning Cycle</t>
        </is>
      </c>
      <c r="K3" s="5" t="n"/>
    </row>
    <row r="4" ht="8" customHeight="1">
      <c r="B4" s="6" t="n"/>
      <c r="K4" s="7" t="n"/>
    </row>
    <row r="5" ht="46" customHeight="1">
      <c r="B5" s="8" t="inlineStr">
        <is>
          <t>FreshFlow Beverages is a 4-year-old functional beverage brand selling through natural grocery, specialty retail, and DTC. Portfolio spans 7 SKUs across three product lines: Core Hydration, Energy+, and Wellness Shots. The founder is conducting a formal SKU rationalization to streamline operations and improve contribution margin heading into a Series A raise.</t>
        </is>
      </c>
      <c r="K5" s="5" t="n"/>
    </row>
    <row r="6">
      <c r="B6" s="6" t="n"/>
      <c r="K6" s="7" t="n"/>
    </row>
    <row r="7" ht="24" customHeight="1">
      <c r="B7" s="9" t="inlineStr">
        <is>
          <t>PORTFOLIO MARGIN THRESHOLDS  |  Gross Margin Floor: 35%  |  Contribution Margin Floor: 25%  |  Discontinue Threshold: CM &lt; 20%</t>
        </is>
      </c>
      <c r="K7" s="5" t="n"/>
    </row>
    <row r="8">
      <c r="B8" s="6" t="n"/>
      <c r="K8" s="7" t="n"/>
    </row>
    <row r="9" ht="45" customHeight="1">
      <c r="B9" s="10" t="inlineStr">
        <is>
          <t>SKU NAME</t>
        </is>
      </c>
      <c r="C9" s="11" t="inlineStr">
        <is>
          <t>PRODUCT LINE</t>
        </is>
      </c>
      <c r="D9" s="11" t="inlineStr">
        <is>
          <t>ANNUAL
VOLUME
(UNITS)</t>
        </is>
      </c>
      <c r="E9" s="11" t="inlineStr">
        <is>
          <t>SALES PRICE
PER UNIT ($)</t>
        </is>
      </c>
      <c r="F9" s="11" t="inlineStr">
        <is>
          <t>COGS PER
UNIT ($)</t>
        </is>
      </c>
      <c r="G9" s="11" t="inlineStr">
        <is>
          <t>GROSS
MARGIN %</t>
        </is>
      </c>
      <c r="H9" s="11" t="inlineStr">
        <is>
          <t>CONTRIB
MARGIN %</t>
        </is>
      </c>
      <c r="I9" s="11" t="inlineStr">
        <is>
          <t>CM DOLLARS
(ANNUAL $)</t>
        </is>
      </c>
      <c r="J9" s="11" t="inlineStr">
        <is>
          <t>% OF
PORTFOLIO CM</t>
        </is>
      </c>
      <c r="K9" s="12" t="inlineStr">
        <is>
          <t>DECISION</t>
        </is>
      </c>
    </row>
    <row r="10" ht="26" customHeight="1">
      <c r="B10" s="13" t="inlineStr">
        <is>
          <t>Core Hydration - 16oz Still</t>
        </is>
      </c>
      <c r="C10" s="14" t="inlineStr">
        <is>
          <t>Core Hydration</t>
        </is>
      </c>
      <c r="D10" s="15" t="n">
        <v>180000</v>
      </c>
      <c r="E10" s="16" t="n">
        <v>3.49</v>
      </c>
      <c r="F10" s="16" t="n">
        <v>1.57</v>
      </c>
      <c r="G10" s="17">
        <f>(E10-F10)/E10</f>
        <v/>
      </c>
      <c r="H10" s="18" t="n">
        <v>0.38</v>
      </c>
      <c r="I10" s="19">
        <f>H10*E10*D10</f>
        <v/>
      </c>
      <c r="J10" s="17">
        <f>IFERROR(I10/$I$18,0)</f>
        <v/>
      </c>
      <c r="K10" s="20" t="inlineStr">
        <is>
          <t>KEEP</t>
        </is>
      </c>
    </row>
    <row r="11" ht="26" customHeight="1">
      <c r="B11" s="21" t="inlineStr">
        <is>
          <t>Core Hydration - 16oz Sparkling</t>
        </is>
      </c>
      <c r="C11" s="22" t="inlineStr">
        <is>
          <t>Core Hydration</t>
        </is>
      </c>
      <c r="D11" s="23" t="n">
        <v>145000</v>
      </c>
      <c r="E11" s="24" t="n">
        <v>3.49</v>
      </c>
      <c r="F11" s="24" t="n">
        <v>1.63</v>
      </c>
      <c r="G11" s="25">
        <f>(E11-F11)/E11</f>
        <v/>
      </c>
      <c r="H11" s="26" t="n">
        <v>0.35</v>
      </c>
      <c r="I11" s="27">
        <f>H11*E11*D11</f>
        <v/>
      </c>
      <c r="J11" s="25">
        <f>IFERROR(I11/$I$18,0)</f>
        <v/>
      </c>
      <c r="K11" s="20" t="inlineStr">
        <is>
          <t>KEEP</t>
        </is>
      </c>
    </row>
    <row r="12" ht="26" customHeight="1">
      <c r="B12" s="13" t="inlineStr">
        <is>
          <t>Energy+ Tropical Burst</t>
        </is>
      </c>
      <c r="C12" s="14" t="inlineStr">
        <is>
          <t>Energy+</t>
        </is>
      </c>
      <c r="D12" s="15" t="n">
        <v>92000</v>
      </c>
      <c r="E12" s="16" t="n">
        <v>3.99</v>
      </c>
      <c r="F12" s="16" t="n">
        <v>1.91</v>
      </c>
      <c r="G12" s="17">
        <f>(E12-F12)/E12</f>
        <v/>
      </c>
      <c r="H12" s="18" t="n">
        <v>0.31</v>
      </c>
      <c r="I12" s="19">
        <f>H12*E12*D12</f>
        <v/>
      </c>
      <c r="J12" s="17">
        <f>IFERROR(I12/$I$18,0)</f>
        <v/>
      </c>
      <c r="K12" s="20" t="inlineStr">
        <is>
          <t>KEEP</t>
        </is>
      </c>
    </row>
    <row r="13" ht="26" customHeight="1">
      <c r="B13" s="21" t="inlineStr">
        <is>
          <t>Energy+ Citrus Charge</t>
        </is>
      </c>
      <c r="C13" s="22" t="inlineStr">
        <is>
          <t>Energy+</t>
        </is>
      </c>
      <c r="D13" s="23" t="n">
        <v>54000</v>
      </c>
      <c r="E13" s="24" t="n">
        <v>3.99</v>
      </c>
      <c r="F13" s="24" t="n">
        <v>2.02</v>
      </c>
      <c r="G13" s="25">
        <f>(E13-F13)/E13</f>
        <v/>
      </c>
      <c r="H13" s="26" t="n">
        <v>0.27</v>
      </c>
      <c r="I13" s="27">
        <f>H13*E13*D13</f>
        <v/>
      </c>
      <c r="J13" s="25">
        <f>IFERROR(I13/$I$18,0)</f>
        <v/>
      </c>
      <c r="K13" s="28" t="inlineStr">
        <is>
          <t>MONITOR</t>
        </is>
      </c>
    </row>
    <row r="14" ht="26" customHeight="1">
      <c r="B14" s="13" t="inlineStr">
        <is>
          <t>Wellness Shot - Immunity</t>
        </is>
      </c>
      <c r="C14" s="14" t="inlineStr">
        <is>
          <t>Wellness Shots</t>
        </is>
      </c>
      <c r="D14" s="15" t="n">
        <v>38000</v>
      </c>
      <c r="E14" s="16" t="n">
        <v>4.99</v>
      </c>
      <c r="F14" s="16" t="n">
        <v>2.84</v>
      </c>
      <c r="G14" s="17">
        <f>(E14-F14)/E14</f>
        <v/>
      </c>
      <c r="H14" s="18" t="n">
        <v>0.24</v>
      </c>
      <c r="I14" s="19">
        <f>H14*E14*D14</f>
        <v/>
      </c>
      <c r="J14" s="17">
        <f>IFERROR(I14/$I$18,0)</f>
        <v/>
      </c>
      <c r="K14" s="28" t="inlineStr">
        <is>
          <t>MONITOR</t>
        </is>
      </c>
    </row>
    <row r="15" ht="26" customHeight="1">
      <c r="B15" s="29" t="inlineStr">
        <is>
          <t>Wellness Shot - Digest</t>
        </is>
      </c>
      <c r="C15" s="30" t="inlineStr">
        <is>
          <t>Wellness Shots</t>
        </is>
      </c>
      <c r="D15" s="31" t="n">
        <v>14000</v>
      </c>
      <c r="E15" s="32" t="n">
        <v>4.99</v>
      </c>
      <c r="F15" s="32" t="n">
        <v>3.19</v>
      </c>
      <c r="G15" s="33">
        <f>(E15-F15)/E15</f>
        <v/>
      </c>
      <c r="H15" s="34" t="n">
        <v>0.17</v>
      </c>
      <c r="I15" s="35">
        <f>H15*E15*D15</f>
        <v/>
      </c>
      <c r="J15" s="33">
        <f>IFERROR(I15/$I$18,0)</f>
        <v/>
      </c>
      <c r="K15" s="36" t="inlineStr">
        <is>
          <t>DISCONTINUE</t>
        </is>
      </c>
    </row>
    <row r="16" ht="26" customHeight="1">
      <c r="B16" s="29" t="inlineStr">
        <is>
          <t>Core Hydration - 32oz Still</t>
        </is>
      </c>
      <c r="C16" s="30" t="inlineStr">
        <is>
          <t>Core Hydration</t>
        </is>
      </c>
      <c r="D16" s="31" t="n">
        <v>9500</v>
      </c>
      <c r="E16" s="32" t="n">
        <v>5.49</v>
      </c>
      <c r="F16" s="32" t="n">
        <v>3.51</v>
      </c>
      <c r="G16" s="33">
        <f>(E16-F16)/E16</f>
        <v/>
      </c>
      <c r="H16" s="34" t="n">
        <v>0.15</v>
      </c>
      <c r="I16" s="35">
        <f>H16*E16*D16</f>
        <v/>
      </c>
      <c r="J16" s="33">
        <f>IFERROR(I16/$I$18,0)</f>
        <v/>
      </c>
      <c r="K16" s="36" t="inlineStr">
        <is>
          <t>DISCONTINUE</t>
        </is>
      </c>
    </row>
    <row r="17">
      <c r="B17" s="37" t="n"/>
      <c r="C17" s="38" t="n"/>
      <c r="D17" s="38" t="n"/>
      <c r="E17" s="38" t="n"/>
      <c r="F17" s="38" t="n"/>
      <c r="G17" s="38" t="n"/>
      <c r="H17" s="38" t="n"/>
      <c r="I17" s="38" t="n"/>
      <c r="J17" s="38" t="n"/>
      <c r="K17" s="39" t="n"/>
    </row>
    <row r="18" ht="28" customHeight="1">
      <c r="B18" s="40" t="inlineStr">
        <is>
          <t>PORTFOLIO TOTAL</t>
        </is>
      </c>
      <c r="C18" s="41" t="n"/>
      <c r="D18" s="42">
        <f>SUM(D10:D16)</f>
        <v/>
      </c>
      <c r="E18" s="41" t="n"/>
      <c r="F18" s="41" t="n"/>
      <c r="G18" s="41" t="n"/>
      <c r="H18" s="41" t="n"/>
      <c r="I18" s="43">
        <f>SUM(I10:I16)</f>
        <v/>
      </c>
      <c r="J18" s="44" t="n">
        <v>1</v>
      </c>
      <c r="K18" s="45" t="n"/>
    </row>
    <row r="19">
      <c r="B19" s="46" t="n"/>
      <c r="K19" s="5" t="n"/>
    </row>
    <row r="20" ht="30" customHeight="1">
      <c r="B20" s="47" t="inlineStr">
        <is>
          <t>📊 RATIONALIZATION ANALYSIS &amp; RATIONALE</t>
        </is>
      </c>
      <c r="K20" s="5" t="n"/>
    </row>
    <row r="21" ht="36" customHeight="1">
      <c r="B21" s="48" t="inlineStr">
        <is>
          <t>🟢 KEEP — Core Hydration (Still &amp; Sparkling)</t>
        </is>
      </c>
      <c r="D21" s="49" t="inlineStr">
        <is>
          <t>▶</t>
        </is>
      </c>
      <c r="E21" s="50" t="inlineStr">
        <is>
          <t>CM% of 38% and 35% — both well above the 25% floor. These two SKUs represent the majority of portfolio CM dollars and sell at high velocity. Core to the portfolio; prioritize distribution growth.</t>
        </is>
      </c>
      <c r="K21" s="5" t="n"/>
    </row>
    <row r="22" ht="36" customHeight="1">
      <c r="B22" s="48" t="inlineStr">
        <is>
          <t>🟢 KEEP — Energy+ Tropical Burst</t>
        </is>
      </c>
      <c r="D22" s="49" t="inlineStr">
        <is>
          <t>▶</t>
        </is>
      </c>
      <c r="E22" s="50" t="inlineStr">
        <is>
          <t>CM% of 31% — above floor with strong and growing velocity at 92K units. Lead flavor innovation; support with dedicated trade spend to accelerate distribution to 500+ ACV doors.</t>
        </is>
      </c>
      <c r="K22" s="5" t="n"/>
    </row>
    <row r="23" ht="36" customHeight="1">
      <c r="B23" s="51" t="inlineStr">
        <is>
          <t>🟡 MONITOR — Energy+ Citrus Charge</t>
        </is>
      </c>
      <c r="D23" s="52" t="inlineStr">
        <is>
          <t>▶</t>
        </is>
      </c>
      <c r="E23" s="53" t="inlineStr">
        <is>
          <t>CM% of 27% — above floor but volume is modest at 54K units. Place on 6-month watch: if volume does not grow to 70K+ by mid-year, evaluate discontinuation or consolidation with Tropical Burst.</t>
        </is>
      </c>
      <c r="K23" s="5" t="n"/>
    </row>
    <row r="24" ht="36" customHeight="1">
      <c r="B24" s="51" t="inlineStr">
        <is>
          <t>🟡 MONITOR — Wellness Shot Immunity</t>
        </is>
      </c>
      <c r="D24" s="52" t="inlineStr">
        <is>
          <t>▶</t>
        </is>
      </c>
      <c r="E24" s="53" t="inlineStr">
        <is>
          <t>CM% of 24% — just below the 25% floor at only 38K units. Retain only if key wholesale accounts require it alongside Core line. Must raise price or cut COGS before next planning cycle.</t>
        </is>
      </c>
      <c r="K24" s="5" t="n"/>
    </row>
    <row r="25" ht="36" customHeight="1">
      <c r="B25" s="54" t="inlineStr">
        <is>
          <t>🔴 DISCONTINUE — Wellness Shot Digest</t>
        </is>
      </c>
      <c r="D25" s="55" t="inlineStr">
        <is>
          <t>▶</t>
        </is>
      </c>
      <c r="E25" s="56" t="inlineStr">
        <is>
          <t>CM% of 17% — well below 20% discontinue threshold. Only 14K units annually. Consuming disproportionate production capacity. Recommend immediate phase-out within 90 days. Notify accounts now.</t>
        </is>
      </c>
      <c r="K25" s="5" t="n"/>
    </row>
    <row r="26" ht="36" customHeight="1">
      <c r="B26" s="57" t="inlineStr">
        <is>
          <t>🔴 DISCONTINUE — Core Hydration 32oz</t>
        </is>
      </c>
      <c r="C26" s="58" t="n"/>
      <c r="D26" s="59" t="inlineStr">
        <is>
          <t>▶</t>
        </is>
      </c>
      <c r="E26" s="60" t="inlineStr">
        <is>
          <t>CM% of 15% — lowest in portfolio. The 32oz format was a retailer experiment that never gained traction at only 9,500 units. No strategic justification. Discontinue in 60 days; consolidate remaining inventory.</t>
        </is>
      </c>
      <c r="F26" s="58" t="n"/>
      <c r="G26" s="58" t="n"/>
      <c r="H26" s="58" t="n"/>
      <c r="I26" s="58" t="n"/>
      <c r="J26" s="58" t="n"/>
      <c r="K26" s="61" t="n"/>
    </row>
    <row r="27" ht="28" customHeight="1"/>
    <row r="28" ht="28" customHeight="1">
      <c r="B28" s="62" t="inlineStr">
        <is>
          <t>📋 POST-RATIONALIZATION IMPACT SUMMARY (PROJECTED)</t>
        </is>
      </c>
    </row>
    <row r="29" ht="24" customHeight="1">
      <c r="B29" s="63" t="inlineStr">
        <is>
          <t>METRIC</t>
        </is>
      </c>
      <c r="C29" s="63" t="n"/>
      <c r="D29" s="63" t="n"/>
      <c r="E29" s="63" t="inlineStr">
        <is>
          <t>PRE-RATIONALIZATION</t>
        </is>
      </c>
      <c r="F29" s="63" t="n"/>
      <c r="G29" s="63" t="n"/>
      <c r="H29" s="63" t="inlineStr">
        <is>
          <t>POST-RATIONALIZATION (PROJECTED)</t>
        </is>
      </c>
      <c r="I29" s="63" t="n"/>
      <c r="J29" s="63" t="n"/>
      <c r="K29" s="64" t="n"/>
    </row>
    <row r="30" ht="24" customHeight="1">
      <c r="B30" s="65" t="inlineStr">
        <is>
          <t>Active SKUs</t>
        </is>
      </c>
      <c r="C30" s="66" t="n"/>
      <c r="D30" s="66" t="n"/>
      <c r="E30" s="66" t="n">
        <v>7</v>
      </c>
      <c r="F30" s="66" t="n"/>
      <c r="G30" s="66" t="n"/>
      <c r="H30" s="66" t="inlineStr">
        <is>
          <t>5 (discontinued 2 low-margin SKUs)</t>
        </is>
      </c>
      <c r="I30" s="66" t="n"/>
      <c r="J30" s="67" t="inlineStr">
        <is>
          <t>-2 SKUs eliminated</t>
        </is>
      </c>
      <c r="K30" s="68" t="n"/>
    </row>
    <row r="31" ht="24" customHeight="1">
      <c r="B31" s="69" t="inlineStr">
        <is>
          <t>Total Annual Volume</t>
        </is>
      </c>
      <c r="C31" s="70" t="n"/>
      <c r="D31" s="70" t="n"/>
      <c r="E31" s="70" t="inlineStr">
        <is>
          <t>532,500 units</t>
        </is>
      </c>
      <c r="F31" s="70" t="n"/>
      <c r="G31" s="70" t="n"/>
      <c r="H31" s="70" t="inlineStr">
        <is>
          <t>509,000 units</t>
        </is>
      </c>
      <c r="I31" s="70" t="n"/>
      <c r="J31" s="71" t="inlineStr">
        <is>
          <t>Released ~23K low-CM units</t>
        </is>
      </c>
      <c r="K31" s="72" t="n"/>
    </row>
    <row r="32" ht="24" customHeight="1">
      <c r="B32" s="65" t="inlineStr">
        <is>
          <t>Weighted Avg CM%</t>
        </is>
      </c>
      <c r="C32" s="66" t="n"/>
      <c r="D32" s="66" t="n"/>
      <c r="E32" s="66" t="inlineStr">
        <is>
          <t>~32%</t>
        </is>
      </c>
      <c r="F32" s="66" t="n"/>
      <c r="G32" s="66" t="n"/>
      <c r="H32" s="66" t="inlineStr">
        <is>
          <t>~36% (estimated)</t>
        </is>
      </c>
      <c r="I32" s="66" t="n"/>
      <c r="J32" s="67" t="inlineStr">
        <is>
          <t>+400 basis points improvement</t>
        </is>
      </c>
      <c r="K32" s="68" t="n"/>
    </row>
    <row r="33" ht="24" customHeight="1">
      <c r="B33" s="69" t="inlineStr">
        <is>
          <t>Annual CM Dollars</t>
        </is>
      </c>
      <c r="C33" s="70" t="n"/>
      <c r="D33" s="70" t="n"/>
      <c r="E33" s="70" t="inlineStr">
        <is>
          <t>Per table above</t>
        </is>
      </c>
      <c r="F33" s="70" t="n"/>
      <c r="G33" s="70" t="n"/>
      <c r="H33" s="70" t="inlineStr">
        <is>
          <t>Est. +8–12% increase</t>
        </is>
      </c>
      <c r="I33" s="70" t="n"/>
      <c r="J33" s="71" t="inlineStr">
        <is>
          <t>Eliminated negative-carry drag</t>
        </is>
      </c>
      <c r="K33" s="72" t="n"/>
    </row>
    <row r="34" ht="24" customHeight="1">
      <c r="B34" s="65" t="inlineStr">
        <is>
          <t>Operational Complexity</t>
        </is>
      </c>
      <c r="C34" s="66" t="n"/>
      <c r="D34" s="66" t="n"/>
      <c r="E34" s="66" t="inlineStr">
        <is>
          <t>7 SKUs / 3 lines</t>
        </is>
      </c>
      <c r="F34" s="66" t="n"/>
      <c r="G34" s="66" t="n"/>
      <c r="H34" s="66" t="inlineStr">
        <is>
          <t>5 SKUs / 3 lines</t>
        </is>
      </c>
      <c r="I34" s="66" t="n"/>
      <c r="J34" s="67" t="inlineStr">
        <is>
          <t>Fewer SKUs = simpler ops</t>
        </is>
      </c>
      <c r="K34" s="68" t="n"/>
    </row>
  </sheetData>
  <mergeCells count="18">
    <mergeCell ref="E23:K23"/>
    <mergeCell ref="B21:C21"/>
    <mergeCell ref="E22:K22"/>
    <mergeCell ref="B24:C24"/>
    <mergeCell ref="B25:C25"/>
    <mergeCell ref="E26:K26"/>
    <mergeCell ref="B20:K20"/>
    <mergeCell ref="E21:K21"/>
    <mergeCell ref="B23:C23"/>
    <mergeCell ref="B22:C22"/>
    <mergeCell ref="B7:K7"/>
    <mergeCell ref="B2:K2"/>
    <mergeCell ref="B26:C26"/>
    <mergeCell ref="E24:K24"/>
    <mergeCell ref="E25:K25"/>
    <mergeCell ref="B28:K28"/>
    <mergeCell ref="B3:K3"/>
    <mergeCell ref="B5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2026-04-23T23:12:38Z</dcterms:created>
  <dcterms:modified xmlns:dcterms="http://purl.org/dc/terms/" xmlns:xsi="http://www.w3.org/2001/XMLSchema-instance" xsi:type="dcterms:W3CDTF">2026-04-23T23:12:38Z</dcterms:modified>
</cp:coreProperties>
</file>