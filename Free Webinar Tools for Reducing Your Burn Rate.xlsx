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defaultThemeVersion="202300"/>
  <mc:AlternateContent xmlns:mc="http://schemas.openxmlformats.org/markup-compatibility/2006">
    <mc:Choice Requires="x15">
      <x15ac:absPath xmlns:x15ac="http://schemas.microsoft.com/office/spreadsheetml/2010/11/ac" url="/Users/jefferychurch/Dropbox (Personal)/2026 Dream Makers/Josh &amp; Jeff/2026 Profit &amp; Cash Flow Webinar/"/>
    </mc:Choice>
  </mc:AlternateContent>
  <xr:revisionPtr revIDLastSave="0" documentId="13_ncr:1_{79F40299-CBB4-3640-981E-0CC5EE9D320A}" xr6:coauthVersionLast="47" xr6:coauthVersionMax="47" xr10:uidLastSave="{00000000-0000-0000-0000-000000000000}"/>
  <bookViews>
    <workbookView xWindow="24120" yWindow="600" windowWidth="30860" windowHeight="25120" activeTab="3" xr2:uid="{601CA49A-90CC-2B47-AA78-857408407BB3}"/>
  </bookViews>
  <sheets>
    <sheet name="1. Pricing Calculator" sheetId="10" r:id="rId1"/>
    <sheet name="2. Trade Promo Break-Even" sheetId="9" r:id="rId2"/>
    <sheet name="3. SKU Rationalization" sheetId="2" r:id="rId3"/>
    <sheet name="4. Cash Conversion Cycle" sheetId="14" r:id="rId4"/>
  </sheets>
  <externalReferences>
    <externalReference r:id="rId5"/>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9" l="1"/>
  <c r="C19" i="9" s="1"/>
  <c r="F43" i="14" l="1"/>
  <c r="F42" i="14"/>
  <c r="F41" i="14"/>
  <c r="F40" i="14"/>
  <c r="F39" i="14"/>
  <c r="F38" i="14"/>
  <c r="E31" i="14"/>
  <c r="D27" i="14"/>
  <c r="C27" i="14"/>
  <c r="D19" i="14"/>
  <c r="E19" i="14" s="1"/>
  <c r="C19" i="14"/>
  <c r="D18" i="14"/>
  <c r="C18" i="14"/>
  <c r="D17" i="14"/>
  <c r="C17" i="14"/>
  <c r="E14" i="14"/>
  <c r="E13" i="14"/>
  <c r="G12" i="14"/>
  <c r="E12" i="14"/>
  <c r="C9" i="14"/>
  <c r="E32" i="14" s="1"/>
  <c r="C8" i="14"/>
  <c r="C7" i="14"/>
  <c r="G38" i="14" l="1"/>
  <c r="G39" i="14"/>
  <c r="G41" i="14"/>
  <c r="G40" i="14"/>
  <c r="G42" i="14"/>
  <c r="E17" i="14"/>
  <c r="C20" i="14"/>
  <c r="C23" i="14" s="1"/>
  <c r="G43" i="14"/>
  <c r="D20" i="14"/>
  <c r="D23" i="14" s="1"/>
  <c r="E33" i="14"/>
  <c r="E34" i="14" s="1"/>
  <c r="E18" i="14"/>
  <c r="G13" i="14"/>
  <c r="G14" i="14"/>
  <c r="E20" i="14" l="1"/>
  <c r="E23" i="14"/>
  <c r="E25" i="14" s="1"/>
  <c r="G15" i="14"/>
  <c r="E28" i="14" l="1"/>
  <c r="E24" i="14"/>
  <c r="D45" i="9"/>
  <c r="I74" i="9"/>
  <c r="H74" i="9"/>
  <c r="F74" i="9"/>
  <c r="G74" i="9" s="1"/>
  <c r="J74" i="9" s="1"/>
  <c r="L74" i="9" s="1"/>
  <c r="D74" i="9"/>
  <c r="I73" i="9"/>
  <c r="H73" i="9"/>
  <c r="F73" i="9"/>
  <c r="G73" i="9" s="1"/>
  <c r="E73" i="9"/>
  <c r="D73" i="9"/>
  <c r="I72" i="9"/>
  <c r="H72" i="9"/>
  <c r="F72" i="9"/>
  <c r="G72" i="9" s="1"/>
  <c r="E72" i="9"/>
  <c r="D72" i="9"/>
  <c r="I71" i="9"/>
  <c r="H71" i="9"/>
  <c r="F71" i="9"/>
  <c r="G71" i="9" s="1"/>
  <c r="J71" i="9" s="1"/>
  <c r="L71" i="9" s="1"/>
  <c r="E71" i="9"/>
  <c r="I69" i="9"/>
  <c r="H69" i="9"/>
  <c r="F69" i="9"/>
  <c r="G69" i="9" s="1"/>
  <c r="J69" i="9" s="1"/>
  <c r="L69" i="9" s="1"/>
  <c r="D69" i="9"/>
  <c r="I68" i="9"/>
  <c r="H68" i="9"/>
  <c r="F68" i="9"/>
  <c r="G68" i="9" s="1"/>
  <c r="E68" i="9"/>
  <c r="D68" i="9"/>
  <c r="I67" i="9"/>
  <c r="H67" i="9"/>
  <c r="F67" i="9"/>
  <c r="G67" i="9" s="1"/>
  <c r="E67" i="9"/>
  <c r="D67" i="9"/>
  <c r="I66" i="9"/>
  <c r="H66" i="9"/>
  <c r="F66" i="9"/>
  <c r="G66" i="9" s="1"/>
  <c r="J66" i="9" s="1"/>
  <c r="L66" i="9" s="1"/>
  <c r="E66" i="9"/>
  <c r="I64" i="9"/>
  <c r="H64" i="9"/>
  <c r="F64" i="9"/>
  <c r="G64" i="9" s="1"/>
  <c r="J64" i="9" s="1"/>
  <c r="L64" i="9" s="1"/>
  <c r="D64" i="9"/>
  <c r="I63" i="9"/>
  <c r="H63" i="9"/>
  <c r="F63" i="9"/>
  <c r="G63" i="9" s="1"/>
  <c r="J63" i="9" s="1"/>
  <c r="L63" i="9" s="1"/>
  <c r="E63" i="9"/>
  <c r="D63" i="9"/>
  <c r="I62" i="9"/>
  <c r="H62" i="9"/>
  <c r="F62" i="9"/>
  <c r="G62" i="9" s="1"/>
  <c r="E62" i="9"/>
  <c r="D62" i="9"/>
  <c r="I61" i="9"/>
  <c r="H61" i="9"/>
  <c r="F61" i="9"/>
  <c r="G61" i="9" s="1"/>
  <c r="J61" i="9" s="1"/>
  <c r="L61" i="9" s="1"/>
  <c r="E61" i="9"/>
  <c r="I59" i="9"/>
  <c r="H59" i="9"/>
  <c r="F59" i="9"/>
  <c r="G59" i="9" s="1"/>
  <c r="D59" i="9"/>
  <c r="I58" i="9"/>
  <c r="H58" i="9"/>
  <c r="F58" i="9"/>
  <c r="G58" i="9" s="1"/>
  <c r="J58" i="9" s="1"/>
  <c r="L58" i="9" s="1"/>
  <c r="E58" i="9"/>
  <c r="D58" i="9"/>
  <c r="I57" i="9"/>
  <c r="H57" i="9"/>
  <c r="F57" i="9"/>
  <c r="G57" i="9" s="1"/>
  <c r="E57" i="9"/>
  <c r="D57" i="9"/>
  <c r="I56" i="9"/>
  <c r="H56" i="9"/>
  <c r="F56" i="9"/>
  <c r="G56" i="9" s="1"/>
  <c r="E56" i="9"/>
  <c r="D22" i="9"/>
  <c r="C23" i="9"/>
  <c r="C24" i="9"/>
  <c r="C22" i="9"/>
  <c r="C17" i="9"/>
  <c r="H7" i="10"/>
  <c r="J68" i="9" l="1"/>
  <c r="L68" i="9" s="1"/>
  <c r="J56" i="9"/>
  <c r="L56" i="9" s="1"/>
  <c r="J73" i="9"/>
  <c r="L73" i="9" s="1"/>
  <c r="J62" i="9"/>
  <c r="L62" i="9" s="1"/>
  <c r="J57" i="9"/>
  <c r="L57" i="9" s="1"/>
  <c r="J72" i="9"/>
  <c r="L72" i="9" s="1"/>
  <c r="J59" i="9"/>
  <c r="L59" i="9" s="1"/>
  <c r="J67" i="9"/>
  <c r="L67" i="9" s="1"/>
  <c r="C43" i="9" l="1"/>
  <c r="C16" i="9"/>
  <c r="G13" i="10"/>
  <c r="H19" i="10"/>
  <c r="G17" i="10"/>
  <c r="G15" i="10"/>
  <c r="G9" i="10"/>
  <c r="G8" i="10"/>
  <c r="D8" i="10"/>
  <c r="D9" i="10" s="1"/>
  <c r="D10" i="10" s="1"/>
  <c r="D13" i="10"/>
  <c r="D7" i="10"/>
  <c r="D48" i="9"/>
  <c r="C48" i="9"/>
  <c r="C45" i="9"/>
  <c r="D42" i="9"/>
  <c r="C42" i="9"/>
  <c r="C44" i="9" s="1"/>
  <c r="D41" i="9"/>
  <c r="C41" i="9"/>
  <c r="C32" i="9"/>
  <c r="C27" i="9"/>
  <c r="C8" i="9"/>
  <c r="C46" i="9" l="1"/>
  <c r="C47" i="9" s="1"/>
  <c r="D43" i="9"/>
  <c r="E42" i="9"/>
  <c r="C49" i="9"/>
  <c r="E41" i="9"/>
  <c r="E48" i="9"/>
  <c r="E45" i="9"/>
  <c r="D44" i="9" l="1"/>
  <c r="E43" i="9"/>
  <c r="C29" i="9"/>
  <c r="C25" i="9"/>
  <c r="C26" i="9" s="1"/>
  <c r="C28" i="9" s="1"/>
  <c r="D46" i="9" l="1"/>
  <c r="E44" i="9"/>
  <c r="C30" i="9"/>
  <c r="C31" i="9" s="1"/>
  <c r="D36" i="9" l="1"/>
  <c r="B35" i="9"/>
  <c r="B36" i="9"/>
  <c r="D35" i="9"/>
  <c r="E46" i="9"/>
  <c r="D47" i="9"/>
  <c r="E47" i="9" s="1"/>
  <c r="D49" i="9"/>
  <c r="E49" i="9" s="1"/>
  <c r="F48" i="9" s="1"/>
  <c r="D18" i="2" l="1"/>
  <c r="I16" i="2"/>
  <c r="G16" i="2"/>
  <c r="I15" i="2"/>
  <c r="G15" i="2"/>
  <c r="I14" i="2"/>
  <c r="G14" i="2"/>
  <c r="I13" i="2"/>
  <c r="G13" i="2"/>
  <c r="I12" i="2"/>
  <c r="G12" i="2"/>
  <c r="I11" i="2"/>
  <c r="G11" i="2"/>
  <c r="I10" i="2"/>
  <c r="G10" i="2"/>
  <c r="I18" i="2" l="1"/>
  <c r="J13" i="2" l="1"/>
  <c r="J12" i="2"/>
  <c r="J14" i="2"/>
  <c r="J11" i="2"/>
  <c r="J16" i="2"/>
  <c r="J15" i="2"/>
  <c r="J10" i="2"/>
  <c r="D11" i="10" l="1"/>
  <c r="D12" i="10" s="1"/>
  <c r="D15" i="10" l="1"/>
  <c r="D16" i="10"/>
  <c r="D14" i="10"/>
  <c r="C14" i="10" s="1"/>
  <c r="G11" i="10" s="1"/>
  <c r="G12" i="10" l="1"/>
  <c r="H12" i="10"/>
  <c r="D17" i="10"/>
  <c r="H21" i="10" l="1"/>
  <c r="H22" i="10"/>
  <c r="D18" i="10"/>
  <c r="H14" i="10"/>
  <c r="H10" i="10"/>
  <c r="H8" i="10"/>
  <c r="G10" i="10"/>
  <c r="H9" i="10"/>
  <c r="D19" i="10"/>
  <c r="H13" i="10" l="1"/>
  <c r="H16" i="10"/>
  <c r="H18" i="10" l="1"/>
  <c r="H15" i="10"/>
  <c r="H17" i="10" l="1"/>
  <c r="H20" i="10"/>
  <c r="G23" i="10" s="1"/>
</calcChain>
</file>

<file path=xl/sharedStrings.xml><?xml version="1.0" encoding="utf-8"?>
<sst xmlns="http://schemas.openxmlformats.org/spreadsheetml/2006/main" count="370" uniqueCount="339">
  <si>
    <t>Gross Margin %</t>
  </si>
  <si>
    <t>FRESHFLOW BEVERAGES — SKU RATIONALIZATION EXAMPLE</t>
  </si>
  <si>
    <t>Functional Hydration &amp; Wellness Drinks  |  7-SKU Portfolio Review  |  Annual Planning Cycle</t>
  </si>
  <si>
    <t>FreshFlow Beverages is a 4-year-old functional beverage brand selling through natural grocery, specialty retail, and DTC. Portfolio spans 7 SKUs across three product lines: Core Hydration, Energy+, and Wellness Shots. The founder is conducting a formal SKU rationalization to streamline operations and improve contribution margin heading into a Series A raise.</t>
  </si>
  <si>
    <t>PORTFOLIO MARGIN THRESHOLDS  |  Gross Margin Floor: 35%  |  Contribution Margin Floor: 25%  |  Discontinue Threshold: CM &lt; 20%</t>
  </si>
  <si>
    <t>SKU NAME</t>
  </si>
  <si>
    <t>PRODUCT LINE</t>
  </si>
  <si>
    <t>ANNUAL
VOLUME
(UNITS)</t>
  </si>
  <si>
    <t>SALES PRICE
PER UNIT ($)</t>
  </si>
  <si>
    <t>COGS PER
UNIT ($)</t>
  </si>
  <si>
    <t>GROSS
MARGIN %</t>
  </si>
  <si>
    <t>CONTRIB
MARGIN %</t>
  </si>
  <si>
    <t>CM DOLLARS
(ANNUAL $)</t>
  </si>
  <si>
    <t>% OF
PORTFOLIO CM</t>
  </si>
  <si>
    <t>DECISION</t>
  </si>
  <si>
    <t>Core Hydration - 16oz Still</t>
  </si>
  <si>
    <t>Core Hydration</t>
  </si>
  <si>
    <t>KEEP</t>
  </si>
  <si>
    <t>Core Hydration - 16oz Sparkling</t>
  </si>
  <si>
    <t>Energy+ Tropical Burst</t>
  </si>
  <si>
    <t>Energy+</t>
  </si>
  <si>
    <t>Energy+ Citrus Charge</t>
  </si>
  <si>
    <t>MONITOR</t>
  </si>
  <si>
    <t>Wellness Shot - Immunity</t>
  </si>
  <si>
    <t>Wellness Shots</t>
  </si>
  <si>
    <t>Wellness Shot - Digest</t>
  </si>
  <si>
    <t>DISCONTINUE</t>
  </si>
  <si>
    <t>Core Hydration - 32oz Still</t>
  </si>
  <si>
    <t>PORTFOLIO TOTAL</t>
  </si>
  <si>
    <t>📊 RATIONALIZATION ANALYSIS &amp; RATIONALE</t>
  </si>
  <si>
    <t>🟢 KEEP — Core Hydration (Still &amp; Sparkling)</t>
  </si>
  <si>
    <t>▶</t>
  </si>
  <si>
    <t>CM% of 38% and 35% — both well above the 25% floor. These two SKUs represent the majority of portfolio CM dollars and sell at high velocity. Core to the portfolio; prioritize distribution growth.</t>
  </si>
  <si>
    <t>🟢 KEEP — Energy+ Tropical Burst</t>
  </si>
  <si>
    <t>CM% of 31% — above floor with strong and growing velocity at 92K units. Lead flavor innovation; support with dedicated trade spend to accelerate distribution to 500+ ACV doors.</t>
  </si>
  <si>
    <t>🟡 MONITOR — Energy+ Citrus Charge</t>
  </si>
  <si>
    <t>CM% of 27% — above floor but volume is modest at 54K units. Place on 6-month watch: if volume does not grow to 70K+ by mid-year, evaluate discontinuation or consolidation with Tropical Burst.</t>
  </si>
  <si>
    <t>🟡 MONITOR — Wellness Shot Immunity</t>
  </si>
  <si>
    <t>CM% of 24% — just below the 25% floor at only 38K units. Retain only if key wholesale accounts require it alongside Core line. Must raise price or cut COGS before next planning cycle.</t>
  </si>
  <si>
    <t>🔴 DISCONTINUE — Wellness Shot Digest</t>
  </si>
  <si>
    <t>CM% of 17% — well below 20% discontinue threshold. Only 14K units annually. Consuming disproportionate production capacity. Recommend immediate phase-out within 90 days. Notify accounts now.</t>
  </si>
  <si>
    <t>🔴 DISCONTINUE — Core Hydration 32oz</t>
  </si>
  <si>
    <t>CM% of 15% — lowest in portfolio. The 32oz format was a retailer experiment that never gained traction at only 9,500 units. No strategic justification. Discontinue in 60 days; consolidate remaining inventory.</t>
  </si>
  <si>
    <t>📋 POST-RATIONALIZATION IMPACT SUMMARY (PROJECTED)</t>
  </si>
  <si>
    <t>METRIC</t>
  </si>
  <si>
    <t>PRE-RATIONALIZATION</t>
  </si>
  <si>
    <t>POST-RATIONALIZATION (PROJECTED)</t>
  </si>
  <si>
    <t>Active SKUs</t>
  </si>
  <si>
    <t>5 (discontinued 2 low-margin SKUs)</t>
  </si>
  <si>
    <t>-2 SKUs eliminated</t>
  </si>
  <si>
    <t>Total Annual Volume</t>
  </si>
  <si>
    <t>532,500 units</t>
  </si>
  <si>
    <t>509,000 units</t>
  </si>
  <si>
    <t>Released ~23K low-CM units</t>
  </si>
  <si>
    <t>Weighted Avg CM%</t>
  </si>
  <si>
    <t>~32%</t>
  </si>
  <si>
    <t>~36% (estimated)</t>
  </si>
  <si>
    <t>+400 basis points improvement</t>
  </si>
  <si>
    <t>Annual CM Dollars</t>
  </si>
  <si>
    <t>Per table above</t>
  </si>
  <si>
    <t>Est. +8–12% increase</t>
  </si>
  <si>
    <t>Eliminated negative-carry drag</t>
  </si>
  <si>
    <t>Operational Complexity</t>
  </si>
  <si>
    <t>7 SKUs / 3 lines</t>
  </si>
  <si>
    <t>5 SKUs / 3 lines</t>
  </si>
  <si>
    <t>Fewer SKUs = simpler ops</t>
  </si>
  <si>
    <t>YOUR VALUE</t>
  </si>
  <si>
    <t>LINE ITEM</t>
  </si>
  <si>
    <t>2. Less: Retailer Margin</t>
  </si>
  <si>
    <t>3. Less: Distributor Margin</t>
  </si>
  <si>
    <t>COGS</t>
  </si>
  <si>
    <t>Revenue</t>
  </si>
  <si>
    <t>TRADE PROMOTION BREAK-EVEN CALCULATOR</t>
  </si>
  <si>
    <t>Should you run this promo? Break-even lift, P&amp;L comparison, and traffic-light scoring  |  CPG Founder Webinar</t>
  </si>
  <si>
    <t>INPUTS — Enter Your Promotion Details</t>
  </si>
  <si>
    <t>Regular Retail Price ($)</t>
  </si>
  <si>
    <t>Promoted Price ($)</t>
  </si>
  <si>
    <t>Discount % (auto-calc from prices)</t>
  </si>
  <si>
    <t>Fixed Promo Costs ($) (display fees, ad fees)</t>
  </si>
  <si>
    <t>Baseline Units Sold (pre-promo period)</t>
  </si>
  <si>
    <t>Expected Retailer Lift % (your estimate)</t>
  </si>
  <si>
    <t>BREAK-EVEN ANALYSIS (Auto-calculated)</t>
  </si>
  <si>
    <t>Promo GM % (at discounted price)</t>
  </si>
  <si>
    <t>GM$ per Unit at Regular Price</t>
  </si>
  <si>
    <t>GM$ per Unit at Promo Price</t>
  </si>
  <si>
    <t>GM$ Lost per Discounted Unit</t>
  </si>
  <si>
    <t>Cost of discount on each unit you would have sold anyway</t>
  </si>
  <si>
    <t>Total $ Lost on Baseline Volume</t>
  </si>
  <si>
    <t>Cost of giving discount to your existing buyers</t>
  </si>
  <si>
    <t>Total Fixed Promo Costs</t>
  </si>
  <si>
    <t>Display fees, ad fees, etc.</t>
  </si>
  <si>
    <t>Total Cost of Running Promo</t>
  </si>
  <si>
    <t>Margin erosion + fixed costs</t>
  </si>
  <si>
    <t>GM$ per Incremental Unit</t>
  </si>
  <si>
    <t>Each NEW unit sold during promo generates this much GM</t>
  </si>
  <si>
    <t>Break-Even Incremental Units</t>
  </si>
  <si>
    <t>Units above baseline needed to cover total promo cost</t>
  </si>
  <si>
    <t>Break-Even Lift % Required</t>
  </si>
  <si>
    <t>Break-even units ÷ baseline = lift % you need</t>
  </si>
  <si>
    <t>Expected Lift % (Your Estimate)</t>
  </si>
  <si>
    <t>The lift % you think the retailer will deliver</t>
  </si>
  <si>
    <t>TRAFFIC LIGHT SCORING — Should You Run This Promo?</t>
  </si>
  <si>
    <t>P&amp;L COMPARISON — Running vs. Not Running the Promo</t>
  </si>
  <si>
    <t>P&amp;L LINE</t>
  </si>
  <si>
    <t>NO PROMO</t>
  </si>
  <si>
    <t>WITH PROMO</t>
  </si>
  <si>
    <t>DIFFERENCE</t>
  </si>
  <si>
    <t>VERDICT</t>
  </si>
  <si>
    <t>Units Sold</t>
  </si>
  <si>
    <t>Gross Margin $</t>
  </si>
  <si>
    <t>Fixed Promo Costs</t>
  </si>
  <si>
    <t>Net Contribution $</t>
  </si>
  <si>
    <t>BOGO (Buy 1 Get 1 Free)</t>
  </si>
  <si>
    <t>PRICING CALCULATOR  |  Find the Right Price for Your Product</t>
  </si>
  <si>
    <t>Two approaches: start from MSRP and work down (margin stack) OR start from COGS and build up. Compare both against your competitive set to find your optimal price.</t>
  </si>
  <si>
    <t>📉  APPROACH 1: MARGIN STACK (MSRP → Down)</t>
  </si>
  <si>
    <t>📈  APPROACH 2: COGS+ BUILD-UP (Cost → Up)</t>
  </si>
  <si>
    <t>RESULT ($/unit)</t>
  </si>
  <si>
    <t>YOUR INPUT</t>
  </si>
  <si>
    <t>= Distributor Invoice Price</t>
  </si>
  <si>
    <t>= Gross Revenue to Brand</t>
  </si>
  <si>
    <t>= Net Revenue to Brand</t>
  </si>
  <si>
    <t>Brand CM % of MSRP</t>
  </si>
  <si>
    <t>Brand CM % of Net Revenue</t>
  </si>
  <si>
    <t>= MINIMUM VIABLE MSRP</t>
  </si>
  <si>
    <t>Your Test MSRP (from left)</t>
  </si>
  <si>
    <t>Price Gap vs. COGS+ Floor</t>
  </si>
  <si>
    <t>Pricing Verdict</t>
  </si>
  <si>
    <t>1. Brand MSRP</t>
  </si>
  <si>
    <t>1. Min Brand Contribution Margin $</t>
  </si>
  <si>
    <t>2. + Freight (% of Net Rev)</t>
  </si>
  <si>
    <t>3. + Broker Commission (% of Net Rev)</t>
  </si>
  <si>
    <t>= Brand Gross Margin $</t>
  </si>
  <si>
    <t>5. + Trade Spend (% of Gross Rev)</t>
  </si>
  <si>
    <t>6. + Distributor Margin %</t>
  </si>
  <si>
    <t>7. + Retailer Margin %</t>
  </si>
  <si>
    <t>4. Brand Gross Margin % (= Approach 1)</t>
  </si>
  <si>
    <t>Retailer GM% — While On Promo</t>
  </si>
  <si>
    <t>Retailer margin % they earn during the promo — typically higher than regular (42% vs 40%)</t>
  </si>
  <si>
    <t>Retailer GM% — Regular (Off Promo)</t>
  </si>
  <si>
    <t>Retailer margin % at everyday price — used to calc regular-price GM$ baseline</t>
  </si>
  <si>
    <t>Brand GM$ using regular retail price × off-promo retailer margin (C10)</t>
  </si>
  <si>
    <t>Brand GM$ using promoted price × on-promo retailer margin (C9) — double squeeze</t>
  </si>
  <si>
    <t>SCAN ALLOWANCE — Auto-calculated</t>
  </si>
  <si>
    <t>Retail Price Reduction per Unit</t>
  </si>
  <si>
    <t>Consumer-facing price drop funded by the scan</t>
  </si>
  <si>
    <t>Scan Allowance per Unit (to Retailer)</t>
  </si>
  <si>
    <t>Brand reimburses retailer at invoice level: price drop × (1 − retailer promo GM%)</t>
  </si>
  <si>
    <t>Total Scan Cost (all promo units)</t>
  </si>
  <si>
    <t>Scan per unit × total units sold during promo period (baseline + lift)</t>
  </si>
  <si>
    <t>Actual Trade Rate (% of Gross Revenue)</t>
  </si>
  <si>
    <t>True cost of this promo as % of gross revenue — compare to your trade budget rate</t>
  </si>
  <si>
    <t>Less: Scan Allowance</t>
  </si>
  <si>
    <t>Net Revenue (after scan)</t>
  </si>
  <si>
    <t>4. Gross Revenue to Brand</t>
  </si>
  <si>
    <t>5. Less: Trade Spend &amp; Other Contra</t>
  </si>
  <si>
    <t>6. Net Revenue to Brand</t>
  </si>
  <si>
    <t>7. Less: COGS per Unit</t>
  </si>
  <si>
    <t>8. Brand Gross Margin</t>
  </si>
  <si>
    <t>9. Less: Freight / Logistics</t>
  </si>
  <si>
    <t>10. Less: Broker Commission</t>
  </si>
  <si>
    <t>11. Brand Contribution Margin</t>
  </si>
  <si>
    <t>Annual Revenue ($)</t>
  </si>
  <si>
    <t>Scenario</t>
  </si>
  <si>
    <t>Lowest Competitor Price</t>
  </si>
  <si>
    <t>Highest Competitor Price</t>
  </si>
  <si>
    <t>Margin Gap vs. Highest Competitor</t>
  </si>
  <si>
    <t>Margin Gap vs. Lowest Competitor</t>
  </si>
  <si>
    <t>📋  HOW TO COMPLETE THIS CALCULATOR</t>
  </si>
  <si>
    <t>STEP-BY-STEP INPUTS</t>
  </si>
  <si>
    <t>STEP 1 — Enter your channel cost assumptions (Approach 1, Column C)</t>
  </si>
  <si>
    <t>C7  →  Brand MSRP</t>
  </si>
  <si>
    <t>Your target retail shelf price (e.g. $2.99). This is the price the consumer pays.</t>
  </si>
  <si>
    <t>C8  →  Retailer Margin</t>
  </si>
  <si>
    <t>The % the retailer keeps (e.g. 0.40 = 40%). Conventional grocery is typically 35–45%.</t>
  </si>
  <si>
    <t>C9  →  Distributor Margin</t>
  </si>
  <si>
    <t>The % your distributor takes (e.g. 0.10 = 10%). UNFI/KeHE typically run 10–14%.</t>
  </si>
  <si>
    <t>C11  →  Trade Spend &amp; Contra</t>
  </si>
  <si>
    <t>% of gross revenue allocated to promotions, slotting, MCBs, and other trade deductions (e.g. 0.25 = 25%).</t>
  </si>
  <si>
    <t>C13  →  COGS per Unit</t>
  </si>
  <si>
    <t>Your all-in cost to produce one unit (ingredients, packaging, co-man, etc.). This is your most critical input.</t>
  </si>
  <si>
    <t>C15  →  Freight / Logistics</t>
  </si>
  <si>
    <t>% of net revenue spent on inbound/outbound freight and 3PL warehousing (e.g. 0.12 = 12%).</t>
  </si>
  <si>
    <t>C16  →  Broker Commission</t>
  </si>
  <si>
    <t>% of net revenue paid to your sales broker (e.g. 0.05 = 5%). Leave at 0 if you have no broker.</t>
  </si>
  <si>
    <t>STEP 2 — Enter your competitive price range (Rows 22–23)</t>
  </si>
  <si>
    <t>C22  →  Highest Competitor Price</t>
  </si>
  <si>
    <t>The highest retail price for a comparable product in your category (e.g. $3.49 for a premium brand).</t>
  </si>
  <si>
    <t>C23  →  Lowest Competitor Price</t>
  </si>
  <si>
    <t>The lowest retail price for a comparable product in your category (e.g. $1.49 for a value brand).</t>
  </si>
  <si>
    <t>STEP 3 — Read your outputs (Approach 1, Column D)</t>
  </si>
  <si>
    <t>D17  →  Brand Contribution Margin $</t>
  </si>
  <si>
    <t>The dollar profit per unit after all channel costs. This is your primary metric — aim for $0.30+ at minimum.</t>
  </si>
  <si>
    <t>D18  →  Brand CM % of MSRP</t>
  </si>
  <si>
    <t>CM as a % of the consumer price. Useful for comparing across different price points.</t>
  </si>
  <si>
    <t>D19  →  Brand CM % of Net Revenue</t>
  </si>
  <si>
    <t>CM as a % of what actually hits your P&amp;L. Beverage benchmark: 35–45%+ is healthy; below 25% is a warning sign.</t>
  </si>
  <si>
    <t>STEP 4 — Read your outputs (Approach 2, Column H)</t>
  </si>
  <si>
    <t>H18  →  Minimum Viable MSRP</t>
  </si>
  <si>
    <t>The lowest price you can charge and still cover all costs + hit your CM target. Never price below this.</t>
  </si>
  <si>
    <t>H20  →  Price Gap vs. COGS+ Floor</t>
  </si>
  <si>
    <t>How much headroom you have above the floor. Positive = safe. Zero or negative = unsustainable pricing.</t>
  </si>
  <si>
    <t>H21  →  Margin Gap vs. Highest Competitor</t>
  </si>
  <si>
    <t>If positive: matching the top price would ADD this much CM$ per unit vs. your current price. Upside opportunity.</t>
  </si>
  <si>
    <t>H22  →  Margin Gap vs. Lowest Competitor</t>
  </si>
  <si>
    <t>If negative: matching the lowest price would COST you this much CM$ per unit. A warning against chasing the bottom.</t>
  </si>
  <si>
    <t>H23  →  Pricing Verdict</t>
  </si>
  <si>
    <t>Automated signal based on your Price Gap vs. Floor: Well above floor | Above floor | Below floor | Far below floor.</t>
  </si>
  <si>
    <t>📊  HOW TO USE THIS CALCULATOR TO MAKE BETTER PRICING DECISIONS</t>
  </si>
  <si>
    <t>THE PRICING DECISION FRAMEWORK</t>
  </si>
  <si>
    <t>1. START WITH YOUR FLOOR, NOT YOUR CEILING</t>
  </si>
  <si>
    <t>2. USE APPROACH 1 TO TEST YOUR TARGET PRICE</t>
  </si>
  <si>
    <t>Once you know your floor, enter your target MSRP in C7 and watch what falls through to D17 (Brand CM$). This is your real per-unit profit after the retailer, distributor, broker, trade spend, freight, and COGS all take their cut. If D17 is below $0.25–0.30/unit, your price or cost structure needs work before you scale. Scaling a low-CM product burns cash faster than it builds the business.</t>
  </si>
  <si>
    <t>3. UNDERSTAND WHAT CHANNEL COSTS ARE REALLY DOING TO YOU</t>
  </si>
  <si>
    <t>Look at the waterfall in Approach 1 (D7 through D17). On a $2.99 product, by the time the retailer (40%), distributor (10%), and trade spend (25%) have taken their share, you are working with roughly $1.21 in net revenue — less than half your MSRP. Freight and broker then come off that. This is the reality of conventional retail. If your margins feel tight, it’s rarely one cost item — it’s the compounding effect of all of them together.</t>
  </si>
  <si>
    <t>4. COMPETE ON VALUE, NOT ON PRICE</t>
  </si>
  <si>
    <t>Use H21 and H22 to understand the true cost of matching competitors. H22 (gap vs. lowest competitor) shows you exactly how much CM$ you sacrifice if you chase the cheapest price in the market. In most cases, a $0.50–1.00 price reduction wipes out $0.30–0.50 of your already-thin margin per unit. Instead, use H21 (gap vs. highest competitor) to see how much value you could capture by pricing up. Premium positioning in CPG is almost always more profitable than fighting for the bottom.</t>
  </si>
  <si>
    <t>5. PRICE GAP IS YOUR STRATEGIC RUNWAY</t>
  </si>
  <si>
    <t>6. RUN SCENARIOS BEFORE MAKING COMMITMENTS</t>
  </si>
  <si>
    <t>Before agreeing to a new retail account, promotional program, or distributor deal, update the relevant input cells and see what happens to D17 and H20. For example: a retailer asking for 5% more margin (C8: 0.40 → 0.45) combined with a 10% deeper promotion (C11: 0.25 → 0.35) can silently cut your CM$ nearly in half. Model it first. The calculator takes 30 seconds to update — a bad pricing commitment can take years to unwind.</t>
  </si>
  <si>
    <t>⚠️  KEY BENCHMARKS TO KNOW</t>
  </si>
  <si>
    <t>Brand CM % of Net Revenue: 35-45%+ = healthy | 25-35% = monitor | &lt;25% = unsustainable     |     Brand CM $ per unit: $0.40+ = strong | $0.25-0.40 = acceptable | &lt;$0.25 = fix before scaling     |     Price Gap vs. Floor: &gt;$1.00 = strategic runway | $0.25-$1.00 = limited flexibility | &lt;$0.25 = danger zone</t>
  </si>
  <si>
    <t>SRP</t>
  </si>
  <si>
    <t>PROMO TYPE</t>
  </si>
  <si>
    <t>PROMO PRICE</t>
  </si>
  <si>
    <t>DISC %</t>
  </si>
  <si>
    <t>SCAN / UNIT</t>
  </si>
  <si>
    <t>TOTAL SCAN COST</t>
  </si>
  <si>
    <t>BRAND NET REV / UNIT</t>
  </si>
  <si>
    <t>B/E LIFT %</t>
  </si>
  <si>
    <t>PROMO SCENARIO MATRIX — 4 Promo Types × 3 SRP Price Points</t>
  </si>
  <si>
    <t>Scan/unit = regular invoice − promo invoice. B/E Lift = total scan cost ÷ (brand net rev/unit at promo price × baseline units). Lift benchmarks from CPG industry research (NIQ/IRI/SPINS).</t>
  </si>
  <si>
    <t>GM$ LOST / UNIT vs. Regular</t>
  </si>
  <si>
    <t>TYPICAL LIFT RANGE</t>
  </si>
  <si>
    <t>$1 Off TPR</t>
  </si>
  <si>
    <t>15% – 30%</t>
  </si>
  <si>
    <t>2 for $5.49 (low depth)</t>
  </si>
  <si>
    <t>20% – 35%</t>
  </si>
  <si>
    <t>2 for $4.99 (deeper depth)</t>
  </si>
  <si>
    <t>30% – 50%</t>
  </si>
  <si>
    <t>50% – 100%+</t>
  </si>
  <si>
    <t>2 for $7.49 (low depth)</t>
  </si>
  <si>
    <t>2 for $6.99 (deeper depth)</t>
  </si>
  <si>
    <t>2 for $9.49 (low depth)</t>
  </si>
  <si>
    <t>2 for $8.99 (deeper depth)</t>
  </si>
  <si>
    <t>⚠️  Notes: B/E Lift % uses your baseline units (C12) and retailer margins (C9/C10) from inputs above — update those to see results change. Negative scan cost = promo price still above brand’s regular invoice; brand funds nothing. BOGO B/E lift is typically 85% because the brand effectively sells 2 units but only collects revenue on 1.</t>
  </si>
  <si>
    <t>10% – 20%</t>
  </si>
  <si>
    <t>2 for $16.99 (low depth ~5% off)</t>
  </si>
  <si>
    <t>15% – 25%</t>
  </si>
  <si>
    <t>2 for $15.99 (deeper depth ~11% off)</t>
  </si>
  <si>
    <t>20% – 40%</t>
  </si>
  <si>
    <t>💰 CASH CONVERSION CYCLE — Founder's Cash Flow Impact Tool</t>
  </si>
  <si>
    <t>See exactly how your payment decisions trap or free cash — change any yellow cell to explore the impact.</t>
  </si>
  <si>
    <t>📋 YOUR BUSINESS BASICS</t>
  </si>
  <si>
    <t>Annual COGS ($)  [cost of goods sold]</t>
  </si>
  <si>
    <t>→ Daily Revenue</t>
  </si>
  <si>
    <t>→ Daily COGS</t>
  </si>
  <si>
    <t>⚙️ SCENARIO INPUTS — Days</t>
  </si>
  <si>
    <t>Scenario A
(Current)</t>
  </si>
  <si>
    <t>Scenario B
(What If?)</t>
  </si>
  <si>
    <t>Difference</t>
  </si>
  <si>
    <t>Driver</t>
  </si>
  <si>
    <t>Cash Impact ($)</t>
  </si>
  <si>
    <t>DSO — Days customers take to pay you</t>
  </si>
  <si>
    <t>DSO (collect faster)</t>
  </si>
  <si>
    <t>DIO — Days inventory sits before sold</t>
  </si>
  <si>
    <t>DIO (lean inventory)</t>
  </si>
  <si>
    <t>DPO — Days you take to pay suppliers</t>
  </si>
  <si>
    <t>DPO (stretch payables)</t>
  </si>
  <si>
    <t>NET CASH FREED</t>
  </si>
  <si>
    <t>📊 CASH CONVERSION CYCLE (CCC = DSO + DIO − DPO)</t>
  </si>
  <si>
    <t>Days Sales Outstanding (DSO)</t>
  </si>
  <si>
    <t>Days Inventory Outstanding (DIO)</t>
  </si>
  <si>
    <t>Days Payable Outstanding (DPO)</t>
  </si>
  <si>
    <t>⟹  Cash Conversion Cycle (days)</t>
  </si>
  <si>
    <t>💸 THE REAL DOLLAR IMPACT ON YOUR CASH</t>
  </si>
  <si>
    <t>Cash Tied Up in Operations (CCC × Daily COGS)</t>
  </si>
  <si>
    <t>One-Time Cash Released / (Required) when switching A → B</t>
  </si>
  <si>
    <t>That's equivalent to this many months of runway freed</t>
  </si>
  <si>
    <t>💡 SALES EQUIVALENT — What Would It Take to Earn This in New Revenue?</t>
  </si>
  <si>
    <t>Gross Margin %  (Revenue − COGS)</t>
  </si>
  <si>
    <t>⭐ NEW SALES needed to equal this cash saving</t>
  </si>
  <si>
    <t>Optimizing your CCC terms saves you the equivalent of winning this much in NEW sales — with zero cost of sales, zero marketing spend, zero new customers.</t>
  </si>
  <si>
    <t>💡 DECISION BREAKDOWN — What's Actually Happening</t>
  </si>
  <si>
    <t>DSO Impact: cash freed by collecting faster (or cost of being slow)</t>
  </si>
  <si>
    <t>DIO Impact: cash freed by leaner inventory (or cost of overstocking)</t>
  </si>
  <si>
    <t>DPO Impact: cash freed by stretching payables (or cost of paying early)</t>
  </si>
  <si>
    <t>⟹  NET CASH IMPACT (should match above)</t>
  </si>
  <si>
    <t>🪦 REAL-WORLD EXAMPLES (tap in your own numbers above)</t>
  </si>
  <si>
    <t>DSO</t>
  </si>
  <si>
    <t>DIO</t>
  </si>
  <si>
    <t>DPO</t>
  </si>
  <si>
    <t>CCC</t>
  </si>
  <si>
    <t>Cash Tied Up*</t>
  </si>
  <si>
    <t>Cash-in-advance (worst case)</t>
  </si>
  <si>
    <t>Customer on Net 60, you pay COD</t>
  </si>
  <si>
    <t>Net 30 terms both sides (balanced)</t>
  </si>
  <si>
    <t>Net 30 in, Net 45 out (slightly better)</t>
  </si>
  <si>
    <t>Net 30 in, Net 60 out (strong)</t>
  </si>
  <si>
    <t>Negative CCC (retail giant model)</t>
  </si>
  <si>
    <t>*Sales Equiv = Cash Tied Up ÷ Gross Margin. Shows how much NEW revenue you'd need to generate the same cash as each CCC improvement. Updates with your numbers above.</t>
  </si>
  <si>
    <t>💳 REDUCE DSO — Get Paid Faster</t>
  </si>
  <si>
    <t>Offer early-pay discounts (2/10 Net 30)</t>
  </si>
  <si>
    <t>2% discount if paid in 10 days. For a buyer on thin margins, this is compelling. You trade 2% to get cash 20 days sooner.</t>
  </si>
  <si>
    <t>Invoice the moment product ships</t>
  </si>
  <si>
    <t>Every day of delay in sending the invoice is a free day of credit you never agreed to. Automate with your 3PL or ERP.</t>
  </si>
  <si>
    <t>Require ACH/wire, not check</t>
  </si>
  <si>
    <t>Paper checks add 5–10 days of float in transit and clearing. ACH eliminates this entirely at near-zero cost.</t>
  </si>
  <si>
    <t>Use receivables financing for large retail AR</t>
  </si>
  <si>
    <t>Retailers like Whole Foods / Target pay in 60–90 days. Invoice factoring or PO financing converts that AR to cash at 1–3% cost.</t>
  </si>
  <si>
    <t>Escalate overdue invoices on Day 31, not Day 61</t>
  </si>
  <si>
    <t>Build a 30-day follow-up cadence: email Day 28, call Day 31, escalate to leadership by Day 45. Silence signals you don’t need the cash.</t>
  </si>
  <si>
    <t>⚠️  Target: DSO under 35 days for wholesale. DTC should be near 0 (card-on-file).</t>
  </si>
  <si>
    <t>📦 REDUCE DIO — Move Inventory Faster</t>
  </si>
  <si>
    <t>Calculate sell-through rate before reordering</t>
  </si>
  <si>
    <t>Units sold ÷ units received = sell-through %. Order only when &gt; 70% sold. Ordering too early is the #1 cause of excess DIO.</t>
  </si>
  <si>
    <t>Rationalize slow SKUs before they pile up</t>
  </si>
  <si>
    <t>A SKU with DIO &gt; 90 days is costing you cash AND storage. Use the SKU Rationalization tab to identify and cut dead weight.</t>
  </si>
  <si>
    <t>Shift to make-to-order for eComm where possible</t>
  </si>
  <si>
    <t>DTC/Shopify orders can sometimes be fulfilled from smaller batch runs. Lean production beats carrying 90 days of finished goods.</t>
  </si>
  <si>
    <t>Use promotions strategically to clear aging inventory</t>
  </si>
  <si>
    <t>A well-timed scan deal or bundle can clear 3–4 months of excess stock in weeks — freeing cash faster than any financing option.</t>
  </si>
  <si>
    <t>Negotiate consignment terms with distributors</t>
  </si>
  <si>
    <t>For new SKU launches, push for consignment or scan-based payment so distributor takes the inventory risk, not you.</t>
  </si>
  <si>
    <t>⚠️  Target: DIO under 45 days for perishables; under 60 for shelf-stable CPG. Over 90 days = cash crisis in slow months.</t>
  </si>
  <si>
    <t>🏦 EXTEND DPO — Pay Suppliers Later (Without Burning Bridges)</t>
  </si>
  <si>
    <t>Negotiate Net 60 or Net 90 with your co-man or 3PL</t>
  </si>
  <si>
    <t>Most co-manufacturers default to Net 30 but will extend to Net 60 for brands with a consistent order history. Just ask. Frame it as partnership.</t>
  </si>
  <si>
    <t>Use a business credit card with grace period as a float buffer</t>
  </si>
  <si>
    <t>A card with 30–55-day grace + 45-day statement cycle = effective Net 75–85 on supplier purchases. Earns points too. Pay in full each cycle.</t>
  </si>
  <si>
    <t>Separate ingredient from packaging POs to stagger due dates</t>
  </si>
  <si>
    <t>If you order ingredients and packaging in the same PO, they’re due together. Split them to spread cash outflows across weeks.</t>
  </si>
  <si>
    <t>Time large POs to arrive after your biggest cash-in week</t>
  </si>
  <si>
    <t>Align production runs to follow your retailer payment cycle. If Target pays on the 15th, schedule co-man invoices due on the 20th.</t>
  </si>
  <si>
    <t>Don’t extend DPO past your supplier’s patience threshold</t>
  </si>
  <si>
    <t>A supplier who loses trust will require prepayment — instantly collapsing your DPO to zero. The relationship is worth more than 15 float days.</t>
  </si>
  <si>
    <t>⚠️  Target: DPO of 45–60 days for emerging brands. Under 30 = giving free credit. Over 90 without agreement = supplier relationship risk.</t>
  </si>
  <si>
    <r>
      <t xml:space="preserve">Most founders anchor on a "feels right" MSRP and hope the margins work out. This is backwards. </t>
    </r>
    <r>
      <rPr>
        <sz val="12"/>
        <color rgb="FFFF0000"/>
        <rFont val="Aptos Narrow (Body)"/>
      </rPr>
      <t>Start with Approach 2: plug in your COGS and minimum acceptable CM$, and let the model tell you the lowest price you can ever charge</t>
    </r>
    <r>
      <rPr>
        <sz val="12"/>
        <color theme="1"/>
        <rFont val="Aptos Narrow"/>
        <family val="2"/>
        <scheme val="minor"/>
      </rPr>
      <t xml:space="preserve"> (H18). This is your pricing floor — a hard constraint, not a suggestion. If your desired MSRP is below this number, you have a cost problem, not a pricing problem.</t>
    </r>
  </si>
  <si>
    <r>
      <t xml:space="preserve">H20 (Price Gap vs. COGS+ Floor) tells you how much room you have to maneuver. </t>
    </r>
    <r>
      <rPr>
        <sz val="12"/>
        <color rgb="FFFF0000"/>
        <rFont val="Aptos Narrow (Body)"/>
      </rPr>
      <t xml:space="preserve">A large positive gap (&gt;$1.00) means you have flexibility to run deeper promotions, absorb cost increases, or offer trade deals without going underwater. A gap near zero means you are operating with no margin of safety </t>
    </r>
    <r>
      <rPr>
        <sz val="12"/>
        <color theme="1"/>
        <rFont val="Aptos Narrow"/>
        <family val="2"/>
        <scheme val="minor"/>
      </rPr>
      <t>— any cost increase, freight spike, or retailer demand for deeper promos could put you below your floor. Protect this gap as your business scales.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</si>
</sst>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43" formatCode="_(* #,##0.00_);_(* \(#,##0.00\);_(* &quot;-&quot;??_);_(@_)"/>
    <numFmt numFmtId="164" formatCode="&quot;$&quot;#,##0.00"/>
    <numFmt numFmtId="165" formatCode="0.0%"/>
    <numFmt numFmtId="166" formatCode="&quot;$&quot;#,##0"/>
    <numFmt numFmtId="167" formatCode="&quot;$&quot;#,##0;\(&quot;$&quot;#,##0\);\-"/>
    <numFmt numFmtId="168" formatCode="0.0%;\(0.0%\);\-"/>
    <numFmt numFmtId="172" formatCode="0\ &quot;days&quot;"/>
    <numFmt numFmtId="173" formatCode="&quot;💵 +&quot;&quot;$&quot;#,##0;&quot;💸 -&quot;&quot;$&quot;#,##0"/>
    <numFmt numFmtId="174" formatCode="0.0\ &quot;months&quot;"/>
  </numFmts>
  <fonts count="86" x14ac:knownFonts="1">
    <font>
      <sz val="12"/>
      <color theme="1"/>
      <name val="Aptos Narrow"/>
      <family val="2"/>
      <scheme val="minor"/>
    </font>
    <font>
      <sz val="12"/>
      <color theme="1"/>
      <name val="Aptos Narrow"/>
      <family val="2"/>
      <scheme val="minor"/>
    </font>
    <font>
      <sz val="12"/>
      <color rgb="FF006100"/>
      <name val="Aptos Narrow"/>
      <family val="2"/>
      <scheme val="minor"/>
    </font>
    <font>
      <b/>
      <sz val="12"/>
      <color theme="1"/>
      <name val="Aptos Narrow"/>
      <family val="2"/>
      <scheme val="minor"/>
    </font>
    <font>
      <i/>
      <sz val="12"/>
      <color theme="1"/>
      <name val="Aptos Narrow"/>
      <family val="2"/>
      <scheme val="minor"/>
    </font>
    <font>
      <b/>
      <sz val="13"/>
      <color theme="1"/>
      <name val="Aptos Narrow"/>
      <family val="2"/>
      <scheme val="minor"/>
    </font>
    <font>
      <b/>
      <sz val="13"/>
      <color rgb="FF1F3864"/>
      <name val="Aptos Narrow"/>
      <family val="2"/>
      <scheme val="minor"/>
    </font>
    <font>
      <sz val="11"/>
      <color theme="1"/>
      <name val="Aptos Narrow"/>
      <family val="2"/>
      <scheme val="minor"/>
    </font>
    <font>
      <b/>
      <sz val="11"/>
      <color theme="1"/>
      <name val="Aptos Narrow"/>
      <family val="2"/>
      <scheme val="minor"/>
    </font>
    <font>
      <sz val="10"/>
      <color theme="1"/>
      <name val="Aptos Narrow"/>
      <family val="2"/>
      <scheme val="minor"/>
    </font>
    <font>
      <b/>
      <sz val="18"/>
      <color rgb="FFFFFFFF"/>
      <name val="Aptos Narrow"/>
      <family val="2"/>
      <scheme val="minor"/>
    </font>
    <font>
      <i/>
      <sz val="10"/>
      <color rgb="FFFFFFFF"/>
      <name val="Aptos Narrow"/>
      <family val="2"/>
      <scheme val="minor"/>
    </font>
    <font>
      <b/>
      <sz val="10"/>
      <color theme="1"/>
      <name val="Aptos Narrow"/>
      <family val="2"/>
      <scheme val="minor"/>
    </font>
    <font>
      <b/>
      <sz val="10"/>
      <color rgb="FFFFFFFF"/>
      <name val="Aptos Narrow"/>
      <family val="2"/>
      <scheme val="minor"/>
    </font>
    <font>
      <b/>
      <sz val="9"/>
      <color rgb="FFFFFFFF"/>
      <name val="Aptos Narrow"/>
      <family val="2"/>
      <scheme val="minor"/>
    </font>
    <font>
      <sz val="10"/>
      <color rgb="FF0000FF"/>
      <name val="Aptos Narrow"/>
      <family val="2"/>
      <scheme val="minor"/>
    </font>
    <font>
      <b/>
      <sz val="10"/>
      <color rgb="FF00B050"/>
      <name val="Aptos Narrow"/>
      <family val="2"/>
      <scheme val="minor"/>
    </font>
    <font>
      <b/>
      <sz val="10"/>
      <color rgb="FFC07000"/>
      <name val="Aptos Narrow"/>
      <family val="2"/>
      <scheme val="minor"/>
    </font>
    <font>
      <b/>
      <sz val="10"/>
      <color rgb="FFC00000"/>
      <name val="Aptos Narrow"/>
      <family val="2"/>
      <scheme val="minor"/>
    </font>
    <font>
      <b/>
      <sz val="12"/>
      <color rgb="FFFFFFFF"/>
      <name val="Aptos Narrow"/>
      <family val="2"/>
      <scheme val="minor"/>
    </font>
    <font>
      <b/>
      <sz val="12"/>
      <color rgb="FF1F3864"/>
      <name val="Aptos Narrow"/>
      <family val="2"/>
      <scheme val="minor"/>
    </font>
    <font>
      <b/>
      <sz val="10"/>
      <color rgb="FF006100"/>
      <name val="Aptos Narrow"/>
      <family val="2"/>
      <scheme val="minor"/>
    </font>
    <font>
      <b/>
      <sz val="10"/>
      <color rgb="FF7D4A00"/>
      <name val="Aptos Narrow"/>
      <family val="2"/>
      <scheme val="minor"/>
    </font>
    <font>
      <sz val="12"/>
      <color rgb="FF7D4A00"/>
      <name val="Aptos Narrow"/>
      <family val="2"/>
      <scheme val="minor"/>
    </font>
    <font>
      <b/>
      <sz val="12"/>
      <color rgb="FFC00000"/>
      <name val="Aptos Narrow"/>
      <family val="2"/>
      <scheme val="minor"/>
    </font>
    <font>
      <sz val="12"/>
      <color rgb="FFC00000"/>
      <name val="Aptos Narrow"/>
      <family val="2"/>
      <scheme val="minor"/>
    </font>
    <font>
      <sz val="12"/>
      <color rgb="FF0000FF"/>
      <name val="Aptos Narrow"/>
      <family val="2"/>
      <scheme val="minor"/>
    </font>
    <font>
      <b/>
      <sz val="12"/>
      <color rgb="FF00B050"/>
      <name val="Aptos Narrow"/>
      <family val="2"/>
      <scheme val="minor"/>
    </font>
    <font>
      <sz val="14"/>
      <color theme="1"/>
      <name val="Aptos Narrow"/>
      <family val="2"/>
      <scheme val="minor"/>
    </font>
    <font>
      <i/>
      <sz val="11"/>
      <color rgb="FF555555"/>
      <name val="Aptos Narrow"/>
      <family val="2"/>
      <scheme val="minor"/>
    </font>
    <font>
      <b/>
      <sz val="12"/>
      <color rgb="FF0000AA"/>
      <name val="Aptos Narrow"/>
      <family val="2"/>
      <scheme val="minor"/>
    </font>
    <font>
      <b/>
      <sz val="13"/>
      <color rgb="FFFFFFFF"/>
      <name val="Aptos Narrow"/>
      <family val="2"/>
      <scheme val="minor"/>
    </font>
    <font>
      <sz val="12"/>
      <color rgb="FFE97132"/>
      <name val="Aptos Narrow"/>
      <family val="2"/>
      <scheme val="minor"/>
    </font>
    <font>
      <b/>
      <sz val="12"/>
      <color rgb="FFE97132"/>
      <name val="Aptos Narrow"/>
      <family val="2"/>
      <scheme val="minor"/>
    </font>
    <font>
      <b/>
      <sz val="13"/>
      <color rgb="FF156082"/>
      <name val="Aptos Narrow"/>
      <family val="2"/>
      <scheme val="minor"/>
    </font>
    <font>
      <b/>
      <sz val="12"/>
      <color rgb="FF156082"/>
      <name val="Aptos Narrow"/>
      <family val="2"/>
      <scheme val="minor"/>
    </font>
    <font>
      <sz val="12"/>
      <color rgb="FF555555"/>
      <name val="Aptos Narrow"/>
      <family val="2"/>
      <scheme val="minor"/>
    </font>
    <font>
      <b/>
      <sz val="14"/>
      <color rgb="FFFFFFFF"/>
      <name val="Aptos Narrow"/>
      <family val="2"/>
      <scheme val="minor"/>
    </font>
    <font>
      <b/>
      <sz val="12"/>
      <color rgb="FF555555"/>
      <name val="Aptos Narrow"/>
      <family val="2"/>
      <scheme val="minor"/>
    </font>
    <font>
      <sz val="13"/>
      <color theme="1"/>
      <name val="Aptos Narrow"/>
      <family val="2"/>
      <scheme val="minor"/>
    </font>
    <font>
      <b/>
      <i/>
      <sz val="12"/>
      <color theme="1"/>
      <name val="Aptos Narrow"/>
      <scheme val="minor"/>
    </font>
    <font>
      <b/>
      <sz val="12"/>
      <color theme="1"/>
      <name val="Aptos Narrow"/>
      <scheme val="minor"/>
    </font>
    <font>
      <b/>
      <sz val="15"/>
      <color rgb="FFFFFFFF"/>
      <name val="Aptos Narrow"/>
      <family val="2"/>
      <scheme val="minor"/>
    </font>
    <font>
      <i/>
      <sz val="12"/>
      <color rgb="FF595959"/>
      <name val="Aptos Narrow"/>
      <family val="2"/>
      <scheme val="minor"/>
    </font>
    <font>
      <i/>
      <sz val="13"/>
      <color rgb="FFFFFFFF"/>
      <name val="Aptos Narrow"/>
      <family val="2"/>
      <scheme val="minor"/>
    </font>
    <font>
      <b/>
      <sz val="22"/>
      <color rgb="FFFFFFFF"/>
      <name val="Aptos Narrow"/>
      <family val="2"/>
      <scheme val="minor"/>
    </font>
    <font>
      <sz val="22"/>
      <color theme="1"/>
      <name val="Aptos Narrow"/>
      <family val="2"/>
      <scheme val="minor"/>
    </font>
    <font>
      <b/>
      <sz val="11"/>
      <color rgb="FF1F4E79"/>
      <name val="Aptos Narrow"/>
      <family val="2"/>
      <scheme val="minor"/>
    </font>
    <font>
      <b/>
      <sz val="12"/>
      <color rgb="FF000000"/>
      <name val="Aptos Narrow"/>
      <family val="2"/>
      <scheme val="minor"/>
    </font>
    <font>
      <b/>
      <sz val="12"/>
      <color rgb="FF1F4E79"/>
      <name val="Aptos Narrow"/>
      <family val="2"/>
      <scheme val="minor"/>
    </font>
    <font>
      <sz val="12"/>
      <color rgb="FF595959"/>
      <name val="Aptos Narrow"/>
      <family val="2"/>
      <scheme val="minor"/>
    </font>
    <font>
      <i/>
      <sz val="13"/>
      <color rgb="FF595959"/>
      <name val="Aptos Narrow"/>
      <family val="2"/>
      <scheme val="minor"/>
    </font>
    <font>
      <sz val="15"/>
      <color theme="1"/>
      <name val="Aptos Narrow"/>
      <family val="2"/>
      <scheme val="minor"/>
    </font>
    <font>
      <b/>
      <sz val="13"/>
      <color rgb="FF0000AA"/>
      <name val="Aptos Narrow"/>
      <family val="2"/>
      <scheme val="minor"/>
    </font>
    <font>
      <b/>
      <sz val="13"/>
      <color rgb="FFC00000"/>
      <name val="Aptos Narrow"/>
      <family val="2"/>
      <scheme val="minor"/>
    </font>
    <font>
      <sz val="13"/>
      <color theme="1"/>
      <name val="Aptos Narrow"/>
      <scheme val="minor"/>
    </font>
    <font>
      <b/>
      <sz val="13"/>
      <color rgb="FF156082"/>
      <name val="Aptos Narrow"/>
      <scheme val="minor"/>
    </font>
    <font>
      <b/>
      <sz val="13"/>
      <color rgb="FFC00000"/>
      <name val="Aptos Narrow"/>
      <scheme val="minor"/>
    </font>
    <font>
      <b/>
      <sz val="13"/>
      <color theme="1"/>
      <name val="Aptos Narrow"/>
      <scheme val="minor"/>
    </font>
    <font>
      <b/>
      <sz val="13"/>
      <color rgb="FF333333"/>
      <name val="Aptos Narrow"/>
      <scheme val="minor"/>
    </font>
    <font>
      <b/>
      <sz val="13"/>
      <color rgb="FFC07000"/>
      <name val="Aptos Narrow"/>
      <scheme val="minor"/>
    </font>
    <font>
      <sz val="13"/>
      <color rgb="FF156082"/>
      <name val="Aptos Narrow"/>
      <family val="2"/>
      <scheme val="minor"/>
    </font>
    <font>
      <sz val="13"/>
      <color rgb="FFC00000"/>
      <name val="Aptos Narrow"/>
      <family val="2"/>
      <scheme val="minor"/>
    </font>
    <font>
      <sz val="13"/>
      <color rgb="FF555555"/>
      <name val="Aptos Narrow"/>
      <family val="2"/>
      <scheme val="minor"/>
    </font>
    <font>
      <b/>
      <sz val="16"/>
      <color rgb="FFFFFFFF"/>
      <name val="Aptos Narrow"/>
      <family val="2"/>
      <scheme val="minor"/>
    </font>
    <font>
      <b/>
      <sz val="12"/>
      <color rgb="FF595959"/>
      <name val="Aptos Narrow"/>
      <family val="2"/>
      <scheme val="minor"/>
    </font>
    <font>
      <b/>
      <sz val="12"/>
      <color rgb="FF375623"/>
      <name val="Aptos Narrow"/>
      <family val="2"/>
      <scheme val="minor"/>
    </font>
    <font>
      <b/>
      <sz val="13"/>
      <color rgb="FF375623"/>
      <name val="Aptos Narrow"/>
      <family val="2"/>
      <scheme val="minor"/>
    </font>
    <font>
      <i/>
      <sz val="9"/>
      <color rgb="FF595959"/>
      <name val="Aptos Narrow"/>
      <family val="2"/>
      <scheme val="minor"/>
    </font>
    <font>
      <sz val="12"/>
      <color rgb="FF7F7F7F"/>
      <name val="Aptos Narrow"/>
      <family val="2"/>
      <scheme val="minor"/>
    </font>
    <font>
      <sz val="12"/>
      <color rgb="FF375623"/>
      <name val="Aptos Narrow"/>
      <family val="2"/>
      <scheme val="minor"/>
    </font>
    <font>
      <i/>
      <sz val="9"/>
      <color rgb="FF7F7F7F"/>
      <name val="Aptos Narrow"/>
      <family val="2"/>
      <scheme val="minor"/>
    </font>
    <font>
      <b/>
      <i/>
      <sz val="13"/>
      <color rgb="FFFFFFFF"/>
      <name val="Aptos Narrow"/>
      <family val="2"/>
      <scheme val="minor"/>
    </font>
    <font>
      <b/>
      <sz val="13"/>
      <color rgb="FF0070C0"/>
      <name val="Aptos Narrow"/>
      <family val="2"/>
      <scheme val="minor"/>
    </font>
    <font>
      <sz val="13"/>
      <color rgb="FF595959"/>
      <name val="Aptos Narrow"/>
      <family val="2"/>
      <scheme val="minor"/>
    </font>
    <font>
      <b/>
      <sz val="13"/>
      <color rgb="FF595959"/>
      <name val="Aptos Narrow"/>
      <family val="2"/>
      <scheme val="minor"/>
    </font>
    <font>
      <b/>
      <i/>
      <sz val="13"/>
      <color rgb="FF595959"/>
      <name val="Aptos Narrow"/>
      <family val="2"/>
      <scheme val="minor"/>
    </font>
    <font>
      <b/>
      <sz val="14"/>
      <color rgb="FF7030A0"/>
      <name val="Aptos Narrow"/>
      <family val="2"/>
      <scheme val="minor"/>
    </font>
    <font>
      <b/>
      <sz val="10"/>
      <color rgb="FFFFFFFF"/>
      <name val="Aptos Narrow"/>
      <scheme val="minor"/>
    </font>
    <font>
      <b/>
      <sz val="10"/>
      <color rgb="FF1F3864"/>
      <name val="Aptos Narrow"/>
      <scheme val="minor"/>
    </font>
    <font>
      <sz val="10"/>
      <color rgb="FF404040"/>
      <name val="Aptos Narrow"/>
      <scheme val="minor"/>
    </font>
    <font>
      <i/>
      <sz val="9"/>
      <color rgb="FFC55A11"/>
      <name val="Aptos Narrow"/>
      <scheme val="minor"/>
    </font>
    <font>
      <b/>
      <i/>
      <sz val="9"/>
      <color rgb="FFC55A11"/>
      <name val="Aptos Narrow"/>
      <scheme val="minor"/>
    </font>
    <font>
      <sz val="12"/>
      <color rgb="FFFF0000"/>
      <name val="Aptos Narrow"/>
      <family val="2"/>
      <scheme val="minor"/>
    </font>
    <font>
      <sz val="12"/>
      <color rgb="FFFF0000"/>
      <name val="Aptos Narrow (Body)"/>
    </font>
    <font>
      <b/>
      <sz val="13"/>
      <color rgb="FF1F4E79"/>
      <name val="Aptos Narrow"/>
      <scheme val="minor"/>
    </font>
  </fonts>
  <fills count="47">
    <fill>
      <patternFill patternType="none"/>
    </fill>
    <fill>
      <patternFill patternType="gray125"/>
    </fill>
    <fill>
      <patternFill patternType="solid">
        <fgColor rgb="FFFFFFFF"/>
        <bgColor indexed="64"/>
      </patternFill>
    </fill>
    <fill>
      <patternFill patternType="solid">
        <fgColor rgb="FF1F3864"/>
        <bgColor indexed="64"/>
      </patternFill>
    </fill>
    <fill>
      <patternFill patternType="solid">
        <fgColor rgb="FF2E5EAA"/>
        <bgColor indexed="64"/>
      </patternFill>
    </fill>
    <fill>
      <patternFill patternType="solid">
        <fgColor rgb="FFEEF2FF"/>
        <bgColor indexed="64"/>
      </patternFill>
    </fill>
    <fill>
      <patternFill patternType="solid">
        <fgColor rgb="FF4472C4"/>
        <bgColor indexed="64"/>
      </patternFill>
    </fill>
    <fill>
      <patternFill patternType="solid">
        <fgColor rgb="FFE2EFDA"/>
        <bgColor indexed="64"/>
      </patternFill>
    </fill>
    <fill>
      <patternFill patternType="solid">
        <fgColor rgb="FFF0F4FF"/>
        <bgColor indexed="64"/>
      </patternFill>
    </fill>
    <fill>
      <patternFill patternType="solid">
        <fgColor rgb="FFFFF2CC"/>
        <bgColor indexed="64"/>
      </patternFill>
    </fill>
    <fill>
      <patternFill patternType="solid">
        <fgColor rgb="FFFFE7E7"/>
        <bgColor indexed="64"/>
      </patternFill>
    </fill>
    <fill>
      <patternFill patternType="solid">
        <fgColor rgb="FFDCE6F1"/>
        <bgColor indexed="64"/>
      </patternFill>
    </fill>
    <fill>
      <patternFill patternType="solid">
        <fgColor rgb="FFF5F8FF"/>
        <bgColor indexed="64"/>
      </patternFill>
    </fill>
    <fill>
      <patternFill patternType="solid">
        <fgColor rgb="FFDDEEFF"/>
        <bgColor indexed="64"/>
      </patternFill>
    </fill>
    <fill>
      <patternFill patternType="solid">
        <fgColor rgb="FFF5F5F5"/>
        <bgColor indexed="64"/>
      </patternFill>
    </fill>
    <fill>
      <patternFill patternType="solid">
        <fgColor rgb="FFFFFDE7"/>
        <bgColor indexed="64"/>
      </patternFill>
    </fill>
    <fill>
      <patternFill patternType="solid">
        <fgColor rgb="FFFFFF00"/>
        <bgColor indexed="64"/>
      </patternFill>
    </fill>
    <fill>
      <patternFill patternType="solid">
        <fgColor rgb="FF156082"/>
        <bgColor indexed="64"/>
      </patternFill>
    </fill>
    <fill>
      <patternFill patternType="solid">
        <fgColor rgb="FF0E4A62"/>
        <bgColor indexed="64"/>
      </patternFill>
    </fill>
    <fill>
      <patternFill patternType="solid">
        <fgColor rgb="FFE97132"/>
        <bgColor indexed="64"/>
      </patternFill>
    </fill>
    <fill>
      <patternFill patternType="solid">
        <fgColor rgb="FF1A7A9E"/>
        <bgColor indexed="64"/>
      </patternFill>
    </fill>
    <fill>
      <patternFill patternType="solid">
        <fgColor rgb="FFB85A22"/>
        <bgColor indexed="64"/>
      </patternFill>
    </fill>
    <fill>
      <patternFill patternType="solid">
        <fgColor rgb="FFFAFCFF"/>
        <bgColor indexed="64"/>
      </patternFill>
    </fill>
    <fill>
      <patternFill patternType="solid">
        <fgColor rgb="FFF0F4F8"/>
        <bgColor indexed="64"/>
      </patternFill>
    </fill>
    <fill>
      <patternFill patternType="solid">
        <fgColor rgb="FFEFF6FA"/>
        <bgColor indexed="64"/>
      </patternFill>
    </fill>
    <fill>
      <patternFill patternType="solid">
        <fgColor rgb="FFF5F9FB"/>
        <bgColor indexed="64"/>
      </patternFill>
    </fill>
    <fill>
      <patternFill patternType="solid">
        <fgColor theme="0"/>
        <bgColor indexed="64"/>
      </patternFill>
    </fill>
    <fill>
      <patternFill patternType="solid">
        <fgColor rgb="FF2E75B6"/>
        <bgColor indexed="64"/>
      </patternFill>
    </fill>
    <fill>
      <patternFill patternType="solid">
        <fgColor rgb="FFFFE620"/>
        <bgColor indexed="64"/>
      </patternFill>
    </fill>
    <fill>
      <patternFill patternType="solid">
        <fgColor rgb="FF1F4E79"/>
        <bgColor indexed="64"/>
      </patternFill>
    </fill>
    <fill>
      <patternFill patternType="solid">
        <fgColor rgb="FFD6E4F0"/>
        <bgColor indexed="64"/>
      </patternFill>
    </fill>
    <fill>
      <patternFill patternType="solid">
        <fgColor rgb="FFFCE4D6"/>
        <bgColor indexed="64"/>
      </patternFill>
    </fill>
    <fill>
      <patternFill patternType="solid">
        <fgColor rgb="FFEAD1DC"/>
        <bgColor indexed="64"/>
      </patternFill>
    </fill>
    <fill>
      <patternFill patternType="solid">
        <fgColor rgb="FFFFE0E0"/>
        <bgColor indexed="64"/>
      </patternFill>
    </fill>
    <fill>
      <patternFill patternType="solid">
        <fgColor rgb="FFD9D2E9"/>
        <bgColor indexed="64"/>
      </patternFill>
    </fill>
    <fill>
      <patternFill patternType="solid">
        <fgColor rgb="FFC55A11"/>
        <bgColor indexed="64"/>
      </patternFill>
    </fill>
    <fill>
      <patternFill patternType="solid">
        <fgColor rgb="FF375623"/>
        <bgColor indexed="64"/>
      </patternFill>
    </fill>
    <fill>
      <patternFill patternType="solid">
        <fgColor rgb="FF7030A0"/>
        <bgColor indexed="64"/>
      </patternFill>
    </fill>
    <fill>
      <patternFill patternType="solid">
        <fgColor rgb="FFEAD1FF"/>
        <bgColor indexed="64"/>
      </patternFill>
    </fill>
    <fill>
      <patternFill patternType="solid">
        <fgColor rgb="FF44546A"/>
        <bgColor indexed="64"/>
      </patternFill>
    </fill>
    <fill>
      <patternFill patternType="solid">
        <fgColor rgb="FFD9E1F2"/>
        <bgColor indexed="64"/>
      </patternFill>
    </fill>
    <fill>
      <patternFill patternType="solid">
        <fgColor rgb="FFF8F8F8"/>
        <bgColor indexed="64"/>
      </patternFill>
    </fill>
    <fill>
      <patternFill patternType="solid">
        <fgColor rgb="FFEBF3E8"/>
        <bgColor indexed="64"/>
      </patternFill>
    </fill>
    <fill>
      <patternFill patternType="solid">
        <fgColor rgb="FFD9EAD3"/>
        <bgColor indexed="64"/>
      </patternFill>
    </fill>
    <fill>
      <patternFill patternType="solid">
        <fgColor rgb="FFB6D7A8"/>
        <bgColor indexed="64"/>
      </patternFill>
    </fill>
    <fill>
      <patternFill patternType="solid">
        <fgColor rgb="FFEBF3FB"/>
        <bgColor indexed="64"/>
      </patternFill>
    </fill>
    <fill>
      <patternFill patternType="solid">
        <fgColor theme="7" tint="0.79998168889431442"/>
        <bgColor indexed="64"/>
      </patternFill>
    </fill>
  </fills>
  <borders count="56">
    <border>
      <left/>
      <right/>
      <top/>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CCCCCC"/>
      </right>
      <top/>
      <bottom style="thin">
        <color rgb="FFCCCCCC"/>
      </bottom>
      <diagonal/>
    </border>
    <border>
      <left style="thin">
        <color rgb="FFCCCCCC"/>
      </left>
      <right style="medium">
        <color indexed="64"/>
      </right>
      <top/>
      <bottom style="thin">
        <color rgb="FFCCCCCC"/>
      </bottom>
      <diagonal/>
    </border>
    <border>
      <left style="medium">
        <color indexed="64"/>
      </left>
      <right style="thin">
        <color rgb="FFCCCCCC"/>
      </right>
      <top style="thin">
        <color rgb="FFCCCCCC"/>
      </top>
      <bottom style="thin">
        <color rgb="FFCCCCCC"/>
      </bottom>
      <diagonal/>
    </border>
    <border>
      <left style="thin">
        <color rgb="FFCCCCCC"/>
      </left>
      <right style="medium">
        <color indexed="64"/>
      </right>
      <top style="thin">
        <color rgb="FFCCCCCC"/>
      </top>
      <bottom style="thin">
        <color rgb="FFCCCCCC"/>
      </bottom>
      <diagonal/>
    </border>
    <border>
      <left style="medium">
        <color indexed="64"/>
      </left>
      <right style="thin">
        <color rgb="FFCCCCCC"/>
      </right>
      <top style="thin">
        <color rgb="FFCCCCCC"/>
      </top>
      <bottom/>
      <diagonal/>
    </border>
    <border>
      <left style="thin">
        <color rgb="FFCCCCCC"/>
      </left>
      <right style="medium">
        <color indexed="64"/>
      </right>
      <top style="thin">
        <color rgb="FFCCCCCC"/>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56082"/>
      </left>
      <right style="thin">
        <color rgb="FF156082"/>
      </right>
      <top style="thin">
        <color rgb="FF156082"/>
      </top>
      <bottom style="thin">
        <color rgb="FF156082"/>
      </bottom>
      <diagonal/>
    </border>
    <border>
      <left style="thin">
        <color rgb="FF156082"/>
      </left>
      <right style="thin">
        <color rgb="FF156082"/>
      </right>
      <top style="thin">
        <color rgb="FF156082"/>
      </top>
      <bottom/>
      <diagonal/>
    </border>
    <border>
      <left style="thin">
        <color rgb="FF156082"/>
      </left>
      <right style="thin">
        <color rgb="FF156082"/>
      </right>
      <top/>
      <bottom/>
      <diagonal/>
    </border>
    <border>
      <left style="thin">
        <color rgb="FF156082"/>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style="thin">
        <color auto="1"/>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auto="1"/>
      </bottom>
      <diagonal/>
    </border>
    <border>
      <left/>
      <right style="medium">
        <color indexed="64"/>
      </right>
      <top style="thin">
        <color indexed="64"/>
      </top>
      <bottom style="thin">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medium">
        <color indexed="64"/>
      </left>
      <right style="thin">
        <color rgb="FFBDD7EE"/>
      </right>
      <top style="thin">
        <color rgb="FFBDD7EE"/>
      </top>
      <bottom/>
      <diagonal/>
    </border>
    <border>
      <left style="thin">
        <color rgb="FFBDD7EE"/>
      </left>
      <right style="thin">
        <color rgb="FFBDD7EE"/>
      </right>
      <top style="thin">
        <color rgb="FFBDD7EE"/>
      </top>
      <bottom/>
      <diagonal/>
    </border>
    <border>
      <left style="medium">
        <color indexed="64"/>
      </left>
      <right style="thin">
        <color rgb="FFCDA9E8"/>
      </right>
      <top style="thin">
        <color rgb="FF7030A0"/>
      </top>
      <bottom style="thin">
        <color rgb="FFCDA9E8"/>
      </bottom>
      <diagonal/>
    </border>
    <border>
      <left style="thin">
        <color rgb="FFCDA9E8"/>
      </left>
      <right style="thin">
        <color rgb="FFCDA9E8"/>
      </right>
      <top style="thin">
        <color rgb="FF7030A0"/>
      </top>
      <bottom style="thin">
        <color rgb="FFCDA9E8"/>
      </bottom>
      <diagonal/>
    </border>
    <border>
      <left style="thin">
        <color rgb="FFCDA9E8"/>
      </left>
      <right style="thin">
        <color rgb="FF7030A0"/>
      </right>
      <top style="thin">
        <color rgb="FF7030A0"/>
      </top>
      <bottom style="thin">
        <color rgb="FFCDA9E8"/>
      </bottom>
      <diagonal/>
    </border>
    <border>
      <left style="medium">
        <color indexed="64"/>
      </left>
      <right style="thin">
        <color rgb="FFCDA9E8"/>
      </right>
      <top style="thin">
        <color rgb="FFCDA9E8"/>
      </top>
      <bottom style="thin">
        <color rgb="FFCDA9E8"/>
      </bottom>
      <diagonal/>
    </border>
    <border>
      <left style="thin">
        <color rgb="FFCDA9E8"/>
      </left>
      <right style="thin">
        <color rgb="FFCDA9E8"/>
      </right>
      <top style="thin">
        <color rgb="FFCDA9E8"/>
      </top>
      <bottom style="thin">
        <color rgb="FFCDA9E8"/>
      </bottom>
      <diagonal/>
    </border>
    <border>
      <left style="thin">
        <color rgb="FFCDA9E8"/>
      </left>
      <right style="thin">
        <color rgb="FF7030A0"/>
      </right>
      <top style="thin">
        <color rgb="FFCDA9E8"/>
      </top>
      <bottom style="thin">
        <color rgb="FFCDA9E8"/>
      </bottom>
      <diagonal/>
    </border>
    <border>
      <left style="medium">
        <color indexed="64"/>
      </left>
      <right style="thin">
        <color rgb="FFCDA9E8"/>
      </right>
      <top style="thin">
        <color rgb="FFCDA9E8"/>
      </top>
      <bottom style="medium">
        <color indexed="64"/>
      </bottom>
      <diagonal/>
    </border>
    <border>
      <left style="thin">
        <color rgb="FFCDA9E8"/>
      </left>
      <right style="thin">
        <color rgb="FFCDA9E8"/>
      </right>
      <top style="thin">
        <color rgb="FFCDA9E8"/>
      </top>
      <bottom style="medium">
        <color indexed="64"/>
      </bottom>
      <diagonal/>
    </border>
    <border>
      <left style="thin">
        <color rgb="FFCDA9E8"/>
      </left>
      <right style="thin">
        <color rgb="FF7030A0"/>
      </right>
      <top style="thin">
        <color rgb="FFCDA9E8"/>
      </top>
      <bottom style="medium">
        <color indexed="64"/>
      </bottom>
      <diagonal/>
    </border>
    <border>
      <left style="thin">
        <color rgb="FFBDD7EE"/>
      </left>
      <right style="thin">
        <color rgb="FFBDD7EE"/>
      </right>
      <top/>
      <bottom style="thin">
        <color rgb="FFBDD7EE"/>
      </bottom>
      <diagonal/>
    </border>
    <border>
      <left style="thin">
        <color rgb="FFBDD7EE"/>
      </left>
      <right/>
      <top style="thin">
        <color rgb="FFBDD7EE"/>
      </top>
      <bottom style="thin">
        <color rgb="FFBDD7EE"/>
      </bottom>
      <diagonal/>
    </border>
    <border>
      <left style="medium">
        <color indexed="64"/>
      </left>
      <right style="thin">
        <color rgb="FFBDD7EE"/>
      </right>
      <top style="thin">
        <color rgb="FFBDD7EE"/>
      </top>
      <bottom style="medium">
        <color indexed="64"/>
      </bottom>
      <diagonal/>
    </border>
    <border>
      <left style="thin">
        <color rgb="FFBDD7EE"/>
      </left>
      <right style="thin">
        <color rgb="FFBDD7EE"/>
      </right>
      <top style="thin">
        <color rgb="FFBDD7EE"/>
      </top>
      <bottom style="medium">
        <color indexed="64"/>
      </bottom>
      <diagonal/>
    </border>
    <border>
      <left style="thin">
        <color rgb="FFBDD7EE"/>
      </left>
      <right/>
      <top style="thin">
        <color rgb="FFBDD7EE"/>
      </top>
      <bottom style="medium">
        <color indexed="64"/>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477">
    <xf numFmtId="0" fontId="0" fillId="0" borderId="0" xfId="0"/>
    <xf numFmtId="0" fontId="9" fillId="2" borderId="0" xfId="0" applyFont="1" applyFill="1" applyAlignment="1">
      <alignment vertical="center"/>
    </xf>
    <xf numFmtId="0" fontId="19" fillId="3" borderId="0" xfId="0" applyFont="1" applyFill="1"/>
    <xf numFmtId="0" fontId="14" fillId="3" borderId="1" xfId="0" applyFont="1" applyFill="1" applyBorder="1" applyAlignment="1">
      <alignment horizontal="center" vertical="center" wrapText="1"/>
    </xf>
    <xf numFmtId="0" fontId="9" fillId="2" borderId="2" xfId="0" applyFont="1" applyFill="1" applyBorder="1" applyAlignment="1">
      <alignment horizontal="left" vertical="center"/>
    </xf>
    <xf numFmtId="3" fontId="9" fillId="2" borderId="2" xfId="0" applyNumberFormat="1" applyFont="1" applyFill="1" applyBorder="1" applyAlignment="1">
      <alignment horizontal="center" vertical="center"/>
    </xf>
    <xf numFmtId="164" fontId="9" fillId="2" borderId="2" xfId="0" applyNumberFormat="1" applyFont="1" applyFill="1" applyBorder="1" applyAlignment="1">
      <alignment horizontal="center" vertical="center"/>
    </xf>
    <xf numFmtId="165" fontId="9" fillId="2" borderId="2" xfId="0" applyNumberFormat="1" applyFont="1" applyFill="1" applyBorder="1" applyAlignment="1">
      <alignment horizontal="center" vertical="center"/>
    </xf>
    <xf numFmtId="165" fontId="15" fillId="2" borderId="2" xfId="0" applyNumberFormat="1" applyFont="1" applyFill="1" applyBorder="1" applyAlignment="1">
      <alignment horizontal="center" vertical="center"/>
    </xf>
    <xf numFmtId="166" fontId="9" fillId="2" borderId="2" xfId="0" applyNumberFormat="1" applyFont="1" applyFill="1" applyBorder="1" applyAlignment="1">
      <alignment horizontal="center" vertical="center"/>
    </xf>
    <xf numFmtId="0" fontId="9" fillId="8" borderId="2" xfId="0" applyFont="1" applyFill="1" applyBorder="1" applyAlignment="1">
      <alignment horizontal="left" vertical="center"/>
    </xf>
    <xf numFmtId="3" fontId="9" fillId="8" borderId="2" xfId="0" applyNumberFormat="1" applyFont="1" applyFill="1" applyBorder="1" applyAlignment="1">
      <alignment horizontal="center" vertical="center"/>
    </xf>
    <xf numFmtId="164" fontId="9" fillId="8" borderId="2" xfId="0" applyNumberFormat="1" applyFont="1" applyFill="1" applyBorder="1" applyAlignment="1">
      <alignment horizontal="center" vertical="center"/>
    </xf>
    <xf numFmtId="165" fontId="9" fillId="8" borderId="2" xfId="0" applyNumberFormat="1" applyFont="1" applyFill="1" applyBorder="1" applyAlignment="1">
      <alignment horizontal="center" vertical="center"/>
    </xf>
    <xf numFmtId="165" fontId="15" fillId="8" borderId="2" xfId="0" applyNumberFormat="1" applyFont="1" applyFill="1" applyBorder="1" applyAlignment="1">
      <alignment horizontal="center" vertical="center"/>
    </xf>
    <xf numFmtId="166" fontId="9" fillId="8" borderId="2" xfId="0" applyNumberFormat="1" applyFont="1" applyFill="1" applyBorder="1" applyAlignment="1">
      <alignment horizontal="center" vertical="center"/>
    </xf>
    <xf numFmtId="0" fontId="0" fillId="0" borderId="2" xfId="0" applyBorder="1"/>
    <xf numFmtId="0" fontId="0" fillId="0" borderId="0" xfId="0" applyAlignment="1">
      <alignment vertical="center"/>
    </xf>
    <xf numFmtId="0" fontId="9" fillId="12" borderId="0" xfId="0" applyFont="1" applyFill="1" applyAlignment="1">
      <alignment vertical="center"/>
    </xf>
    <xf numFmtId="0" fontId="0" fillId="0" borderId="0" xfId="0" applyAlignment="1">
      <alignment horizontal="left" vertical="center" indent="1"/>
    </xf>
    <xf numFmtId="0" fontId="12" fillId="11" borderId="0" xfId="0" applyFont="1" applyFill="1" applyAlignment="1">
      <alignment vertical="center"/>
    </xf>
    <xf numFmtId="0" fontId="8" fillId="11" borderId="0" xfId="0" applyFont="1" applyFill="1" applyAlignment="1">
      <alignment vertical="center"/>
    </xf>
    <xf numFmtId="0" fontId="8" fillId="2" borderId="0" xfId="0" applyFont="1" applyFill="1" applyAlignment="1">
      <alignment vertical="center"/>
    </xf>
    <xf numFmtId="0" fontId="7" fillId="2" borderId="0" xfId="0" applyFont="1" applyFill="1" applyAlignment="1">
      <alignment vertical="center"/>
    </xf>
    <xf numFmtId="0" fontId="29" fillId="2" borderId="0" xfId="0" applyFont="1" applyFill="1" applyAlignment="1">
      <alignment vertical="center"/>
    </xf>
    <xf numFmtId="0" fontId="8" fillId="12" borderId="0" xfId="0" applyFont="1" applyFill="1" applyAlignment="1">
      <alignment vertical="center"/>
    </xf>
    <xf numFmtId="0" fontId="7" fillId="12" borderId="0" xfId="0" applyFont="1" applyFill="1" applyAlignment="1">
      <alignment vertical="center"/>
    </xf>
    <xf numFmtId="0" fontId="29" fillId="12" borderId="0" xfId="0" applyFont="1" applyFill="1" applyAlignment="1">
      <alignment vertical="center"/>
    </xf>
    <xf numFmtId="0" fontId="9" fillId="16" borderId="2" xfId="0" applyFont="1" applyFill="1" applyBorder="1" applyAlignment="1">
      <alignment horizontal="left" vertical="center"/>
    </xf>
    <xf numFmtId="3" fontId="9" fillId="16" borderId="2" xfId="0" applyNumberFormat="1" applyFont="1" applyFill="1" applyBorder="1" applyAlignment="1">
      <alignment horizontal="center" vertical="center"/>
    </xf>
    <xf numFmtId="164" fontId="9" fillId="16" borderId="2" xfId="0" applyNumberFormat="1" applyFont="1" applyFill="1" applyBorder="1" applyAlignment="1">
      <alignment horizontal="center" vertical="center"/>
    </xf>
    <xf numFmtId="165" fontId="9" fillId="16" borderId="2" xfId="0" applyNumberFormat="1" applyFont="1" applyFill="1" applyBorder="1" applyAlignment="1">
      <alignment horizontal="center" vertical="center"/>
    </xf>
    <xf numFmtId="165" fontId="15" fillId="16" borderId="2" xfId="0" applyNumberFormat="1" applyFont="1" applyFill="1" applyBorder="1" applyAlignment="1">
      <alignment horizontal="center" vertical="center"/>
    </xf>
    <xf numFmtId="166" fontId="9" fillId="16" borderId="2" xfId="0" applyNumberFormat="1" applyFont="1" applyFill="1" applyBorder="1" applyAlignment="1">
      <alignment horizontal="center" vertical="center"/>
    </xf>
    <xf numFmtId="0" fontId="19" fillId="3" borderId="3" xfId="0" applyFont="1" applyFill="1" applyBorder="1" applyAlignment="1">
      <alignment vertical="center"/>
    </xf>
    <xf numFmtId="3" fontId="19" fillId="3" borderId="3" xfId="0" applyNumberFormat="1" applyFont="1" applyFill="1" applyBorder="1" applyAlignment="1">
      <alignment vertical="center"/>
    </xf>
    <xf numFmtId="166" fontId="19" fillId="3" borderId="3" xfId="0" applyNumberFormat="1" applyFont="1" applyFill="1" applyBorder="1" applyAlignment="1">
      <alignment vertical="center"/>
    </xf>
    <xf numFmtId="10" fontId="19" fillId="3" borderId="3" xfId="0" applyNumberFormat="1" applyFont="1" applyFill="1" applyBorder="1" applyAlignment="1">
      <alignment horizontal="center" vertical="center"/>
    </xf>
    <xf numFmtId="0" fontId="0" fillId="0" borderId="8" xfId="0" applyBorder="1" applyAlignment="1">
      <alignment vertical="center"/>
    </xf>
    <xf numFmtId="0" fontId="0" fillId="0" borderId="7" xfId="0" applyBorder="1" applyAlignment="1">
      <alignment vertical="center"/>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2" fillId="2" borderId="11" xfId="0" applyFont="1" applyFill="1" applyBorder="1" applyAlignment="1">
      <alignment horizontal="left" vertical="center"/>
    </xf>
    <xf numFmtId="0" fontId="16" fillId="7" borderId="12" xfId="0" applyFont="1" applyFill="1" applyBorder="1" applyAlignment="1">
      <alignment horizontal="center" vertical="center"/>
    </xf>
    <xf numFmtId="0" fontId="12" fillId="8" borderId="11" xfId="0" applyFont="1" applyFill="1" applyBorder="1" applyAlignment="1">
      <alignment horizontal="left" vertical="center"/>
    </xf>
    <xf numFmtId="0" fontId="17" fillId="9" borderId="12" xfId="0" applyFont="1" applyFill="1" applyBorder="1" applyAlignment="1">
      <alignment horizontal="center" vertical="center"/>
    </xf>
    <xf numFmtId="0" fontId="12" fillId="16" borderId="11" xfId="0" applyFont="1" applyFill="1" applyBorder="1" applyAlignment="1">
      <alignment horizontal="left" vertical="center"/>
    </xf>
    <xf numFmtId="0" fontId="18" fillId="10" borderId="12" xfId="0" applyFont="1" applyFill="1" applyBorder="1" applyAlignment="1">
      <alignment horizontal="center" vertical="center"/>
    </xf>
    <xf numFmtId="0" fontId="0" fillId="0" borderId="11" xfId="0" applyBorder="1"/>
    <xf numFmtId="0" fontId="0" fillId="0" borderId="12" xfId="0" applyBorder="1"/>
    <xf numFmtId="0" fontId="19" fillId="3" borderId="13" xfId="0" applyFont="1" applyFill="1" applyBorder="1" applyAlignment="1">
      <alignment horizontal="left" vertical="center"/>
    </xf>
    <xf numFmtId="0" fontId="19" fillId="3" borderId="14" xfId="0" applyFont="1" applyFill="1" applyBorder="1" applyAlignment="1">
      <alignment vertical="center"/>
    </xf>
    <xf numFmtId="0" fontId="0" fillId="0" borderId="7" xfId="0" applyBorder="1"/>
    <xf numFmtId="0" fontId="0" fillId="0" borderId="8" xfId="0" applyBorder="1"/>
    <xf numFmtId="0" fontId="2" fillId="7" borderId="0" xfId="0" applyFont="1" applyFill="1" applyAlignment="1">
      <alignment horizontal="left" vertical="center" indent="1"/>
    </xf>
    <xf numFmtId="0" fontId="23" fillId="9" borderId="0" xfId="0" applyFont="1" applyFill="1" applyAlignment="1">
      <alignment horizontal="left" vertical="center" indent="1"/>
    </xf>
    <xf numFmtId="0" fontId="25" fillId="10" borderId="0" xfId="0" applyFont="1" applyFill="1" applyAlignment="1">
      <alignment horizontal="left" vertical="center" indent="1"/>
    </xf>
    <xf numFmtId="0" fontId="25" fillId="10" borderId="16" xfId="0" applyFont="1" applyFill="1" applyBorder="1" applyAlignment="1">
      <alignment horizontal="left" vertical="center" indent="1"/>
    </xf>
    <xf numFmtId="0" fontId="28" fillId="0" borderId="0" xfId="0" applyFont="1" applyAlignment="1">
      <alignment vertical="center"/>
    </xf>
    <xf numFmtId="0" fontId="0" fillId="0" borderId="0" xfId="0" applyAlignment="1">
      <alignment horizontal="center" vertical="center"/>
    </xf>
    <xf numFmtId="0" fontId="0" fillId="26" borderId="0" xfId="0" applyFill="1" applyAlignment="1">
      <alignment vertical="center"/>
    </xf>
    <xf numFmtId="164" fontId="30" fillId="28" borderId="19" xfId="0" applyNumberFormat="1" applyFont="1" applyFill="1" applyBorder="1" applyAlignment="1">
      <alignment horizontal="center" vertical="center"/>
    </xf>
    <xf numFmtId="9" fontId="30" fillId="28" borderId="19" xfId="0" applyNumberFormat="1" applyFont="1" applyFill="1" applyBorder="1" applyAlignment="1">
      <alignment horizontal="center" vertical="center"/>
    </xf>
    <xf numFmtId="9" fontId="30" fillId="28" borderId="22" xfId="0" applyNumberFormat="1" applyFont="1" applyFill="1" applyBorder="1" applyAlignment="1">
      <alignment horizontal="center" vertical="center"/>
    </xf>
    <xf numFmtId="0" fontId="39" fillId="0" borderId="0" xfId="0" applyFont="1" applyAlignment="1">
      <alignment vertical="center"/>
    </xf>
    <xf numFmtId="0" fontId="19" fillId="20" borderId="7" xfId="0" applyFont="1" applyFill="1" applyBorder="1" applyAlignment="1">
      <alignment horizontal="center" vertical="center"/>
    </xf>
    <xf numFmtId="0" fontId="19" fillId="20" borderId="0" xfId="0" applyFont="1" applyFill="1" applyAlignment="1">
      <alignment horizontal="center" vertical="center"/>
    </xf>
    <xf numFmtId="0" fontId="7" fillId="0" borderId="0" xfId="0" applyFont="1" applyAlignment="1">
      <alignment vertical="center"/>
    </xf>
    <xf numFmtId="0" fontId="19" fillId="21" borderId="0" xfId="0" applyFont="1" applyFill="1" applyAlignment="1">
      <alignment horizontal="center" vertical="center"/>
    </xf>
    <xf numFmtId="0" fontId="19" fillId="21" borderId="8" xfId="0" applyFont="1" applyFill="1" applyBorder="1" applyAlignment="1">
      <alignment horizontal="center" vertical="center"/>
    </xf>
    <xf numFmtId="0" fontId="33" fillId="22" borderId="7" xfId="0" applyFont="1" applyFill="1" applyBorder="1" applyAlignment="1">
      <alignment horizontal="left" vertical="center" indent="1"/>
    </xf>
    <xf numFmtId="164" fontId="33" fillId="22" borderId="0" xfId="0" applyNumberFormat="1" applyFont="1" applyFill="1" applyAlignment="1">
      <alignment horizontal="center" vertical="center"/>
    </xf>
    <xf numFmtId="0" fontId="27" fillId="0" borderId="0" xfId="0" applyFont="1" applyAlignment="1">
      <alignment horizontal="left" vertical="center" indent="1"/>
    </xf>
    <xf numFmtId="164" fontId="27" fillId="0" borderId="8" xfId="0" applyNumberFormat="1" applyFont="1" applyBorder="1" applyAlignment="1">
      <alignment horizontal="center" vertical="center"/>
    </xf>
    <xf numFmtId="0" fontId="32" fillId="2" borderId="7" xfId="0" applyFont="1" applyFill="1" applyBorder="1" applyAlignment="1">
      <alignment horizontal="left" vertical="center" indent="1"/>
    </xf>
    <xf numFmtId="164" fontId="32" fillId="0" borderId="0" xfId="0" applyNumberFormat="1" applyFont="1" applyAlignment="1">
      <alignment horizontal="center" vertical="center"/>
    </xf>
    <xf numFmtId="0" fontId="32" fillId="0" borderId="0" xfId="0" applyFont="1" applyAlignment="1">
      <alignment horizontal="left" vertical="center" indent="1"/>
    </xf>
    <xf numFmtId="0" fontId="32" fillId="22" borderId="7" xfId="0" applyFont="1" applyFill="1" applyBorder="1" applyAlignment="1">
      <alignment horizontal="left" vertical="center" indent="1"/>
    </xf>
    <xf numFmtId="0" fontId="33" fillId="0" borderId="0" xfId="0" quotePrefix="1" applyFont="1" applyAlignment="1">
      <alignment horizontal="left" vertical="center" indent="1"/>
    </xf>
    <xf numFmtId="9" fontId="36" fillId="23" borderId="0" xfId="0" applyNumberFormat="1" applyFont="1" applyFill="1" applyAlignment="1">
      <alignment horizontal="center" vertical="center"/>
    </xf>
    <xf numFmtId="164" fontId="33" fillId="24" borderId="8" xfId="0" applyNumberFormat="1" applyFont="1" applyFill="1" applyBorder="1" applyAlignment="1">
      <alignment horizontal="center" vertical="center"/>
    </xf>
    <xf numFmtId="0" fontId="35" fillId="0" borderId="7" xfId="0" quotePrefix="1" applyFont="1" applyBorder="1" applyAlignment="1">
      <alignment horizontal="left" vertical="center" indent="1"/>
    </xf>
    <xf numFmtId="164" fontId="35" fillId="24" borderId="0" xfId="0" applyNumberFormat="1" applyFont="1" applyFill="1" applyAlignment="1">
      <alignment horizontal="center" vertical="center"/>
    </xf>
    <xf numFmtId="0" fontId="35" fillId="0" borderId="0" xfId="0" quotePrefix="1" applyFont="1" applyAlignment="1">
      <alignment horizontal="left" vertical="center" indent="1"/>
    </xf>
    <xf numFmtId="164" fontId="35" fillId="23" borderId="0" xfId="0" applyNumberFormat="1" applyFont="1" applyFill="1" applyAlignment="1">
      <alignment horizontal="center" vertical="center"/>
    </xf>
    <xf numFmtId="164" fontId="35" fillId="24" borderId="8" xfId="0" applyNumberFormat="1" applyFont="1" applyFill="1" applyBorder="1" applyAlignment="1">
      <alignment horizontal="center" vertical="center"/>
    </xf>
    <xf numFmtId="0" fontId="32" fillId="0" borderId="7" xfId="0" applyFont="1" applyBorder="1" applyAlignment="1">
      <alignment horizontal="left" vertical="center" indent="1"/>
    </xf>
    <xf numFmtId="0" fontId="35" fillId="0" borderId="0" xfId="0" applyFont="1" applyAlignment="1">
      <alignment horizontal="left" vertical="center" indent="1"/>
    </xf>
    <xf numFmtId="0" fontId="35" fillId="0" borderId="7" xfId="0" applyFont="1" applyBorder="1" applyAlignment="1">
      <alignment horizontal="left" vertical="center" indent="1"/>
    </xf>
    <xf numFmtId="0" fontId="33" fillId="0" borderId="7" xfId="0" quotePrefix="1" applyFont="1" applyBorder="1" applyAlignment="1">
      <alignment horizontal="left" vertical="center" indent="1"/>
    </xf>
    <xf numFmtId="164" fontId="33" fillId="24" borderId="0" xfId="0" applyNumberFormat="1" applyFont="1" applyFill="1" applyAlignment="1">
      <alignment horizontal="center" vertical="center"/>
    </xf>
    <xf numFmtId="9" fontId="38" fillId="23" borderId="0" xfId="0" applyNumberFormat="1" applyFont="1" applyFill="1" applyAlignment="1">
      <alignment horizontal="center" vertical="center"/>
    </xf>
    <xf numFmtId="9" fontId="30" fillId="15" borderId="0" xfId="0" applyNumberFormat="1" applyFont="1" applyFill="1" applyAlignment="1">
      <alignment horizontal="center" vertical="center"/>
    </xf>
    <xf numFmtId="0" fontId="3" fillId="7" borderId="7" xfId="0" applyFont="1" applyFill="1" applyBorder="1" applyAlignment="1">
      <alignment horizontal="left" vertical="center" indent="1"/>
    </xf>
    <xf numFmtId="9" fontId="3" fillId="26" borderId="0" xfId="0" applyNumberFormat="1" applyFont="1" applyFill="1" applyAlignment="1">
      <alignment horizontal="center" vertical="center"/>
    </xf>
    <xf numFmtId="0" fontId="33" fillId="26" borderId="0" xfId="0" quotePrefix="1" applyFont="1" applyFill="1" applyAlignment="1">
      <alignment horizontal="left" vertical="center" indent="1"/>
    </xf>
    <xf numFmtId="164" fontId="33" fillId="26" borderId="8" xfId="0" applyNumberFormat="1" applyFont="1" applyFill="1" applyBorder="1" applyAlignment="1">
      <alignment horizontal="center" vertical="center"/>
    </xf>
    <xf numFmtId="165" fontId="3" fillId="7" borderId="0" xfId="0" applyNumberFormat="1" applyFont="1" applyFill="1" applyAlignment="1">
      <alignment horizontal="center" vertical="center"/>
    </xf>
    <xf numFmtId="0" fontId="19" fillId="19" borderId="0" xfId="0" quotePrefix="1" applyFont="1" applyFill="1" applyAlignment="1">
      <alignment horizontal="left" vertical="center" indent="1"/>
    </xf>
    <xf numFmtId="164" fontId="19" fillId="19" borderId="8" xfId="0" applyNumberFormat="1" applyFont="1" applyFill="1" applyBorder="1" applyAlignment="1">
      <alignment horizontal="center" vertical="center"/>
    </xf>
    <xf numFmtId="0" fontId="36" fillId="0" borderId="0" xfId="0" applyFont="1" applyAlignment="1">
      <alignment horizontal="left" vertical="center" indent="1"/>
    </xf>
    <xf numFmtId="164" fontId="36" fillId="0" borderId="8" xfId="0" applyNumberFormat="1" applyFont="1" applyBorder="1" applyAlignment="1">
      <alignment horizontal="center" vertical="center"/>
    </xf>
    <xf numFmtId="0" fontId="3" fillId="26" borderId="7" xfId="0" applyFont="1" applyFill="1" applyBorder="1" applyAlignment="1">
      <alignment vertical="center"/>
    </xf>
    <xf numFmtId="164" fontId="30" fillId="26" borderId="0" xfId="0" applyNumberFormat="1" applyFont="1" applyFill="1" applyAlignment="1">
      <alignment horizontal="center" vertical="center"/>
    </xf>
    <xf numFmtId="0" fontId="3" fillId="0" borderId="0" xfId="0" applyFont="1" applyAlignment="1">
      <alignment horizontal="left" vertical="center" indent="1"/>
    </xf>
    <xf numFmtId="164" fontId="3" fillId="0" borderId="8" xfId="0" applyNumberFormat="1" applyFont="1" applyBorder="1" applyAlignment="1">
      <alignment horizontal="center" vertical="center"/>
    </xf>
    <xf numFmtId="0" fontId="25" fillId="26" borderId="7" xfId="0" applyFont="1" applyFill="1" applyBorder="1" applyAlignment="1">
      <alignment vertical="center"/>
    </xf>
    <xf numFmtId="164" fontId="25" fillId="26" borderId="0" xfId="0" applyNumberFormat="1" applyFont="1" applyFill="1" applyAlignment="1">
      <alignment horizontal="center" vertical="center"/>
    </xf>
    <xf numFmtId="0" fontId="27" fillId="26" borderId="7" xfId="0" quotePrefix="1" applyFont="1" applyFill="1" applyBorder="1" applyAlignment="1">
      <alignment vertical="center"/>
    </xf>
    <xf numFmtId="164" fontId="27" fillId="26" borderId="0" xfId="0" applyNumberFormat="1" applyFont="1" applyFill="1" applyAlignment="1">
      <alignment horizontal="center" vertical="center"/>
    </xf>
    <xf numFmtId="0" fontId="0" fillId="0" borderId="16" xfId="0" applyBorder="1" applyAlignment="1">
      <alignment vertical="center"/>
    </xf>
    <xf numFmtId="165" fontId="35" fillId="23" borderId="0" xfId="2" applyNumberFormat="1" applyFont="1" applyFill="1" applyBorder="1" applyAlignment="1">
      <alignment horizontal="center" vertical="center"/>
    </xf>
    <xf numFmtId="165" fontId="30" fillId="26" borderId="22" xfId="0" applyNumberFormat="1" applyFont="1" applyFill="1" applyBorder="1" applyAlignment="1">
      <alignment horizontal="center" vertical="center"/>
    </xf>
    <xf numFmtId="44" fontId="30" fillId="28" borderId="22" xfId="1" applyFont="1" applyFill="1" applyBorder="1" applyAlignment="1">
      <alignment horizontal="center" vertical="center"/>
    </xf>
    <xf numFmtId="0" fontId="5" fillId="26" borderId="0" xfId="0" applyFont="1" applyFill="1" applyAlignment="1">
      <alignment horizontal="center" vertical="center"/>
    </xf>
    <xf numFmtId="0" fontId="19" fillId="26" borderId="0" xfId="0" applyFont="1" applyFill="1" applyAlignment="1">
      <alignment horizontal="center" vertical="center"/>
    </xf>
    <xf numFmtId="164" fontId="0" fillId="26" borderId="0" xfId="0" applyNumberFormat="1" applyFill="1" applyAlignment="1">
      <alignment vertical="center"/>
    </xf>
    <xf numFmtId="0" fontId="3" fillId="0" borderId="15" xfId="0" applyFont="1" applyBorder="1" applyAlignment="1">
      <alignment vertical="center"/>
    </xf>
    <xf numFmtId="164" fontId="26" fillId="0" borderId="16" xfId="0" applyNumberFormat="1" applyFont="1" applyBorder="1" applyAlignment="1">
      <alignment vertical="center"/>
    </xf>
    <xf numFmtId="164" fontId="26" fillId="26" borderId="0" xfId="0" applyNumberFormat="1" applyFont="1" applyFill="1" applyAlignment="1">
      <alignment vertical="center"/>
    </xf>
    <xf numFmtId="164" fontId="3" fillId="0" borderId="8" xfId="0" applyNumberFormat="1" applyFont="1" applyBorder="1" applyAlignment="1">
      <alignment horizontal="center" vertical="center" wrapText="1"/>
    </xf>
    <xf numFmtId="0" fontId="47" fillId="30" borderId="0" xfId="0" applyFont="1" applyFill="1"/>
    <xf numFmtId="0" fontId="3" fillId="0" borderId="0" xfId="0" applyFont="1"/>
    <xf numFmtId="0" fontId="48" fillId="0" borderId="0" xfId="0" applyFont="1"/>
    <xf numFmtId="0" fontId="0" fillId="0" borderId="0" xfId="0" applyAlignment="1">
      <alignment wrapText="1"/>
    </xf>
    <xf numFmtId="0" fontId="0" fillId="0" borderId="23" xfId="0" applyBorder="1"/>
    <xf numFmtId="164" fontId="0" fillId="0" borderId="23" xfId="0" applyNumberFormat="1" applyBorder="1"/>
    <xf numFmtId="9" fontId="0" fillId="0" borderId="23" xfId="0" applyNumberFormat="1" applyBorder="1"/>
    <xf numFmtId="166" fontId="0" fillId="0" borderId="23" xfId="0" applyNumberFormat="1" applyBorder="1"/>
    <xf numFmtId="0" fontId="0" fillId="0" borderId="27" xfId="0" applyBorder="1"/>
    <xf numFmtId="164" fontId="0" fillId="0" borderId="27" xfId="0" applyNumberFormat="1" applyBorder="1"/>
    <xf numFmtId="9" fontId="0" fillId="0" borderId="27" xfId="0" applyNumberFormat="1" applyBorder="1"/>
    <xf numFmtId="166" fontId="0" fillId="0" borderId="27" xfId="0" applyNumberFormat="1" applyBorder="1"/>
    <xf numFmtId="164" fontId="0" fillId="0" borderId="0" xfId="0" applyNumberFormat="1"/>
    <xf numFmtId="9" fontId="0" fillId="0" borderId="0" xfId="0" applyNumberFormat="1"/>
    <xf numFmtId="166" fontId="0" fillId="0" borderId="0" xfId="0" applyNumberFormat="1"/>
    <xf numFmtId="0" fontId="0" fillId="0" borderId="28" xfId="0" applyBorder="1"/>
    <xf numFmtId="164" fontId="0" fillId="0" borderId="28" xfId="0" applyNumberFormat="1" applyBorder="1"/>
    <xf numFmtId="9" fontId="0" fillId="0" borderId="28" xfId="0" applyNumberFormat="1" applyBorder="1"/>
    <xf numFmtId="166" fontId="0" fillId="0" borderId="28" xfId="0" applyNumberFormat="1" applyBorder="1"/>
    <xf numFmtId="0" fontId="0" fillId="0" borderId="0" xfId="0" applyAlignment="1">
      <alignment horizontal="center" vertical="center" wrapText="1"/>
    </xf>
    <xf numFmtId="0" fontId="3" fillId="30" borderId="7" xfId="0" applyFont="1" applyFill="1" applyBorder="1" applyAlignment="1">
      <alignment horizontal="center" vertical="center" wrapText="1"/>
    </xf>
    <xf numFmtId="0" fontId="3" fillId="30" borderId="0" xfId="0" applyFont="1" applyFill="1" applyAlignment="1">
      <alignment horizontal="center" vertical="center" wrapText="1"/>
    </xf>
    <xf numFmtId="0" fontId="3" fillId="30" borderId="8" xfId="0" applyFont="1" applyFill="1" applyBorder="1" applyAlignment="1">
      <alignment horizontal="center" vertical="center" wrapText="1"/>
    </xf>
    <xf numFmtId="8" fontId="3" fillId="7" borderId="29" xfId="0" applyNumberFormat="1" applyFont="1" applyFill="1" applyBorder="1" applyAlignment="1">
      <alignment horizontal="center"/>
    </xf>
    <xf numFmtId="8" fontId="3" fillId="7" borderId="7" xfId="0" applyNumberFormat="1" applyFont="1" applyFill="1" applyBorder="1" applyAlignment="1">
      <alignment horizontal="center"/>
    </xf>
    <xf numFmtId="8" fontId="3" fillId="7" borderId="31" xfId="0" applyNumberFormat="1" applyFont="1" applyFill="1" applyBorder="1" applyAlignment="1">
      <alignment horizontal="center"/>
    </xf>
    <xf numFmtId="8" fontId="3" fillId="7" borderId="32" xfId="0" applyNumberFormat="1" applyFont="1" applyFill="1" applyBorder="1" applyAlignment="1">
      <alignment horizontal="center"/>
    </xf>
    <xf numFmtId="0" fontId="0" fillId="2" borderId="7" xfId="0" applyFill="1" applyBorder="1"/>
    <xf numFmtId="8" fontId="3" fillId="31" borderId="29" xfId="0" applyNumberFormat="1" applyFont="1" applyFill="1" applyBorder="1" applyAlignment="1">
      <alignment horizontal="center"/>
    </xf>
    <xf numFmtId="8" fontId="3" fillId="31" borderId="7" xfId="0" applyNumberFormat="1" applyFont="1" applyFill="1" applyBorder="1" applyAlignment="1">
      <alignment horizontal="center"/>
    </xf>
    <xf numFmtId="8" fontId="3" fillId="31" borderId="31" xfId="0" applyNumberFormat="1" applyFont="1" applyFill="1" applyBorder="1" applyAlignment="1">
      <alignment horizontal="center"/>
    </xf>
    <xf numFmtId="8" fontId="3" fillId="31" borderId="32" xfId="0" applyNumberFormat="1" applyFont="1" applyFill="1" applyBorder="1" applyAlignment="1">
      <alignment horizontal="center"/>
    </xf>
    <xf numFmtId="8" fontId="3" fillId="32" borderId="29" xfId="0" applyNumberFormat="1" applyFont="1" applyFill="1" applyBorder="1" applyAlignment="1">
      <alignment horizontal="center"/>
    </xf>
    <xf numFmtId="8" fontId="3" fillId="32" borderId="7" xfId="0" applyNumberFormat="1" applyFont="1" applyFill="1" applyBorder="1" applyAlignment="1">
      <alignment horizontal="center"/>
    </xf>
    <xf numFmtId="8" fontId="3" fillId="32" borderId="31" xfId="0" applyNumberFormat="1" applyFont="1" applyFill="1" applyBorder="1" applyAlignment="1">
      <alignment horizontal="center"/>
    </xf>
    <xf numFmtId="8" fontId="3" fillId="32" borderId="32" xfId="0" applyNumberFormat="1" applyFont="1" applyFill="1" applyBorder="1" applyAlignment="1">
      <alignment horizontal="center"/>
    </xf>
    <xf numFmtId="8" fontId="3" fillId="34" borderId="29" xfId="0" applyNumberFormat="1" applyFont="1" applyFill="1" applyBorder="1" applyAlignment="1">
      <alignment horizontal="center"/>
    </xf>
    <xf numFmtId="8" fontId="3" fillId="34" borderId="7" xfId="0" applyNumberFormat="1" applyFont="1" applyFill="1" applyBorder="1" applyAlignment="1">
      <alignment horizontal="center"/>
    </xf>
    <xf numFmtId="8" fontId="3" fillId="34" borderId="31" xfId="0" applyNumberFormat="1" applyFont="1" applyFill="1" applyBorder="1" applyAlignment="1">
      <alignment horizontal="center"/>
    </xf>
    <xf numFmtId="8" fontId="3" fillId="34" borderId="34" xfId="0" applyNumberFormat="1" applyFont="1" applyFill="1" applyBorder="1" applyAlignment="1">
      <alignment horizontal="center"/>
    </xf>
    <xf numFmtId="0" fontId="0" fillId="0" borderId="35" xfId="0" applyBorder="1"/>
    <xf numFmtId="164" fontId="0" fillId="0" borderId="35" xfId="0" applyNumberFormat="1" applyBorder="1"/>
    <xf numFmtId="9" fontId="0" fillId="0" borderId="35" xfId="0" applyNumberFormat="1" applyBorder="1"/>
    <xf numFmtId="166" fontId="0" fillId="0" borderId="35" xfId="0" applyNumberFormat="1" applyBorder="1"/>
    <xf numFmtId="0" fontId="0" fillId="0" borderId="0" xfId="0" applyAlignment="1">
      <alignment horizontal="center"/>
    </xf>
    <xf numFmtId="0" fontId="28" fillId="0" borderId="0" xfId="0" applyFont="1" applyAlignment="1">
      <alignment horizontal="center" vertical="center"/>
    </xf>
    <xf numFmtId="0" fontId="0" fillId="0" borderId="8" xfId="0" applyBorder="1" applyAlignment="1">
      <alignment horizontal="center"/>
    </xf>
    <xf numFmtId="164" fontId="0" fillId="0" borderId="28" xfId="0" applyNumberFormat="1" applyBorder="1" applyAlignment="1">
      <alignment horizontal="center"/>
    </xf>
    <xf numFmtId="165" fontId="0" fillId="0" borderId="28" xfId="0" applyNumberFormat="1" applyBorder="1" applyAlignment="1">
      <alignment horizontal="center"/>
    </xf>
    <xf numFmtId="0" fontId="0" fillId="0" borderId="28" xfId="0" applyBorder="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4" fontId="0" fillId="0" borderId="23" xfId="0" applyNumberFormat="1" applyBorder="1" applyAlignment="1">
      <alignment horizontal="center"/>
    </xf>
    <xf numFmtId="165" fontId="0" fillId="0" borderId="23" xfId="0" applyNumberFormat="1" applyBorder="1" applyAlignment="1">
      <alignment horizontal="center"/>
    </xf>
    <xf numFmtId="0" fontId="0" fillId="0" borderId="23" xfId="0" applyBorder="1" applyAlignment="1">
      <alignment horizontal="center"/>
    </xf>
    <xf numFmtId="164" fontId="0" fillId="0" borderId="27" xfId="0" applyNumberFormat="1" applyBorder="1" applyAlignment="1">
      <alignment horizontal="center"/>
    </xf>
    <xf numFmtId="165" fontId="0" fillId="33" borderId="27" xfId="0" applyNumberFormat="1" applyFill="1" applyBorder="1" applyAlignment="1">
      <alignment horizontal="center"/>
    </xf>
    <xf numFmtId="0" fontId="0" fillId="0" borderId="27" xfId="0" applyBorder="1" applyAlignment="1">
      <alignment horizontal="center"/>
    </xf>
    <xf numFmtId="164" fontId="0" fillId="0" borderId="35" xfId="0" applyNumberFormat="1" applyBorder="1" applyAlignment="1">
      <alignment horizontal="center"/>
    </xf>
    <xf numFmtId="165" fontId="0" fillId="33" borderId="35" xfId="0" applyNumberFormat="1" applyFill="1" applyBorder="1" applyAlignment="1">
      <alignment horizontal="center"/>
    </xf>
    <xf numFmtId="0" fontId="0" fillId="0" borderId="35" xfId="0" applyBorder="1" applyAlignment="1">
      <alignment horizontal="center"/>
    </xf>
    <xf numFmtId="0" fontId="0" fillId="0" borderId="30" xfId="0" applyBorder="1" applyAlignment="1">
      <alignment horizontal="left" indent="1"/>
    </xf>
    <xf numFmtId="0" fontId="0" fillId="0" borderId="8" xfId="0" applyBorder="1" applyAlignment="1">
      <alignment horizontal="left" indent="1"/>
    </xf>
    <xf numFmtId="0" fontId="0" fillId="0" borderId="26" xfId="0" applyBorder="1" applyAlignment="1">
      <alignment horizontal="left" indent="1"/>
    </xf>
    <xf numFmtId="0" fontId="0" fillId="0" borderId="33" xfId="0" applyBorder="1" applyAlignment="1">
      <alignment horizontal="left" indent="1"/>
    </xf>
    <xf numFmtId="0" fontId="0" fillId="0" borderId="36" xfId="0" applyBorder="1" applyAlignment="1">
      <alignment horizontal="left" indent="1"/>
    </xf>
    <xf numFmtId="0" fontId="51" fillId="0" borderId="7" xfId="0" applyFont="1" applyBorder="1" applyAlignment="1">
      <alignment horizontal="left" indent="1"/>
    </xf>
    <xf numFmtId="9" fontId="30" fillId="26" borderId="0" xfId="0" applyNumberFormat="1" applyFont="1" applyFill="1" applyAlignment="1">
      <alignment horizontal="center" vertical="center"/>
    </xf>
    <xf numFmtId="0" fontId="0" fillId="26" borderId="0" xfId="0" applyFill="1" applyAlignment="1">
      <alignment horizontal="center" vertical="center"/>
    </xf>
    <xf numFmtId="0" fontId="3" fillId="26" borderId="7" xfId="0" applyFont="1" applyFill="1" applyBorder="1" applyAlignment="1">
      <alignment horizontal="left" vertical="center" indent="1"/>
    </xf>
    <xf numFmtId="0" fontId="0" fillId="26" borderId="8" xfId="0" applyFill="1" applyBorder="1" applyAlignment="1">
      <alignment vertical="center"/>
    </xf>
    <xf numFmtId="0" fontId="31" fillId="3" borderId="7" xfId="0" applyFont="1" applyFill="1" applyBorder="1" applyAlignment="1">
      <alignment horizontal="left" vertical="center" indent="1"/>
    </xf>
    <xf numFmtId="0" fontId="40" fillId="0" borderId="0" xfId="0" applyFont="1" applyAlignment="1">
      <alignment horizontal="left" vertical="center" indent="1"/>
    </xf>
    <xf numFmtId="0" fontId="41" fillId="0" borderId="0" xfId="0" applyFont="1" applyAlignment="1">
      <alignment vertical="center"/>
    </xf>
    <xf numFmtId="0" fontId="41" fillId="0" borderId="8" xfId="0" applyFont="1" applyBorder="1" applyAlignment="1">
      <alignment vertical="center"/>
    </xf>
    <xf numFmtId="0" fontId="5" fillId="22" borderId="7" xfId="0" applyFont="1" applyFill="1" applyBorder="1" applyAlignment="1">
      <alignment horizontal="left" vertical="center" indent="1"/>
    </xf>
    <xf numFmtId="164" fontId="53" fillId="28" borderId="19" xfId="0" applyNumberFormat="1" applyFont="1" applyFill="1" applyBorder="1" applyAlignment="1">
      <alignment horizontal="center" vertical="center"/>
    </xf>
    <xf numFmtId="0" fontId="5" fillId="2" borderId="7" xfId="0" applyFont="1" applyFill="1" applyBorder="1" applyAlignment="1">
      <alignment horizontal="left" vertical="center" indent="1"/>
    </xf>
    <xf numFmtId="164" fontId="53" fillId="28" borderId="18" xfId="0" applyNumberFormat="1" applyFont="1" applyFill="1" applyBorder="1" applyAlignment="1">
      <alignment horizontal="center" vertical="center"/>
    </xf>
    <xf numFmtId="0" fontId="39" fillId="22" borderId="7" xfId="0" applyFont="1" applyFill="1" applyBorder="1" applyAlignment="1">
      <alignment horizontal="left" vertical="center" indent="1"/>
    </xf>
    <xf numFmtId="165" fontId="34" fillId="23" borderId="0" xfId="0" applyNumberFormat="1" applyFont="1" applyFill="1" applyAlignment="1">
      <alignment horizontal="center" vertical="center"/>
    </xf>
    <xf numFmtId="0" fontId="6" fillId="22" borderId="7" xfId="0" applyFont="1" applyFill="1" applyBorder="1" applyAlignment="1">
      <alignment horizontal="left" vertical="center" indent="1"/>
    </xf>
    <xf numFmtId="9" fontId="53" fillId="28" borderId="22" xfId="0" applyNumberFormat="1" applyFont="1" applyFill="1" applyBorder="1" applyAlignment="1">
      <alignment horizontal="center" vertical="center"/>
    </xf>
    <xf numFmtId="0" fontId="6" fillId="2" borderId="7" xfId="0" applyFont="1" applyFill="1" applyBorder="1" applyAlignment="1">
      <alignment horizontal="left" vertical="center" indent="1"/>
    </xf>
    <xf numFmtId="165" fontId="53" fillId="28" borderId="20" xfId="0" applyNumberFormat="1" applyFont="1" applyFill="1" applyBorder="1" applyAlignment="1">
      <alignment horizontal="center" vertical="center"/>
    </xf>
    <xf numFmtId="166" fontId="53" fillId="28" borderId="19" xfId="0" applyNumberFormat="1" applyFont="1" applyFill="1" applyBorder="1" applyAlignment="1">
      <alignment horizontal="center" vertical="center"/>
    </xf>
    <xf numFmtId="3" fontId="53" fillId="28" borderId="19" xfId="0" applyNumberFormat="1" applyFont="1" applyFill="1" applyBorder="1" applyAlignment="1">
      <alignment horizontal="center" vertical="center"/>
    </xf>
    <xf numFmtId="9" fontId="53" fillId="28" borderId="18" xfId="0" applyNumberFormat="1" applyFont="1" applyFill="1" applyBorder="1" applyAlignment="1">
      <alignment horizontal="center" vertical="center"/>
    </xf>
    <xf numFmtId="164" fontId="34" fillId="26" borderId="0" xfId="0" applyNumberFormat="1" applyFont="1" applyFill="1" applyAlignment="1">
      <alignment horizontal="center" vertical="center"/>
    </xf>
    <xf numFmtId="164" fontId="54" fillId="26" borderId="0" xfId="0" applyNumberFormat="1" applyFont="1" applyFill="1" applyAlignment="1">
      <alignment horizontal="center" vertical="center"/>
    </xf>
    <xf numFmtId="167" fontId="54" fillId="26" borderId="0" xfId="0" applyNumberFormat="1" applyFont="1" applyFill="1" applyAlignment="1">
      <alignment horizontal="center" vertical="center"/>
    </xf>
    <xf numFmtId="165" fontId="54" fillId="26" borderId="0" xfId="0" applyNumberFormat="1" applyFont="1" applyFill="1" applyAlignment="1">
      <alignment horizontal="center" vertical="center"/>
    </xf>
    <xf numFmtId="165" fontId="56" fillId="24" borderId="0" xfId="0" applyNumberFormat="1" applyFont="1" applyFill="1" applyAlignment="1">
      <alignment horizontal="center" vertical="center"/>
    </xf>
    <xf numFmtId="164" fontId="56" fillId="25" borderId="0" xfId="0" applyNumberFormat="1" applyFont="1" applyFill="1" applyAlignment="1">
      <alignment horizontal="center" vertical="center"/>
    </xf>
    <xf numFmtId="164" fontId="56" fillId="24" borderId="0" xfId="0" applyNumberFormat="1" applyFont="1" applyFill="1" applyAlignment="1">
      <alignment horizontal="center" vertical="center"/>
    </xf>
    <xf numFmtId="164" fontId="57" fillId="25" borderId="0" xfId="0" applyNumberFormat="1" applyFont="1" applyFill="1" applyAlignment="1">
      <alignment horizontal="center" vertical="center"/>
    </xf>
    <xf numFmtId="166" fontId="57" fillId="24" borderId="0" xfId="0" applyNumberFormat="1" applyFont="1" applyFill="1" applyAlignment="1">
      <alignment horizontal="center" vertical="center"/>
    </xf>
    <xf numFmtId="166" fontId="57" fillId="25" borderId="0" xfId="0" applyNumberFormat="1" applyFont="1" applyFill="1" applyAlignment="1">
      <alignment horizontal="center" vertical="center"/>
    </xf>
    <xf numFmtId="164" fontId="59" fillId="25" borderId="0" xfId="0" applyNumberFormat="1" applyFont="1" applyFill="1" applyAlignment="1">
      <alignment horizontal="center" vertical="center"/>
    </xf>
    <xf numFmtId="3" fontId="60" fillId="24" borderId="0" xfId="0" applyNumberFormat="1" applyFont="1" applyFill="1" applyAlignment="1">
      <alignment horizontal="center" vertical="center"/>
    </xf>
    <xf numFmtId="165" fontId="60" fillId="25" borderId="0" xfId="0" applyNumberFormat="1" applyFont="1" applyFill="1" applyAlignment="1">
      <alignment horizontal="center" vertical="center"/>
    </xf>
    <xf numFmtId="165" fontId="59" fillId="24" borderId="16" xfId="0" applyNumberFormat="1" applyFont="1" applyFill="1" applyBorder="1" applyAlignment="1">
      <alignment horizontal="center" vertical="center"/>
    </xf>
    <xf numFmtId="0" fontId="55" fillId="24" borderId="7" xfId="0" applyFont="1" applyFill="1" applyBorder="1" applyAlignment="1">
      <alignment horizontal="left" vertical="center" indent="1"/>
    </xf>
    <xf numFmtId="0" fontId="55" fillId="25" borderId="7" xfId="0" applyFont="1" applyFill="1" applyBorder="1" applyAlignment="1">
      <alignment horizontal="left" vertical="center" indent="1"/>
    </xf>
    <xf numFmtId="0" fontId="58" fillId="25" borderId="7" xfId="0" applyFont="1" applyFill="1" applyBorder="1" applyAlignment="1">
      <alignment horizontal="left" vertical="center" indent="1"/>
    </xf>
    <xf numFmtId="0" fontId="58" fillId="24" borderId="7" xfId="0" applyFont="1" applyFill="1" applyBorder="1" applyAlignment="1">
      <alignment horizontal="left" vertical="center" indent="1"/>
    </xf>
    <xf numFmtId="0" fontId="6" fillId="0" borderId="7" xfId="0" applyFont="1" applyBorder="1"/>
    <xf numFmtId="0" fontId="39" fillId="0" borderId="0" xfId="0" applyFont="1"/>
    <xf numFmtId="0" fontId="39" fillId="0" borderId="7" xfId="0" applyFont="1" applyBorder="1"/>
    <xf numFmtId="0" fontId="31" fillId="20" borderId="37" xfId="0" applyFont="1" applyFill="1" applyBorder="1" applyAlignment="1">
      <alignment horizontal="center" vertical="center"/>
    </xf>
    <xf numFmtId="0" fontId="31" fillId="20" borderId="24" xfId="0" applyFont="1" applyFill="1" applyBorder="1" applyAlignment="1">
      <alignment horizontal="center" vertical="center"/>
    </xf>
    <xf numFmtId="0" fontId="31" fillId="20" borderId="25" xfId="0" applyFont="1" applyFill="1" applyBorder="1" applyAlignment="1">
      <alignment horizontal="center" vertical="center"/>
    </xf>
    <xf numFmtId="3" fontId="39" fillId="22" borderId="0" xfId="0" applyNumberFormat="1" applyFont="1" applyFill="1" applyAlignment="1">
      <alignment horizontal="center"/>
    </xf>
    <xf numFmtId="0" fontId="39" fillId="0" borderId="8" xfId="0" applyFont="1" applyBorder="1"/>
    <xf numFmtId="166" fontId="39" fillId="2" borderId="0" xfId="0" applyNumberFormat="1" applyFont="1" applyFill="1" applyAlignment="1">
      <alignment horizontal="center"/>
    </xf>
    <xf numFmtId="167" fontId="61" fillId="2" borderId="0" xfId="0" applyNumberFormat="1" applyFont="1" applyFill="1" applyAlignment="1">
      <alignment horizontal="center"/>
    </xf>
    <xf numFmtId="167" fontId="54" fillId="2" borderId="0" xfId="0" applyNumberFormat="1" applyFont="1" applyFill="1" applyAlignment="1">
      <alignment horizontal="center"/>
    </xf>
    <xf numFmtId="167" fontId="62" fillId="2" borderId="0" xfId="0" applyNumberFormat="1" applyFont="1" applyFill="1" applyAlignment="1">
      <alignment horizontal="center"/>
    </xf>
    <xf numFmtId="167" fontId="34" fillId="2" borderId="0" xfId="0" applyNumberFormat="1" applyFont="1" applyFill="1" applyAlignment="1">
      <alignment horizontal="center"/>
    </xf>
    <xf numFmtId="167" fontId="63" fillId="2" borderId="0" xfId="0" applyNumberFormat="1" applyFont="1" applyFill="1" applyAlignment="1">
      <alignment horizontal="center"/>
    </xf>
    <xf numFmtId="166" fontId="39" fillId="22" borderId="0" xfId="0" applyNumberFormat="1" applyFont="1" applyFill="1" applyAlignment="1">
      <alignment horizontal="center"/>
    </xf>
    <xf numFmtId="167" fontId="39" fillId="22" borderId="0" xfId="0" applyNumberFormat="1" applyFont="1" applyFill="1" applyAlignment="1">
      <alignment horizontal="center"/>
    </xf>
    <xf numFmtId="168" fontId="34" fillId="22" borderId="0" xfId="0" applyNumberFormat="1" applyFont="1" applyFill="1" applyAlignment="1">
      <alignment horizontal="center"/>
    </xf>
    <xf numFmtId="168" fontId="63" fillId="22" borderId="0" xfId="0" applyNumberFormat="1" applyFont="1" applyFill="1" applyAlignment="1">
      <alignment horizontal="center"/>
    </xf>
    <xf numFmtId="166" fontId="5" fillId="22" borderId="16" xfId="0" applyNumberFormat="1" applyFont="1" applyFill="1" applyBorder="1" applyAlignment="1">
      <alignment horizontal="center"/>
    </xf>
    <xf numFmtId="167" fontId="5" fillId="22" borderId="16" xfId="0" applyNumberFormat="1" applyFont="1" applyFill="1" applyBorder="1" applyAlignment="1">
      <alignment horizontal="center"/>
    </xf>
    <xf numFmtId="0" fontId="0" fillId="0" borderId="5" xfId="0" applyBorder="1"/>
    <xf numFmtId="0" fontId="0" fillId="0" borderId="6" xfId="0" applyBorder="1"/>
    <xf numFmtId="0" fontId="58" fillId="24" borderId="15" xfId="0" applyFont="1" applyFill="1" applyBorder="1" applyAlignment="1">
      <alignment horizontal="left" vertical="center" indent="1"/>
    </xf>
    <xf numFmtId="0" fontId="39" fillId="22" borderId="7" xfId="0" applyFont="1" applyFill="1" applyBorder="1" applyAlignment="1">
      <alignment horizontal="left" indent="1"/>
    </xf>
    <xf numFmtId="0" fontId="39" fillId="2" borderId="7" xfId="0" applyFont="1" applyFill="1" applyBorder="1" applyAlignment="1">
      <alignment horizontal="left" indent="1"/>
    </xf>
    <xf numFmtId="0" fontId="54" fillId="2" borderId="7" xfId="0" applyFont="1" applyFill="1" applyBorder="1" applyAlignment="1">
      <alignment horizontal="left" indent="1"/>
    </xf>
    <xf numFmtId="0" fontId="6" fillId="2" borderId="7" xfId="0" applyFont="1" applyFill="1" applyBorder="1" applyAlignment="1">
      <alignment horizontal="left" indent="1"/>
    </xf>
    <xf numFmtId="0" fontId="5" fillId="22" borderId="15" xfId="0" applyFont="1" applyFill="1" applyBorder="1" applyAlignment="1">
      <alignment horizontal="left" indent="1"/>
    </xf>
    <xf numFmtId="0" fontId="26" fillId="0" borderId="0" xfId="0" applyFont="1" applyAlignment="1">
      <alignment horizontal="left" vertical="center" indent="2"/>
    </xf>
    <xf numFmtId="0" fontId="41" fillId="0" borderId="16" xfId="0" applyFont="1" applyBorder="1" applyAlignment="1">
      <alignment horizontal="left" vertical="center" indent="1"/>
    </xf>
    <xf numFmtId="173" fontId="67" fillId="7" borderId="39" xfId="0" applyNumberFormat="1" applyFont="1" applyFill="1" applyBorder="1" applyAlignment="1">
      <alignment horizontal="left" indent="1"/>
    </xf>
    <xf numFmtId="0" fontId="50" fillId="0" borderId="39" xfId="0" applyFont="1" applyBorder="1"/>
    <xf numFmtId="0" fontId="0" fillId="0" borderId="39" xfId="0" applyBorder="1"/>
    <xf numFmtId="167" fontId="66" fillId="0" borderId="39" xfId="0" applyNumberFormat="1" applyFont="1" applyBorder="1" applyAlignment="1">
      <alignment horizontal="center"/>
    </xf>
    <xf numFmtId="0" fontId="65" fillId="0" borderId="39" xfId="0" applyFont="1" applyBorder="1"/>
    <xf numFmtId="167" fontId="8" fillId="13" borderId="39" xfId="0" applyNumberFormat="1" applyFont="1" applyFill="1" applyBorder="1" applyAlignment="1">
      <alignment horizontal="center"/>
    </xf>
    <xf numFmtId="0" fontId="3" fillId="40" borderId="39" xfId="0" applyFont="1" applyFill="1" applyBorder="1" applyAlignment="1">
      <alignment horizontal="center"/>
    </xf>
    <xf numFmtId="0" fontId="3" fillId="40" borderId="52" xfId="0" applyFont="1" applyFill="1" applyBorder="1" applyAlignment="1">
      <alignment horizontal="center"/>
    </xf>
    <xf numFmtId="0" fontId="0" fillId="9" borderId="39" xfId="0" applyFill="1" applyBorder="1"/>
    <xf numFmtId="0" fontId="3" fillId="9" borderId="39" xfId="0" applyFont="1" applyFill="1" applyBorder="1" applyAlignment="1">
      <alignment horizontal="center"/>
    </xf>
    <xf numFmtId="166" fontId="0" fillId="9" borderId="52" xfId="0" applyNumberFormat="1" applyFill="1" applyBorder="1" applyAlignment="1">
      <alignment horizontal="center"/>
    </xf>
    <xf numFmtId="0" fontId="25" fillId="31" borderId="39" xfId="0" applyFont="1" applyFill="1" applyBorder="1"/>
    <xf numFmtId="0" fontId="24" fillId="31" borderId="39" xfId="0" applyFont="1" applyFill="1" applyBorder="1" applyAlignment="1">
      <alignment horizontal="center"/>
    </xf>
    <xf numFmtId="166" fontId="25" fillId="31" borderId="52" xfId="0" applyNumberFormat="1" applyFont="1" applyFill="1" applyBorder="1" applyAlignment="1">
      <alignment horizontal="center"/>
    </xf>
    <xf numFmtId="0" fontId="0" fillId="41" borderId="39" xfId="0" applyFill="1" applyBorder="1"/>
    <xf numFmtId="0" fontId="3" fillId="41" borderId="39" xfId="0" applyFont="1" applyFill="1" applyBorder="1" applyAlignment="1">
      <alignment horizontal="center"/>
    </xf>
    <xf numFmtId="166" fontId="0" fillId="41" borderId="52" xfId="0" applyNumberFormat="1" applyFill="1" applyBorder="1" applyAlignment="1">
      <alignment horizontal="center"/>
    </xf>
    <xf numFmtId="0" fontId="0" fillId="42" borderId="39" xfId="0" applyFill="1" applyBorder="1"/>
    <xf numFmtId="0" fontId="66" fillId="42" borderId="39" xfId="0" applyFont="1" applyFill="1" applyBorder="1" applyAlignment="1">
      <alignment horizontal="center"/>
    </xf>
    <xf numFmtId="166" fontId="70" fillId="42" borderId="52" xfId="0" applyNumberFormat="1" applyFont="1" applyFill="1" applyBorder="1" applyAlignment="1">
      <alignment horizontal="center"/>
    </xf>
    <xf numFmtId="0" fontId="0" fillId="43" borderId="39" xfId="0" applyFill="1" applyBorder="1"/>
    <xf numFmtId="0" fontId="66" fillId="43" borderId="39" xfId="0" applyFont="1" applyFill="1" applyBorder="1" applyAlignment="1">
      <alignment horizontal="center"/>
    </xf>
    <xf numFmtId="166" fontId="70" fillId="43" borderId="52" xfId="0" applyNumberFormat="1" applyFont="1" applyFill="1" applyBorder="1" applyAlignment="1">
      <alignment horizontal="center"/>
    </xf>
    <xf numFmtId="0" fontId="31" fillId="27" borderId="29" xfId="0" applyFont="1" applyFill="1" applyBorder="1" applyAlignment="1">
      <alignment horizontal="left" indent="1"/>
    </xf>
    <xf numFmtId="0" fontId="3" fillId="40" borderId="38" xfId="0" applyFont="1" applyFill="1" applyBorder="1"/>
    <xf numFmtId="0" fontId="25" fillId="9" borderId="38" xfId="0" applyFont="1" applyFill="1" applyBorder="1"/>
    <xf numFmtId="0" fontId="25" fillId="31" borderId="38" xfId="0" applyFont="1" applyFill="1" applyBorder="1"/>
    <xf numFmtId="0" fontId="69" fillId="41" borderId="38" xfId="0" applyFont="1" applyFill="1" applyBorder="1"/>
    <xf numFmtId="0" fontId="70" fillId="42" borderId="38" xfId="0" applyFont="1" applyFill="1" applyBorder="1"/>
    <xf numFmtId="0" fontId="70" fillId="43" borderId="38" xfId="0" applyFont="1" applyFill="1" applyBorder="1"/>
    <xf numFmtId="0" fontId="66" fillId="44" borderId="53" xfId="0" applyFont="1" applyFill="1" applyBorder="1"/>
    <xf numFmtId="0" fontId="3" fillId="44" borderId="54" xfId="0" applyFont="1" applyFill="1" applyBorder="1"/>
    <xf numFmtId="0" fontId="66" fillId="44" borderId="54" xfId="0" applyFont="1" applyFill="1" applyBorder="1" applyAlignment="1">
      <alignment horizontal="center"/>
    </xf>
    <xf numFmtId="166" fontId="66" fillId="44" borderId="55" xfId="0" applyNumberFormat="1" applyFont="1" applyFill="1" applyBorder="1" applyAlignment="1">
      <alignment horizontal="center"/>
    </xf>
    <xf numFmtId="0" fontId="37" fillId="27" borderId="28" xfId="0" applyFont="1" applyFill="1" applyBorder="1"/>
    <xf numFmtId="0" fontId="28" fillId="0" borderId="0" xfId="0" applyFont="1"/>
    <xf numFmtId="0" fontId="31" fillId="27" borderId="38" xfId="0" applyFont="1" applyFill="1" applyBorder="1" applyAlignment="1">
      <alignment horizontal="center" vertical="center" wrapText="1"/>
    </xf>
    <xf numFmtId="0" fontId="31" fillId="35" borderId="39" xfId="0" applyFont="1" applyFill="1" applyBorder="1" applyAlignment="1">
      <alignment horizontal="center" vertical="center" wrapText="1"/>
    </xf>
    <xf numFmtId="0" fontId="31" fillId="36" borderId="39" xfId="0" applyFont="1" applyFill="1" applyBorder="1" applyAlignment="1">
      <alignment horizontal="center" vertical="center" wrapText="1"/>
    </xf>
    <xf numFmtId="0" fontId="31" fillId="6" borderId="39" xfId="0" applyFont="1" applyFill="1" applyBorder="1" applyAlignment="1">
      <alignment horizontal="center" vertical="center"/>
    </xf>
    <xf numFmtId="0" fontId="31" fillId="27" borderId="27" xfId="0" applyFont="1" applyFill="1" applyBorder="1" applyAlignment="1">
      <alignment horizontal="center" vertical="center"/>
    </xf>
    <xf numFmtId="0" fontId="5" fillId="0" borderId="7" xfId="0" applyFont="1" applyBorder="1" applyAlignment="1">
      <alignment horizontal="left" indent="1"/>
    </xf>
    <xf numFmtId="166" fontId="74" fillId="0" borderId="0" xfId="0" applyNumberFormat="1" applyFont="1"/>
    <xf numFmtId="0" fontId="5" fillId="0" borderId="38" xfId="0" applyFont="1" applyBorder="1" applyAlignment="1">
      <alignment horizontal="left" indent="1"/>
    </xf>
    <xf numFmtId="172" fontId="5" fillId="0" borderId="39" xfId="0" applyNumberFormat="1" applyFont="1" applyBorder="1" applyAlignment="1">
      <alignment horizontal="center"/>
    </xf>
    <xf numFmtId="0" fontId="39" fillId="0" borderId="38" xfId="0" applyFont="1" applyBorder="1" applyAlignment="1">
      <alignment horizontal="left" vertical="center" indent="6"/>
    </xf>
    <xf numFmtId="0" fontId="39" fillId="0" borderId="39" xfId="0" applyFont="1" applyBorder="1" applyAlignment="1">
      <alignment horizontal="left" vertical="center" indent="6"/>
    </xf>
    <xf numFmtId="0" fontId="39" fillId="0" borderId="0" xfId="0" applyFont="1" applyAlignment="1">
      <alignment horizontal="left" vertical="center" indent="6"/>
    </xf>
    <xf numFmtId="0" fontId="75" fillId="0" borderId="38" xfId="0" applyFont="1" applyBorder="1" applyAlignment="1">
      <alignment horizontal="left" indent="1"/>
    </xf>
    <xf numFmtId="1" fontId="39" fillId="0" borderId="39" xfId="0" applyNumberFormat="1" applyFont="1" applyBorder="1" applyAlignment="1">
      <alignment horizontal="center"/>
    </xf>
    <xf numFmtId="172" fontId="39" fillId="0" borderId="39" xfId="0" applyNumberFormat="1" applyFont="1" applyBorder="1" applyAlignment="1">
      <alignment horizontal="center"/>
    </xf>
    <xf numFmtId="0" fontId="74" fillId="0" borderId="38" xfId="0" applyFont="1" applyBorder="1" applyAlignment="1">
      <alignment horizontal="left" indent="1"/>
    </xf>
    <xf numFmtId="172" fontId="5" fillId="31" borderId="39" xfId="0" applyNumberFormat="1" applyFont="1" applyFill="1" applyBorder="1" applyAlignment="1">
      <alignment horizontal="center"/>
    </xf>
    <xf numFmtId="172" fontId="5" fillId="7" borderId="39" xfId="0" applyNumberFormat="1" applyFont="1" applyFill="1" applyBorder="1" applyAlignment="1">
      <alignment horizontal="center"/>
    </xf>
    <xf numFmtId="172" fontId="5" fillId="13" borderId="39" xfId="0" applyNumberFormat="1" applyFont="1" applyFill="1" applyBorder="1" applyAlignment="1">
      <alignment horizontal="center"/>
    </xf>
    <xf numFmtId="166" fontId="5" fillId="31" borderId="39" xfId="0" applyNumberFormat="1" applyFont="1" applyFill="1" applyBorder="1" applyAlignment="1">
      <alignment horizontal="center"/>
    </xf>
    <xf numFmtId="166" fontId="5" fillId="7" borderId="39" xfId="0" applyNumberFormat="1" applyFont="1" applyFill="1" applyBorder="1" applyAlignment="1">
      <alignment horizontal="center"/>
    </xf>
    <xf numFmtId="166" fontId="5" fillId="13" borderId="39" xfId="0" applyNumberFormat="1" applyFont="1" applyFill="1" applyBorder="1" applyAlignment="1">
      <alignment horizontal="center"/>
    </xf>
    <xf numFmtId="0" fontId="39" fillId="0" borderId="0" xfId="0" applyFont="1" applyAlignment="1">
      <alignment horizontal="left" indent="1"/>
    </xf>
    <xf numFmtId="0" fontId="67" fillId="0" borderId="38" xfId="0" applyFont="1" applyBorder="1" applyAlignment="1">
      <alignment horizontal="left" indent="1"/>
    </xf>
    <xf numFmtId="0" fontId="39" fillId="0" borderId="39" xfId="0" applyFont="1" applyBorder="1" applyAlignment="1">
      <alignment horizontal="left" indent="1"/>
    </xf>
    <xf numFmtId="0" fontId="51" fillId="0" borderId="40" xfId="0" applyFont="1" applyBorder="1" applyAlignment="1">
      <alignment horizontal="left" vertical="center" indent="1"/>
    </xf>
    <xf numFmtId="0" fontId="39" fillId="0" borderId="41" xfId="0" applyFont="1" applyBorder="1" applyAlignment="1">
      <alignment horizontal="left" vertical="center" indent="1"/>
    </xf>
    <xf numFmtId="174" fontId="67" fillId="0" borderId="41" xfId="0" applyNumberFormat="1" applyFont="1" applyBorder="1" applyAlignment="1">
      <alignment horizontal="center" vertical="center"/>
    </xf>
    <xf numFmtId="0" fontId="39" fillId="0" borderId="0" xfId="0" applyFont="1" applyAlignment="1">
      <alignment horizontal="left" vertical="center" indent="1"/>
    </xf>
    <xf numFmtId="0" fontId="51" fillId="0" borderId="45" xfId="0" applyFont="1" applyBorder="1" applyAlignment="1">
      <alignment horizontal="left" indent="1"/>
    </xf>
    <xf numFmtId="165" fontId="74" fillId="0" borderId="46" xfId="0" applyNumberFormat="1" applyFont="1" applyBorder="1" applyAlignment="1">
      <alignment horizontal="left" indent="1"/>
    </xf>
    <xf numFmtId="174" fontId="67" fillId="0" borderId="47" xfId="0" applyNumberFormat="1" applyFont="1" applyBorder="1" applyAlignment="1">
      <alignment horizontal="left" indent="1"/>
    </xf>
    <xf numFmtId="0" fontId="39" fillId="0" borderId="16" xfId="0" applyFont="1" applyBorder="1" applyAlignment="1">
      <alignment horizontal="left" indent="1"/>
    </xf>
    <xf numFmtId="166" fontId="77" fillId="38" borderId="50" xfId="0" applyNumberFormat="1" applyFont="1" applyFill="1" applyBorder="1" applyAlignment="1">
      <alignment horizontal="left" indent="1"/>
    </xf>
    <xf numFmtId="0" fontId="68" fillId="0" borderId="0" xfId="0" applyFont="1"/>
    <xf numFmtId="166" fontId="39" fillId="0" borderId="0" xfId="0" applyNumberFormat="1" applyFont="1" applyAlignment="1">
      <alignment horizontal="left" indent="7"/>
    </xf>
    <xf numFmtId="0" fontId="64" fillId="3" borderId="0" xfId="0" applyFont="1" applyFill="1" applyAlignment="1">
      <alignment horizontal="left" indent="1"/>
    </xf>
    <xf numFmtId="0" fontId="11" fillId="3" borderId="0" xfId="0" applyFont="1" applyFill="1" applyAlignment="1">
      <alignment horizontal="left" vertical="center" indent="1"/>
    </xf>
    <xf numFmtId="0" fontId="31" fillId="27" borderId="0" xfId="0" applyFont="1" applyFill="1" applyAlignment="1">
      <alignment horizontal="left" indent="1"/>
    </xf>
    <xf numFmtId="0" fontId="31" fillId="3" borderId="0" xfId="0" applyFont="1" applyFill="1" applyAlignment="1">
      <alignment horizontal="left" indent="1"/>
    </xf>
    <xf numFmtId="0" fontId="72" fillId="37" borderId="0" xfId="0" applyFont="1" applyFill="1" applyAlignment="1">
      <alignment horizontal="left" vertical="center" indent="1"/>
    </xf>
    <xf numFmtId="0" fontId="19" fillId="39" borderId="5" xfId="0" applyFont="1" applyFill="1" applyBorder="1"/>
    <xf numFmtId="0" fontId="0" fillId="26" borderId="0" xfId="0" applyFill="1"/>
    <xf numFmtId="166" fontId="39" fillId="0" borderId="24" xfId="0" applyNumberFormat="1" applyFont="1" applyBorder="1" applyAlignment="1">
      <alignment horizontal="left" indent="7"/>
    </xf>
    <xf numFmtId="0" fontId="31" fillId="27" borderId="38" xfId="0" applyFont="1" applyFill="1" applyBorder="1" applyAlignment="1">
      <alignment horizontal="left" indent="1"/>
    </xf>
    <xf numFmtId="0" fontId="31" fillId="27" borderId="39" xfId="0" applyFont="1" applyFill="1" applyBorder="1" applyAlignment="1">
      <alignment horizontal="left" indent="1"/>
    </xf>
    <xf numFmtId="0" fontId="31" fillId="27" borderId="8" xfId="0" applyFont="1" applyFill="1" applyBorder="1" applyAlignment="1">
      <alignment horizontal="left" indent="1"/>
    </xf>
    <xf numFmtId="0" fontId="31" fillId="3" borderId="38" xfId="0" applyFont="1" applyFill="1" applyBorder="1" applyAlignment="1">
      <alignment horizontal="left" indent="1"/>
    </xf>
    <xf numFmtId="0" fontId="31" fillId="3" borderId="39" xfId="0" applyFont="1" applyFill="1" applyBorder="1" applyAlignment="1">
      <alignment horizontal="left" indent="1"/>
    </xf>
    <xf numFmtId="0" fontId="31" fillId="3" borderId="8" xfId="0" applyFont="1" applyFill="1" applyBorder="1" applyAlignment="1">
      <alignment horizontal="left" indent="1"/>
    </xf>
    <xf numFmtId="0" fontId="72" fillId="37" borderId="42" xfId="0" applyFont="1" applyFill="1" applyBorder="1" applyAlignment="1">
      <alignment horizontal="left" vertical="center" indent="1"/>
    </xf>
    <xf numFmtId="0" fontId="72" fillId="37" borderId="43" xfId="0" applyFont="1" applyFill="1" applyBorder="1" applyAlignment="1">
      <alignment horizontal="left" vertical="center" indent="1"/>
    </xf>
    <xf numFmtId="0" fontId="72" fillId="37" borderId="44" xfId="0" applyFont="1" applyFill="1" applyBorder="1" applyAlignment="1">
      <alignment horizontal="left" vertical="center" indent="1"/>
    </xf>
    <xf numFmtId="0" fontId="76" fillId="0" borderId="48" xfId="0" applyFont="1" applyBorder="1" applyAlignment="1">
      <alignment horizontal="left" indent="1"/>
    </xf>
    <xf numFmtId="0" fontId="76" fillId="0" borderId="49" xfId="0" applyFont="1" applyBorder="1" applyAlignment="1">
      <alignment horizontal="left" indent="1"/>
    </xf>
    <xf numFmtId="0" fontId="68" fillId="0" borderId="0" xfId="0" applyFont="1" applyAlignment="1">
      <alignment wrapText="1"/>
    </xf>
    <xf numFmtId="0" fontId="19" fillId="3" borderId="51" xfId="0" applyFont="1" applyFill="1" applyBorder="1"/>
    <xf numFmtId="0" fontId="19" fillId="39" borderId="4" xfId="0" applyFont="1" applyFill="1" applyBorder="1"/>
    <xf numFmtId="0" fontId="71" fillId="0" borderId="0" xfId="0" applyFont="1" applyAlignment="1">
      <alignment wrapText="1"/>
    </xf>
    <xf numFmtId="0" fontId="71" fillId="0" borderId="0" xfId="0" applyFont="1"/>
    <xf numFmtId="0" fontId="79" fillId="45" borderId="0" xfId="0" applyFont="1" applyFill="1" applyAlignment="1">
      <alignment wrapText="1"/>
    </xf>
    <xf numFmtId="0" fontId="79" fillId="2" borderId="0" xfId="0" applyFont="1" applyFill="1" applyAlignment="1">
      <alignment wrapText="1"/>
    </xf>
    <xf numFmtId="166" fontId="73" fillId="28" borderId="0" xfId="0" applyNumberFormat="1" applyFont="1" applyFill="1"/>
    <xf numFmtId="1" fontId="73" fillId="28" borderId="39" xfId="0" applyNumberFormat="1" applyFont="1" applyFill="1" applyBorder="1" applyAlignment="1">
      <alignment horizontal="center"/>
    </xf>
    <xf numFmtId="0" fontId="73" fillId="26" borderId="0" xfId="0" applyFont="1" applyFill="1" applyAlignment="1">
      <alignment horizontal="left" vertical="center" indent="2"/>
    </xf>
    <xf numFmtId="166" fontId="73" fillId="26" borderId="0" xfId="0" applyNumberFormat="1" applyFont="1" applyFill="1" applyAlignment="1">
      <alignment horizontal="left" vertical="center" indent="6"/>
    </xf>
    <xf numFmtId="0" fontId="0" fillId="0" borderId="0" xfId="0" applyAlignment="1">
      <alignment horizontal="left"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31" fillId="29" borderId="0" xfId="0" applyFont="1" applyFill="1" applyAlignment="1">
      <alignment horizontal="left" vertical="center" indent="1"/>
    </xf>
    <xf numFmtId="0" fontId="45" fillId="17" borderId="4" xfId="0" applyFont="1" applyFill="1" applyBorder="1" applyAlignment="1">
      <alignment horizontal="center" vertical="center"/>
    </xf>
    <xf numFmtId="0" fontId="46" fillId="17" borderId="5" xfId="0" applyFont="1" applyFill="1" applyBorder="1" applyAlignment="1">
      <alignment vertical="center"/>
    </xf>
    <xf numFmtId="0" fontId="46" fillId="17" borderId="6" xfId="0" applyFont="1" applyFill="1" applyBorder="1" applyAlignment="1">
      <alignment vertical="center"/>
    </xf>
    <xf numFmtId="0" fontId="44" fillId="18" borderId="7" xfId="0" applyFont="1" applyFill="1" applyBorder="1" applyAlignment="1">
      <alignment horizontal="center" vertical="center"/>
    </xf>
    <xf numFmtId="0" fontId="39" fillId="18" borderId="0" xfId="0" applyFont="1" applyFill="1" applyAlignment="1">
      <alignment vertical="center"/>
    </xf>
    <xf numFmtId="0" fontId="39" fillId="18" borderId="8" xfId="0" applyFont="1" applyFill="1" applyBorder="1" applyAlignment="1">
      <alignment vertical="center"/>
    </xf>
    <xf numFmtId="0" fontId="37" fillId="17" borderId="7" xfId="0" applyFont="1" applyFill="1" applyBorder="1" applyAlignment="1">
      <alignment horizontal="center" vertical="center"/>
    </xf>
    <xf numFmtId="0" fontId="28" fillId="17" borderId="0" xfId="0" applyFont="1" applyFill="1" applyAlignment="1">
      <alignment vertical="center"/>
    </xf>
    <xf numFmtId="0" fontId="37" fillId="19" borderId="0" xfId="0" applyFont="1" applyFill="1" applyAlignment="1">
      <alignment horizontal="center" vertical="center"/>
    </xf>
    <xf numFmtId="0" fontId="28" fillId="19" borderId="0" xfId="0" applyFont="1" applyFill="1" applyAlignment="1">
      <alignment vertical="center"/>
    </xf>
    <xf numFmtId="0" fontId="28" fillId="19" borderId="8" xfId="0" applyFont="1" applyFill="1" applyBorder="1" applyAlignment="1">
      <alignment vertical="center"/>
    </xf>
    <xf numFmtId="0" fontId="37" fillId="29" borderId="4" xfId="0" applyFont="1" applyFill="1" applyBorder="1" applyAlignment="1">
      <alignment horizontal="left" vertical="center" indent="1"/>
    </xf>
    <xf numFmtId="0" fontId="37" fillId="29" borderId="5" xfId="0" applyFont="1" applyFill="1" applyBorder="1" applyAlignment="1">
      <alignment horizontal="left" vertical="center" indent="1"/>
    </xf>
    <xf numFmtId="0" fontId="37" fillId="29" borderId="6" xfId="0" applyFont="1" applyFill="1" applyBorder="1" applyAlignment="1">
      <alignment horizontal="left" vertical="center" indent="1"/>
    </xf>
    <xf numFmtId="0" fontId="51" fillId="0" borderId="7" xfId="0" applyFont="1" applyBorder="1" applyAlignment="1">
      <alignment horizontal="left" indent="1"/>
    </xf>
    <xf numFmtId="0" fontId="51" fillId="0" borderId="0" xfId="0" applyFont="1" applyAlignment="1">
      <alignment horizontal="left" indent="1"/>
    </xf>
    <xf numFmtId="0" fontId="51" fillId="0" borderId="8" xfId="0" applyFont="1" applyBorder="1" applyAlignment="1">
      <alignment horizontal="left" indent="1"/>
    </xf>
    <xf numFmtId="0" fontId="43" fillId="0" borderId="0" xfId="0" applyFont="1" applyAlignment="1">
      <alignment wrapText="1"/>
    </xf>
    <xf numFmtId="0" fontId="5" fillId="22" borderId="8" xfId="0" applyFont="1" applyFill="1" applyBorder="1" applyAlignment="1">
      <alignment horizontal="center" vertical="center" wrapText="1"/>
    </xf>
    <xf numFmtId="0" fontId="5" fillId="22" borderId="17" xfId="0" applyFont="1" applyFill="1" applyBorder="1" applyAlignment="1">
      <alignment horizontal="center" vertical="center" wrapText="1"/>
    </xf>
    <xf numFmtId="0" fontId="4" fillId="25" borderId="0" xfId="0" applyFont="1" applyFill="1" applyAlignment="1">
      <alignment horizontal="left" vertical="center" indent="1"/>
    </xf>
    <xf numFmtId="0" fontId="4" fillId="25" borderId="8" xfId="0" applyFont="1" applyFill="1" applyBorder="1" applyAlignment="1">
      <alignment horizontal="left" vertical="center" indent="1"/>
    </xf>
    <xf numFmtId="0" fontId="4" fillId="24" borderId="0" xfId="0" applyFont="1" applyFill="1" applyAlignment="1">
      <alignment horizontal="left" vertical="center" indent="1"/>
    </xf>
    <xf numFmtId="0" fontId="4" fillId="24" borderId="8" xfId="0" applyFont="1" applyFill="1" applyBorder="1" applyAlignment="1">
      <alignment horizontal="left" vertical="center" indent="1"/>
    </xf>
    <xf numFmtId="0" fontId="4" fillId="25" borderId="0" xfId="0" applyFont="1" applyFill="1" applyAlignment="1">
      <alignment horizontal="left" vertical="center" wrapText="1" indent="1"/>
    </xf>
    <xf numFmtId="0" fontId="4" fillId="25" borderId="8" xfId="0" applyFont="1" applyFill="1" applyBorder="1" applyAlignment="1">
      <alignment horizontal="left" vertical="center" wrapText="1" indent="1"/>
    </xf>
    <xf numFmtId="0" fontId="42" fillId="17" borderId="4" xfId="0" applyFont="1" applyFill="1" applyBorder="1" applyAlignment="1">
      <alignment horizontal="center" vertical="center"/>
    </xf>
    <xf numFmtId="0" fontId="52" fillId="17" borderId="5" xfId="0" applyFont="1" applyFill="1" applyBorder="1" applyAlignment="1">
      <alignment vertical="center"/>
    </xf>
    <xf numFmtId="0" fontId="52" fillId="17" borderId="6" xfId="0" applyFont="1" applyFill="1" applyBorder="1" applyAlignment="1">
      <alignment vertical="center"/>
    </xf>
    <xf numFmtId="0" fontId="44" fillId="18" borderId="15" xfId="0" applyFont="1" applyFill="1" applyBorder="1" applyAlignment="1">
      <alignment horizontal="center" vertical="center" wrapText="1"/>
    </xf>
    <xf numFmtId="0" fontId="39" fillId="18" borderId="16" xfId="0" applyFont="1" applyFill="1" applyBorder="1" applyAlignment="1">
      <alignment vertical="center" wrapText="1"/>
    </xf>
    <xf numFmtId="0" fontId="39" fillId="18" borderId="17" xfId="0" applyFont="1" applyFill="1" applyBorder="1" applyAlignment="1">
      <alignment vertical="center" wrapText="1"/>
    </xf>
    <xf numFmtId="0" fontId="31" fillId="17" borderId="4" xfId="0" applyFont="1" applyFill="1" applyBorder="1" applyAlignment="1">
      <alignment horizontal="left" vertical="center" indent="1"/>
    </xf>
    <xf numFmtId="0" fontId="39" fillId="17" borderId="5" xfId="0" applyFont="1" applyFill="1" applyBorder="1" applyAlignment="1">
      <alignment horizontal="left" vertical="center" indent="1"/>
    </xf>
    <xf numFmtId="0" fontId="37" fillId="18" borderId="7" xfId="0" applyFont="1" applyFill="1" applyBorder="1" applyAlignment="1">
      <alignment horizontal="center" vertical="center"/>
    </xf>
    <xf numFmtId="0" fontId="28" fillId="18" borderId="0" xfId="0" applyFont="1" applyFill="1" applyAlignment="1">
      <alignment vertical="center"/>
    </xf>
    <xf numFmtId="0" fontId="28" fillId="18" borderId="8" xfId="0" applyFont="1" applyFill="1" applyBorder="1" applyAlignment="1">
      <alignment vertical="center"/>
    </xf>
    <xf numFmtId="0" fontId="0" fillId="0" borderId="0" xfId="0" applyAlignment="1">
      <alignment horizontal="left" vertical="center" wrapText="1" indent="1"/>
    </xf>
    <xf numFmtId="0" fontId="0" fillId="0" borderId="8" xfId="0" applyBorder="1" applyAlignment="1">
      <alignment horizontal="left" vertical="center" wrapText="1" indent="1"/>
    </xf>
    <xf numFmtId="0" fontId="40" fillId="0" borderId="0" xfId="0" applyFont="1" applyAlignment="1">
      <alignment horizontal="left" vertical="center" wrapText="1" indent="1"/>
    </xf>
    <xf numFmtId="0" fontId="40" fillId="0" borderId="8" xfId="0" applyFont="1" applyBorder="1" applyAlignment="1">
      <alignment horizontal="left" vertical="center" wrapText="1" indent="1"/>
    </xf>
    <xf numFmtId="0" fontId="37" fillId="18" borderId="31" xfId="0" applyFont="1" applyFill="1" applyBorder="1" applyAlignment="1">
      <alignment horizontal="center" vertical="center"/>
    </xf>
    <xf numFmtId="0" fontId="28" fillId="18" borderId="23" xfId="0" applyFont="1" applyFill="1" applyBorder="1" applyAlignment="1">
      <alignment vertical="center"/>
    </xf>
    <xf numFmtId="0" fontId="28" fillId="18" borderId="26" xfId="0" applyFont="1" applyFill="1" applyBorder="1" applyAlignment="1">
      <alignment vertical="center"/>
    </xf>
    <xf numFmtId="0" fontId="4" fillId="0" borderId="0" xfId="0" applyFont="1" applyAlignment="1">
      <alignment horizontal="left" vertical="center" wrapText="1" indent="2"/>
    </xf>
    <xf numFmtId="0" fontId="4" fillId="0" borderId="8" xfId="0" applyFont="1" applyBorder="1" applyAlignment="1">
      <alignment horizontal="left" vertical="center" wrapText="1" indent="2"/>
    </xf>
    <xf numFmtId="0" fontId="4" fillId="0" borderId="21" xfId="0" applyFont="1" applyBorder="1" applyAlignment="1">
      <alignment horizontal="left" vertical="center" wrapText="1" indent="2"/>
    </xf>
    <xf numFmtId="0" fontId="4" fillId="0" borderId="0" xfId="0" applyFont="1" applyAlignment="1">
      <alignment horizontal="left" vertical="center" wrapText="1" indent="1"/>
    </xf>
    <xf numFmtId="0" fontId="4" fillId="0" borderId="8" xfId="0" applyFont="1" applyBorder="1" applyAlignment="1">
      <alignment horizontal="left" vertical="center" wrapText="1" indent="1"/>
    </xf>
    <xf numFmtId="0" fontId="4" fillId="24" borderId="16" xfId="0" applyFont="1" applyFill="1" applyBorder="1" applyAlignment="1">
      <alignment horizontal="left" vertical="center" indent="1"/>
    </xf>
    <xf numFmtId="0" fontId="4" fillId="24" borderId="17" xfId="0" applyFont="1" applyFill="1" applyBorder="1" applyAlignment="1">
      <alignment horizontal="left" vertical="center" indent="1"/>
    </xf>
    <xf numFmtId="0" fontId="37" fillId="17" borderId="4" xfId="0" applyFont="1" applyFill="1" applyBorder="1" applyAlignment="1">
      <alignment horizontal="center" vertical="center"/>
    </xf>
    <xf numFmtId="0" fontId="28" fillId="17" borderId="5" xfId="0" applyFont="1" applyFill="1" applyBorder="1" applyAlignment="1">
      <alignment vertical="center"/>
    </xf>
    <xf numFmtId="0" fontId="28" fillId="17" borderId="6" xfId="0" applyFont="1" applyFill="1" applyBorder="1" applyAlignment="1">
      <alignment vertical="center"/>
    </xf>
    <xf numFmtId="0" fontId="5" fillId="14" borderId="7" xfId="0" applyFont="1" applyFill="1" applyBorder="1" applyAlignment="1">
      <alignment horizontal="left" vertical="center" wrapText="1" indent="1"/>
    </xf>
    <xf numFmtId="0" fontId="39" fillId="14" borderId="0" xfId="0" applyFont="1" applyFill="1" applyAlignment="1">
      <alignment horizontal="left" wrapText="1" indent="1"/>
    </xf>
    <xf numFmtId="0" fontId="4" fillId="14" borderId="0" xfId="0" applyFont="1" applyFill="1" applyAlignment="1">
      <alignment horizontal="left" vertical="center" wrapText="1" indent="1"/>
    </xf>
    <xf numFmtId="0" fontId="0" fillId="0" borderId="0" xfId="0" applyAlignment="1">
      <alignment horizontal="left" indent="1"/>
    </xf>
    <xf numFmtId="0" fontId="0" fillId="0" borderId="8" xfId="0" applyBorder="1" applyAlignment="1">
      <alignment horizontal="left" indent="1"/>
    </xf>
    <xf numFmtId="0" fontId="0" fillId="0" borderId="0" xfId="0" applyAlignment="1">
      <alignment horizontal="left" vertical="center" indent="1"/>
    </xf>
    <xf numFmtId="0" fontId="0" fillId="0" borderId="8" xfId="0" applyBorder="1" applyAlignment="1">
      <alignment horizontal="left" vertical="center" indent="1"/>
    </xf>
    <xf numFmtId="0" fontId="10" fillId="3" borderId="4" xfId="0" applyFont="1" applyFill="1"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11" fillId="4" borderId="7" xfId="0" applyFont="1" applyFill="1" applyBorder="1" applyAlignment="1">
      <alignment horizontal="center" vertical="center"/>
    </xf>
    <xf numFmtId="0" fontId="0" fillId="0" borderId="0" xfId="0" applyAlignment="1">
      <alignment vertical="center"/>
    </xf>
    <xf numFmtId="0" fontId="0" fillId="0" borderId="8" xfId="0" applyBorder="1" applyAlignment="1">
      <alignment vertical="center"/>
    </xf>
    <xf numFmtId="0" fontId="7" fillId="5" borderId="7" xfId="0" applyFont="1" applyFill="1" applyBorder="1" applyAlignment="1">
      <alignment vertical="center" wrapText="1"/>
    </xf>
    <xf numFmtId="0" fontId="7" fillId="5" borderId="0" xfId="0" applyFont="1" applyFill="1" applyAlignment="1">
      <alignment vertical="center"/>
    </xf>
    <xf numFmtId="0" fontId="7" fillId="5" borderId="8" xfId="0" applyFont="1" applyFill="1" applyBorder="1" applyAlignment="1">
      <alignment vertical="center"/>
    </xf>
    <xf numFmtId="0" fontId="13" fillId="6" borderId="7" xfId="0" applyFont="1" applyFill="1" applyBorder="1" applyAlignment="1">
      <alignment horizontal="center" vertical="center"/>
    </xf>
    <xf numFmtId="0" fontId="0" fillId="6" borderId="0" xfId="0" applyFill="1" applyAlignment="1">
      <alignment vertical="center"/>
    </xf>
    <xf numFmtId="0" fontId="0" fillId="6" borderId="8" xfId="0" applyFill="1" applyBorder="1" applyAlignment="1">
      <alignment vertical="center"/>
    </xf>
    <xf numFmtId="0" fontId="20" fillId="11" borderId="7" xfId="0" applyFont="1" applyFill="1" applyBorder="1" applyAlignment="1">
      <alignment horizontal="left" vertical="center" indent="1"/>
    </xf>
    <xf numFmtId="0" fontId="0" fillId="11" borderId="0" xfId="0" applyFill="1" applyAlignment="1">
      <alignment horizontal="left" vertical="center" indent="1"/>
    </xf>
    <xf numFmtId="0" fontId="0" fillId="11" borderId="8" xfId="0" applyFill="1" applyBorder="1" applyAlignment="1">
      <alignment horizontal="left" vertical="center" indent="1"/>
    </xf>
    <xf numFmtId="0" fontId="21" fillId="7" borderId="7" xfId="0" applyFont="1" applyFill="1" applyBorder="1" applyAlignment="1">
      <alignment horizontal="left" vertical="center" wrapText="1" indent="1"/>
    </xf>
    <xf numFmtId="0" fontId="9" fillId="7" borderId="0" xfId="0" applyFont="1" applyFill="1" applyAlignment="1">
      <alignment horizontal="left" vertical="center" wrapText="1" indent="1"/>
    </xf>
    <xf numFmtId="0" fontId="22" fillId="9" borderId="7" xfId="0" applyFont="1" applyFill="1" applyBorder="1" applyAlignment="1">
      <alignment horizontal="left" vertical="center" wrapText="1" indent="1"/>
    </xf>
    <xf numFmtId="0" fontId="9" fillId="9" borderId="0" xfId="0" applyFont="1" applyFill="1" applyAlignment="1">
      <alignment horizontal="left" vertical="center" wrapText="1" indent="1"/>
    </xf>
    <xf numFmtId="0" fontId="19" fillId="4" borderId="0" xfId="0" applyFont="1" applyFill="1" applyAlignment="1">
      <alignment vertical="center"/>
    </xf>
    <xf numFmtId="0" fontId="0" fillId="4" borderId="0" xfId="0" applyFill="1" applyAlignment="1">
      <alignment vertical="center"/>
    </xf>
    <xf numFmtId="0" fontId="18" fillId="10" borderId="7" xfId="0" applyFont="1" applyFill="1" applyBorder="1" applyAlignment="1">
      <alignment horizontal="left" vertical="center" wrapText="1" indent="1"/>
    </xf>
    <xf numFmtId="0" fontId="9" fillId="10" borderId="0" xfId="0" applyFont="1" applyFill="1" applyAlignment="1">
      <alignment horizontal="left" vertical="center" wrapText="1" indent="1"/>
    </xf>
    <xf numFmtId="0" fontId="18" fillId="10" borderId="15" xfId="0" applyFont="1" applyFill="1" applyBorder="1" applyAlignment="1">
      <alignment horizontal="left" vertical="center" wrapText="1" indent="1"/>
    </xf>
    <xf numFmtId="0" fontId="0" fillId="0" borderId="16" xfId="0" applyBorder="1" applyAlignment="1">
      <alignment horizontal="left" vertical="center" indent="1"/>
    </xf>
    <xf numFmtId="0" fontId="9" fillId="10" borderId="16" xfId="0" applyFont="1" applyFill="1" applyBorder="1" applyAlignment="1">
      <alignment horizontal="left" vertical="center" wrapText="1" indent="1"/>
    </xf>
    <xf numFmtId="0" fontId="0" fillId="0" borderId="17" xfId="0" applyBorder="1" applyAlignment="1">
      <alignment horizontal="left" vertical="center" indent="1"/>
    </xf>
    <xf numFmtId="0" fontId="82" fillId="9" borderId="0" xfId="0" applyFont="1" applyFill="1" applyAlignment="1">
      <alignment wrapText="1"/>
    </xf>
    <xf numFmtId="0" fontId="78" fillId="27" borderId="0" xfId="0" applyFont="1" applyFill="1" applyAlignment="1">
      <alignment wrapText="1"/>
    </xf>
    <xf numFmtId="0" fontId="80" fillId="45" borderId="0" xfId="0" applyFont="1" applyFill="1" applyAlignment="1">
      <alignment horizontal="left" vertical="center" wrapText="1"/>
    </xf>
    <xf numFmtId="0" fontId="78" fillId="27" borderId="0" xfId="0" applyFont="1" applyFill="1"/>
    <xf numFmtId="0" fontId="81" fillId="9" borderId="0" xfId="0" applyFont="1" applyFill="1" applyAlignment="1">
      <alignment wrapText="1"/>
    </xf>
    <xf numFmtId="164" fontId="3" fillId="46" borderId="0" xfId="0" applyNumberFormat="1" applyFont="1" applyFill="1" applyAlignment="1">
      <alignment horizontal="center" vertical="center"/>
    </xf>
    <xf numFmtId="0" fontId="37" fillId="29" borderId="29" xfId="0" applyFont="1" applyFill="1" applyBorder="1" applyAlignment="1">
      <alignment vertical="center"/>
    </xf>
    <xf numFmtId="0" fontId="37" fillId="29" borderId="28" xfId="0" applyFont="1" applyFill="1" applyBorder="1" applyAlignment="1">
      <alignment vertical="center"/>
    </xf>
    <xf numFmtId="0" fontId="37" fillId="29" borderId="30" xfId="0" applyFont="1" applyFill="1" applyBorder="1" applyAlignment="1">
      <alignment vertical="center"/>
    </xf>
    <xf numFmtId="0" fontId="0" fillId="0" borderId="0" xfId="0" applyBorder="1" applyAlignment="1">
      <alignment wrapText="1"/>
    </xf>
    <xf numFmtId="0" fontId="0" fillId="0" borderId="0" xfId="0" applyBorder="1"/>
    <xf numFmtId="0" fontId="49" fillId="0" borderId="7" xfId="0" applyFont="1" applyBorder="1" applyAlignment="1">
      <alignment horizontal="left" vertical="center" wrapText="1"/>
    </xf>
    <xf numFmtId="0" fontId="0" fillId="0" borderId="0" xfId="0" applyBorder="1" applyAlignment="1">
      <alignment horizontal="left" vertical="center" wrapText="1" indent="1"/>
    </xf>
    <xf numFmtId="0" fontId="0" fillId="0" borderId="7" xfId="0" applyBorder="1" applyAlignment="1">
      <alignment vertical="center" wrapText="1"/>
    </xf>
    <xf numFmtId="0" fontId="83" fillId="0" borderId="0" xfId="0" applyFont="1" applyBorder="1" applyAlignment="1">
      <alignment horizontal="left" vertical="center" wrapText="1" indent="1"/>
    </xf>
    <xf numFmtId="0" fontId="83" fillId="0" borderId="8" xfId="0" applyFont="1" applyBorder="1" applyAlignment="1">
      <alignment horizontal="left" vertical="center" wrapText="1" indent="1"/>
    </xf>
    <xf numFmtId="0" fontId="0" fillId="0" borderId="7" xfId="0" applyBorder="1" applyAlignment="1">
      <alignment wrapText="1"/>
    </xf>
    <xf numFmtId="0" fontId="49" fillId="0" borderId="7" xfId="0" applyFont="1" applyBorder="1" applyAlignment="1">
      <alignment wrapText="1"/>
    </xf>
    <xf numFmtId="0" fontId="0" fillId="0" borderId="0" xfId="0" applyBorder="1" applyAlignment="1">
      <alignment horizontal="left" vertical="center" wrapText="1"/>
    </xf>
    <xf numFmtId="0" fontId="85" fillId="30" borderId="31" xfId="0" applyFont="1" applyFill="1" applyBorder="1" applyAlignment="1">
      <alignment horizontal="center"/>
    </xf>
    <xf numFmtId="0" fontId="85" fillId="30" borderId="23" xfId="0" applyFont="1" applyFill="1" applyBorder="1" applyAlignment="1">
      <alignment horizontal="center"/>
    </xf>
    <xf numFmtId="0" fontId="85" fillId="30" borderId="26" xfId="0" applyFont="1" applyFill="1" applyBorder="1" applyAlignment="1">
      <alignment horizontal="center"/>
    </xf>
    <xf numFmtId="0" fontId="85" fillId="28" borderId="15" xfId="0" applyFont="1" applyFill="1" applyBorder="1" applyAlignment="1">
      <alignment horizontal="left" vertical="center" wrapText="1"/>
    </xf>
    <xf numFmtId="0" fontId="58" fillId="28" borderId="16" xfId="0" applyFont="1" applyFill="1" applyBorder="1" applyAlignment="1">
      <alignment horizontal="left" vertical="center" wrapText="1" indent="1"/>
    </xf>
    <xf numFmtId="0" fontId="58" fillId="28" borderId="17" xfId="0" applyFont="1" applyFill="1" applyBorder="1" applyAlignment="1">
      <alignment horizontal="left" vertical="center" wrapText="1" indent="1"/>
    </xf>
    <xf numFmtId="0" fontId="58" fillId="0" borderId="0" xfId="0" applyFont="1"/>
  </cellXfs>
  <cellStyles count="7">
    <cellStyle name="Comma 2" xfId="4" xr:uid="{F260923D-313C-D145-A27D-0227305A8F33}"/>
    <cellStyle name="Currency" xfId="1" builtinId="4"/>
    <cellStyle name="Currency 2" xfId="5" xr:uid="{1849522E-508C-E54B-8215-6AA27CF3F795}"/>
    <cellStyle name="Normal" xfId="0" builtinId="0"/>
    <cellStyle name="Normal 2" xfId="3" xr:uid="{8B89A96E-8005-5246-B632-F681247A9C33}"/>
    <cellStyle name="Percent" xfId="2" builtinId="5"/>
    <cellStyle name="Percent 2" xfId="6" xr:uid="{B35E6E2C-68D9-7846-A8D8-BC75FB0C3195}"/>
  </cellStyles>
  <dxfs count="10">
    <dxf>
      <font>
        <b/>
        <i val="0"/>
        <color rgb="FFC00000"/>
      </font>
      <fill>
        <patternFill patternType="solid">
          <fgColor indexed="64"/>
          <bgColor rgb="FFFFE7E7"/>
        </patternFill>
      </fill>
    </dxf>
    <dxf>
      <font>
        <b/>
        <i val="0"/>
        <color rgb="FF00B050"/>
      </font>
      <fill>
        <patternFill patternType="solid">
          <fgColor indexed="64"/>
          <bgColor rgb="FFE2EFDA"/>
        </patternFill>
      </fill>
    </dxf>
    <dxf>
      <font>
        <color rgb="FFC00000"/>
      </font>
      <fill>
        <patternFill patternType="solid">
          <fgColor indexed="64"/>
          <bgColor rgb="FFFFE7E7"/>
        </patternFill>
      </fill>
    </dxf>
    <dxf>
      <font>
        <color rgb="FF7D4A00"/>
      </font>
      <fill>
        <patternFill patternType="solid">
          <fgColor indexed="64"/>
          <bgColor rgb="FFFFF2CC"/>
        </patternFill>
      </fill>
    </dxf>
    <dxf>
      <font>
        <color rgb="FF00B050"/>
      </font>
      <fill>
        <patternFill patternType="solid">
          <fgColor indexed="64"/>
          <bgColor rgb="FFE2EFDA"/>
        </patternFill>
      </fill>
    </dxf>
    <dxf>
      <font>
        <color rgb="FFC00000"/>
      </font>
      <fill>
        <patternFill patternType="solid">
          <fgColor indexed="64"/>
          <bgColor rgb="FFFFE7E7"/>
        </patternFill>
      </fill>
    </dxf>
    <dxf>
      <font>
        <color rgb="FFC00000"/>
      </font>
      <fill>
        <patternFill patternType="solid">
          <fgColor indexed="64"/>
          <bgColor rgb="FFFFE7E7"/>
        </patternFill>
      </fill>
    </dxf>
    <dxf>
      <font>
        <color rgb="FF00B050"/>
      </font>
      <fill>
        <patternFill patternType="solid">
          <fgColor indexed="64"/>
          <bgColor rgb="FFE2EFDA"/>
        </patternFill>
      </fill>
    </dxf>
    <dxf>
      <font>
        <color rgb="FFC00000"/>
      </font>
      <fill>
        <patternFill patternType="solid">
          <fgColor indexed="64"/>
          <bgColor rgb="FFFFE7E7"/>
        </patternFill>
      </fill>
    </dxf>
    <dxf>
      <font>
        <color rgb="FF00B050"/>
      </font>
      <fill>
        <patternFill patternType="solid">
          <fgColor indexed="64"/>
          <bgColor rgb="FFE2EFDA"/>
        </patternFill>
      </fill>
    </dxf>
  </dxfs>
  <tableStyles count="0" defaultTableStyle="TableStyleMedium2" defaultPivotStyle="PivotStyleLight16"/>
  <colors>
    <mruColors>
      <color rgb="FFFFE6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Trapped by Your Payment Decisions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CCC (Days)</c:v>
          </c:tx>
          <c:spPr>
            <a:solidFill>
              <a:srgbClr val="4472C4"/>
            </a:solidFill>
            <a:ln>
              <a:noFill/>
            </a:ln>
            <a:effectLst/>
          </c:spPr>
          <c:invertIfNegative val="0"/>
          <c:val>
            <c:numRef>
              <c:f>'4. Cash Conversion Cycle'!$F$38:$F$43</c:f>
              <c:numCache>
                <c:formatCode>General</c:formatCode>
                <c:ptCount val="6"/>
                <c:pt idx="0">
                  <c:v>45</c:v>
                </c:pt>
                <c:pt idx="1">
                  <c:v>105</c:v>
                </c:pt>
                <c:pt idx="2">
                  <c:v>45</c:v>
                </c:pt>
                <c:pt idx="3">
                  <c:v>30</c:v>
                </c:pt>
                <c:pt idx="4">
                  <c:v>15</c:v>
                </c:pt>
                <c:pt idx="5">
                  <c:v>-10</c:v>
                </c:pt>
              </c:numCache>
            </c:numRef>
          </c:val>
          <c:extLst>
            <c:ext xmlns:c16="http://schemas.microsoft.com/office/drawing/2014/chart" uri="{C3380CC4-5D6E-409C-BE32-E72D297353CC}">
              <c16:uniqueId val="{00000000-5CD7-C24A-9D00-0EF4E04F1694}"/>
            </c:ext>
          </c:extLst>
        </c:ser>
        <c:ser>
          <c:idx val="1"/>
          <c:order val="1"/>
          <c:tx>
            <c:v>Cash Trapped ($)</c:v>
          </c:tx>
          <c:spPr>
            <a:solidFill>
              <a:srgbClr val="ED7D31"/>
            </a:solidFill>
            <a:ln>
              <a:noFill/>
            </a:ln>
            <a:effectLst/>
          </c:spPr>
          <c:invertIfNegative val="0"/>
          <c:val>
            <c:numRef>
              <c:f>'4. Cash Conversion Cycle'!$G$38:$G$43</c:f>
              <c:numCache>
                <c:formatCode>"$"#,##0</c:formatCode>
                <c:ptCount val="6"/>
                <c:pt idx="0">
                  <c:v>1386986.3013698631</c:v>
                </c:pt>
                <c:pt idx="1">
                  <c:v>3236301.3698630137</c:v>
                </c:pt>
                <c:pt idx="2">
                  <c:v>1386986.3013698631</c:v>
                </c:pt>
                <c:pt idx="3">
                  <c:v>924657.53424657532</c:v>
                </c:pt>
                <c:pt idx="4">
                  <c:v>462328.76712328766</c:v>
                </c:pt>
                <c:pt idx="5">
                  <c:v>-308219.17808219179</c:v>
                </c:pt>
              </c:numCache>
            </c:numRef>
          </c:val>
          <c:extLst>
            <c:ext xmlns:c16="http://schemas.microsoft.com/office/drawing/2014/chart" uri="{C3380CC4-5D6E-409C-BE32-E72D297353CC}">
              <c16:uniqueId val="{00000001-5CD7-C24A-9D00-0EF4E04F1694}"/>
            </c:ext>
          </c:extLst>
        </c:ser>
        <c:dLbls>
          <c:showLegendKey val="0"/>
          <c:showVal val="0"/>
          <c:showCatName val="0"/>
          <c:showSerName val="0"/>
          <c:showPercent val="0"/>
          <c:showBubbleSize val="0"/>
        </c:dLbls>
        <c:gapWidth val="182"/>
        <c:axId val="724060800"/>
        <c:axId val="724072448"/>
      </c:barChart>
      <c:catAx>
        <c:axId val="72406080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72448"/>
        <c:crosses val="autoZero"/>
        <c:auto val="1"/>
        <c:lblAlgn val="ctr"/>
        <c:lblOffset val="100"/>
        <c:noMultiLvlLbl val="0"/>
      </c:catAx>
      <c:valAx>
        <c:axId val="72407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60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Where Does the Cash Come From? (A→B)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Cash Released ($)</c:v>
          </c:tx>
          <c:spPr>
            <a:solidFill>
              <a:srgbClr val="375623"/>
            </a:solidFill>
            <a:ln>
              <a:noFill/>
            </a:ln>
            <a:effectLst/>
          </c:spPr>
          <c:invertIfNegative val="0"/>
          <c:cat>
            <c:numRef>
              <c:f>'4. Cash Conversion Cycle'!$J$12:$J$16</c:f>
              <c:numCache>
                <c:formatCode>General</c:formatCode>
                <c:ptCount val="5"/>
              </c:numCache>
            </c:numRef>
          </c:cat>
          <c:val>
            <c:numRef>
              <c:f>'4. Cash Conversion Cycle'!$K$12:$K$16</c:f>
              <c:numCache>
                <c:formatCode>General</c:formatCode>
                <c:ptCount val="5"/>
              </c:numCache>
            </c:numRef>
          </c:val>
          <c:extLst>
            <c:ext xmlns:c16="http://schemas.microsoft.com/office/drawing/2014/chart" uri="{C3380CC4-5D6E-409C-BE32-E72D297353CC}">
              <c16:uniqueId val="{00000000-83B6-964B-B54E-76CAD1CCF2F0}"/>
            </c:ext>
          </c:extLst>
        </c:ser>
        <c:dLbls>
          <c:showLegendKey val="0"/>
          <c:showVal val="0"/>
          <c:showCatName val="0"/>
          <c:showSerName val="0"/>
          <c:showPercent val="0"/>
          <c:showBubbleSize val="0"/>
        </c:dLbls>
        <c:gapWidth val="219"/>
        <c:overlap val="-27"/>
        <c:axId val="728437568"/>
        <c:axId val="728446976"/>
      </c:barChart>
      <c:catAx>
        <c:axId val="7284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6976"/>
        <c:crosses val="autoZero"/>
        <c:auto val="1"/>
        <c:lblAlgn val="ctr"/>
        <c:lblOffset val="100"/>
        <c:noMultiLvlLbl val="0"/>
      </c:catAx>
      <c:valAx>
        <c:axId val="72844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37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44</xdr:row>
      <xdr:rowOff>0</xdr:rowOff>
    </xdr:from>
    <xdr:to>
      <xdr:col>12</xdr:col>
      <xdr:colOff>381000</xdr:colOff>
      <xdr:row>44</xdr:row>
      <xdr:rowOff>127000</xdr:rowOff>
    </xdr:to>
    <xdr:graphicFrame macro="">
      <xdr:nvGraphicFramePr>
        <xdr:cNvPr id="2" name="CCC Impact Chart">
          <a:extLst>
            <a:ext uri="{FF2B5EF4-FFF2-40B4-BE49-F238E27FC236}">
              <a16:creationId xmlns:a16="http://schemas.microsoft.com/office/drawing/2014/main" id="{8F6DD391-067A-674A-BEA8-F4A98106B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508000</xdr:colOff>
      <xdr:row>44</xdr:row>
      <xdr:rowOff>0</xdr:rowOff>
    </xdr:from>
    <xdr:to>
      <xdr:col>18</xdr:col>
      <xdr:colOff>381000</xdr:colOff>
      <xdr:row>44</xdr:row>
      <xdr:rowOff>127000</xdr:rowOff>
    </xdr:to>
    <xdr:graphicFrame macro="">
      <xdr:nvGraphicFramePr>
        <xdr:cNvPr id="3" name="CCC Breakdown Chart">
          <a:extLst>
            <a:ext uri="{FF2B5EF4-FFF2-40B4-BE49-F238E27FC236}">
              <a16:creationId xmlns:a16="http://schemas.microsoft.com/office/drawing/2014/main" id="{A21374E4-E67D-6847-BAA4-5091CD1C8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Capital%20Raise%20&amp;%20Runway/Capital%20Raise%20and%20Runway%20Calculator%20-%20Mini%20Model.xlsm" TargetMode="External"/><Relationship Id="rId2" Type="http://schemas.openxmlformats.org/officeDocument/2006/relationships/externalLinkPath" Target="/Users/jefferychurch/Downloads/Capital%20Raise%20&amp;%20Runway/Capital%20Raise%20and%20Runway%20Calculator%20-%20Mini%20Model.xlsm" TargetMode="External"/><Relationship Id="rId1" Type="http://schemas.openxmlformats.org/officeDocument/2006/relationships/externalLinkPath" Target="/Users/jefferychurch/Downloads/Capital%20Raise%20&amp;%20Runway/Capital%20Raise%20and%20Runway%20Calculator%20-%20Mini%20Model.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jefferychurch/Dropbox%20(Personal)/2026%20Dream%20Makers/Josh%20&amp;%20Jeff/2026%20Profit%20&amp;%20Cash%20Flow%20Webinar/Cash%20Runway%20Calculator.xlsm" TargetMode="External"/><Relationship Id="rId1" Type="http://schemas.openxmlformats.org/officeDocument/2006/relationships/externalLinkPath" Target="Cash%20Runway%20Calculat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Calculator"/>
      <sheetName val="2.Detailed Cash Burn (Optional)"/>
      <sheetName val="3. P&amp;L BuildUp"/>
      <sheetName val="CalcSheet"/>
      <sheetName val="Assumption Customization"/>
    </sheetNames>
    <sheetDataSet>
      <sheetData sheetId="0" refreshError="1"/>
      <sheetData sheetId="1">
        <row r="10">
          <cell r="D10">
            <v>46023</v>
          </cell>
          <cell r="E10">
            <v>46054</v>
          </cell>
          <cell r="F10">
            <v>46082</v>
          </cell>
          <cell r="G10">
            <v>46113</v>
          </cell>
          <cell r="H10">
            <v>46143</v>
          </cell>
          <cell r="I10">
            <v>46174</v>
          </cell>
          <cell r="J10">
            <v>46204</v>
          </cell>
          <cell r="K10">
            <v>46235</v>
          </cell>
          <cell r="L10">
            <v>46266</v>
          </cell>
          <cell r="M10">
            <v>46296</v>
          </cell>
          <cell r="N10">
            <v>46327</v>
          </cell>
          <cell r="O10">
            <v>46357</v>
          </cell>
          <cell r="P10">
            <v>46388</v>
          </cell>
          <cell r="Q10">
            <v>46419</v>
          </cell>
          <cell r="R10">
            <v>46447</v>
          </cell>
          <cell r="S10">
            <v>46478</v>
          </cell>
          <cell r="T10">
            <v>46508</v>
          </cell>
          <cell r="U10">
            <v>46539</v>
          </cell>
          <cell r="V10">
            <v>46569</v>
          </cell>
          <cell r="W10">
            <v>46600</v>
          </cell>
          <cell r="X10">
            <v>46631</v>
          </cell>
          <cell r="Y10">
            <v>46661</v>
          </cell>
          <cell r="Z10">
            <v>46692</v>
          </cell>
          <cell r="AA10">
            <v>46722</v>
          </cell>
          <cell r="AB10">
            <v>46753</v>
          </cell>
          <cell r="AC10">
            <v>46784</v>
          </cell>
          <cell r="AD10">
            <v>46813</v>
          </cell>
          <cell r="AE10">
            <v>46844</v>
          </cell>
          <cell r="AF10">
            <v>46874</v>
          </cell>
          <cell r="AG10">
            <v>46905</v>
          </cell>
          <cell r="AH10">
            <v>46935</v>
          </cell>
          <cell r="AI10">
            <v>46966</v>
          </cell>
          <cell r="AJ10">
            <v>46997</v>
          </cell>
          <cell r="AK10">
            <v>47027</v>
          </cell>
          <cell r="AL10">
            <v>47058</v>
          </cell>
          <cell r="AM10">
            <v>47088</v>
          </cell>
          <cell r="AN10">
            <v>47119</v>
          </cell>
          <cell r="AO10">
            <v>47150</v>
          </cell>
          <cell r="AP10">
            <v>47178</v>
          </cell>
          <cell r="AQ10">
            <v>47209</v>
          </cell>
          <cell r="AR10">
            <v>47239</v>
          </cell>
          <cell r="AS10">
            <v>47270</v>
          </cell>
          <cell r="AT10">
            <v>47300</v>
          </cell>
          <cell r="AU10">
            <v>47331</v>
          </cell>
          <cell r="AV10">
            <v>47362</v>
          </cell>
          <cell r="AW10">
            <v>47392</v>
          </cell>
          <cell r="AX10">
            <v>47423</v>
          </cell>
          <cell r="AY10">
            <v>47453</v>
          </cell>
          <cell r="AZ10">
            <v>47484</v>
          </cell>
          <cell r="BA10">
            <v>47515</v>
          </cell>
          <cell r="BB10">
            <v>47543</v>
          </cell>
          <cell r="BC10">
            <v>47574</v>
          </cell>
          <cell r="BD10">
            <v>47604</v>
          </cell>
          <cell r="BE10">
            <v>47635</v>
          </cell>
          <cell r="BF10">
            <v>47665</v>
          </cell>
          <cell r="BG10">
            <v>47696</v>
          </cell>
          <cell r="BH10">
            <v>47727</v>
          </cell>
          <cell r="BI10">
            <v>47757</v>
          </cell>
          <cell r="BJ10">
            <v>47788</v>
          </cell>
          <cell r="BK10">
            <v>47818</v>
          </cell>
          <cell r="BL10">
            <v>47849</v>
          </cell>
          <cell r="BM10">
            <v>47880</v>
          </cell>
          <cell r="BN10">
            <v>47908</v>
          </cell>
          <cell r="BO10">
            <v>47939</v>
          </cell>
          <cell r="BP10">
            <v>47969</v>
          </cell>
          <cell r="BQ10">
            <v>48000</v>
          </cell>
          <cell r="BR10">
            <v>48030</v>
          </cell>
          <cell r="BS10">
            <v>48061</v>
          </cell>
          <cell r="BT10">
            <v>48092</v>
          </cell>
          <cell r="BU10">
            <v>48122</v>
          </cell>
          <cell r="BV10">
            <v>48153</v>
          </cell>
          <cell r="BW10">
            <v>48183</v>
          </cell>
        </row>
      </sheetData>
      <sheetData sheetId="2" refreshError="1"/>
      <sheetData sheetId="3">
        <row r="38">
          <cell r="D38">
            <v>450000</v>
          </cell>
          <cell r="E38">
            <v>400000</v>
          </cell>
          <cell r="F38">
            <v>350000</v>
          </cell>
          <cell r="G38">
            <v>300000</v>
          </cell>
          <cell r="H38">
            <v>250000</v>
          </cell>
          <cell r="I38">
            <v>200000</v>
          </cell>
          <cell r="J38">
            <v>150000</v>
          </cell>
          <cell r="K38">
            <v>100000</v>
          </cell>
          <cell r="L38">
            <v>50000</v>
          </cell>
          <cell r="M38">
            <v>600000</v>
          </cell>
          <cell r="N38">
            <v>550000</v>
          </cell>
          <cell r="O38">
            <v>500000</v>
          </cell>
          <cell r="P38">
            <v>480000</v>
          </cell>
          <cell r="Q38">
            <v>460000</v>
          </cell>
          <cell r="R38">
            <v>440000</v>
          </cell>
          <cell r="S38">
            <v>420000</v>
          </cell>
          <cell r="T38">
            <v>400000</v>
          </cell>
          <cell r="U38">
            <v>380000</v>
          </cell>
          <cell r="V38">
            <v>360000</v>
          </cell>
          <cell r="W38">
            <v>340000</v>
          </cell>
          <cell r="X38">
            <v>320000</v>
          </cell>
          <cell r="Y38">
            <v>300000</v>
          </cell>
          <cell r="Z38">
            <v>280000</v>
          </cell>
          <cell r="AA38">
            <v>260000</v>
          </cell>
          <cell r="AB38">
            <v>250000</v>
          </cell>
          <cell r="AC38">
            <v>240000</v>
          </cell>
          <cell r="AD38">
            <v>230000</v>
          </cell>
          <cell r="AE38">
            <v>220000</v>
          </cell>
          <cell r="AF38">
            <v>210000</v>
          </cell>
          <cell r="AG38">
            <v>200000</v>
          </cell>
          <cell r="AH38">
            <v>190000</v>
          </cell>
          <cell r="AI38">
            <v>180000</v>
          </cell>
          <cell r="AJ38">
            <v>170000</v>
          </cell>
          <cell r="AK38">
            <v>160000</v>
          </cell>
          <cell r="AL38">
            <v>150000</v>
          </cell>
          <cell r="AM38">
            <v>140000</v>
          </cell>
          <cell r="AN38">
            <v>130000</v>
          </cell>
          <cell r="AO38">
            <v>120000</v>
          </cell>
          <cell r="AP38">
            <v>110000</v>
          </cell>
          <cell r="AQ38">
            <v>100000</v>
          </cell>
          <cell r="AR38">
            <v>90000</v>
          </cell>
          <cell r="AS38">
            <v>80000</v>
          </cell>
          <cell r="AT38">
            <v>70000</v>
          </cell>
          <cell r="AU38">
            <v>60000</v>
          </cell>
          <cell r="AV38">
            <v>50000</v>
          </cell>
          <cell r="AW38">
            <v>40000</v>
          </cell>
          <cell r="AX38">
            <v>30000</v>
          </cell>
          <cell r="AY38">
            <v>20000</v>
          </cell>
          <cell r="AZ38">
            <v>10000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row>
        <row r="39">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-10000</v>
          </cell>
          <cell r="BC39">
            <v>-20000</v>
          </cell>
          <cell r="BD39">
            <v>-30000</v>
          </cell>
          <cell r="BE39">
            <v>-40000</v>
          </cell>
          <cell r="BF39">
            <v>-50000</v>
          </cell>
          <cell r="BG39">
            <v>-60000</v>
          </cell>
          <cell r="BH39">
            <v>-70000</v>
          </cell>
          <cell r="BI39">
            <v>-80000</v>
          </cell>
          <cell r="BJ39">
            <v>-90000</v>
          </cell>
          <cell r="BK39">
            <v>-100000</v>
          </cell>
          <cell r="BL39">
            <v>-110000</v>
          </cell>
          <cell r="BM39">
            <v>-120000</v>
          </cell>
          <cell r="BN39">
            <v>-130000</v>
          </cell>
          <cell r="BO39">
            <v>-140000</v>
          </cell>
          <cell r="BP39">
            <v>-150000</v>
          </cell>
          <cell r="BQ39">
            <v>-160000</v>
          </cell>
          <cell r="BR39">
            <v>-170000</v>
          </cell>
          <cell r="BS39">
            <v>-180000</v>
          </cell>
          <cell r="BT39">
            <v>-190000</v>
          </cell>
          <cell r="BU39">
            <v>-200000</v>
          </cell>
          <cell r="BV39">
            <v>-210000</v>
          </cell>
          <cell r="BW39">
            <v>-220000</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Calculator"/>
      <sheetName val="2.Detailed Cash Burn (Optional)"/>
      <sheetName val="3. P&amp;L BuildUp"/>
      <sheetName val="CalcSheet"/>
      <sheetName val="Assumption Customization"/>
    </sheetNames>
    <sheetDataSet>
      <sheetData sheetId="0"/>
      <sheetData sheetId="1">
        <row r="10">
          <cell r="D10">
            <v>46023</v>
          </cell>
          <cell r="E10">
            <v>46054</v>
          </cell>
          <cell r="F10">
            <v>46082</v>
          </cell>
          <cell r="G10">
            <v>46113</v>
          </cell>
          <cell r="H10">
            <v>46143</v>
          </cell>
          <cell r="I10">
            <v>46174</v>
          </cell>
          <cell r="J10">
            <v>46204</v>
          </cell>
          <cell r="K10">
            <v>46235</v>
          </cell>
          <cell r="L10">
            <v>46266</v>
          </cell>
          <cell r="M10">
            <v>46296</v>
          </cell>
          <cell r="N10">
            <v>46327</v>
          </cell>
          <cell r="O10">
            <v>46357</v>
          </cell>
          <cell r="P10">
            <v>46388</v>
          </cell>
          <cell r="Q10">
            <v>46419</v>
          </cell>
          <cell r="R10">
            <v>46447</v>
          </cell>
          <cell r="S10">
            <v>46478</v>
          </cell>
          <cell r="T10">
            <v>46508</v>
          </cell>
          <cell r="U10">
            <v>46539</v>
          </cell>
          <cell r="V10">
            <v>46569</v>
          </cell>
          <cell r="W10">
            <v>46600</v>
          </cell>
          <cell r="X10">
            <v>46631</v>
          </cell>
          <cell r="Y10">
            <v>46661</v>
          </cell>
          <cell r="Z10">
            <v>46692</v>
          </cell>
          <cell r="AA10">
            <v>46722</v>
          </cell>
          <cell r="AB10">
            <v>46753</v>
          </cell>
          <cell r="AC10">
            <v>46784</v>
          </cell>
          <cell r="AD10">
            <v>46813</v>
          </cell>
          <cell r="AE10">
            <v>46844</v>
          </cell>
          <cell r="AF10">
            <v>46874</v>
          </cell>
          <cell r="AG10">
            <v>46905</v>
          </cell>
          <cell r="AH10">
            <v>46935</v>
          </cell>
          <cell r="AI10">
            <v>46966</v>
          </cell>
          <cell r="AJ10">
            <v>46997</v>
          </cell>
          <cell r="AK10">
            <v>47027</v>
          </cell>
          <cell r="AL10">
            <v>47058</v>
          </cell>
          <cell r="AM10">
            <v>47088</v>
          </cell>
          <cell r="AN10">
            <v>47119</v>
          </cell>
          <cell r="AO10">
            <v>47150</v>
          </cell>
          <cell r="AP10">
            <v>47178</v>
          </cell>
          <cell r="AQ10">
            <v>47209</v>
          </cell>
          <cell r="AR10">
            <v>47239</v>
          </cell>
          <cell r="AS10">
            <v>47270</v>
          </cell>
          <cell r="AT10">
            <v>47300</v>
          </cell>
          <cell r="AU10">
            <v>47331</v>
          </cell>
          <cell r="AV10">
            <v>47362</v>
          </cell>
          <cell r="AW10">
            <v>47392</v>
          </cell>
          <cell r="AX10">
            <v>47423</v>
          </cell>
          <cell r="AY10">
            <v>47453</v>
          </cell>
          <cell r="AZ10">
            <v>47484</v>
          </cell>
          <cell r="BA10">
            <v>47515</v>
          </cell>
          <cell r="BB10">
            <v>47543</v>
          </cell>
          <cell r="BC10">
            <v>47574</v>
          </cell>
          <cell r="BD10">
            <v>47604</v>
          </cell>
          <cell r="BE10">
            <v>47635</v>
          </cell>
          <cell r="BF10">
            <v>47665</v>
          </cell>
          <cell r="BG10">
            <v>47696</v>
          </cell>
          <cell r="BH10">
            <v>47727</v>
          </cell>
          <cell r="BI10">
            <v>47757</v>
          </cell>
          <cell r="BJ10">
            <v>47788</v>
          </cell>
          <cell r="BK10">
            <v>47818</v>
          </cell>
          <cell r="BL10">
            <v>47849</v>
          </cell>
          <cell r="BM10">
            <v>47880</v>
          </cell>
          <cell r="BN10">
            <v>47908</v>
          </cell>
          <cell r="BO10">
            <v>47939</v>
          </cell>
          <cell r="BP10">
            <v>47969</v>
          </cell>
          <cell r="BQ10">
            <v>48000</v>
          </cell>
          <cell r="BR10">
            <v>48030</v>
          </cell>
          <cell r="BS10">
            <v>48061</v>
          </cell>
          <cell r="BT10">
            <v>48092</v>
          </cell>
          <cell r="BU10">
            <v>48122</v>
          </cell>
          <cell r="BV10">
            <v>48153</v>
          </cell>
          <cell r="BW10">
            <v>48183</v>
          </cell>
        </row>
      </sheetData>
      <sheetData sheetId="2"/>
      <sheetData sheetId="3">
        <row r="38">
          <cell r="D38">
            <v>190000</v>
          </cell>
          <cell r="E38">
            <v>130000</v>
          </cell>
          <cell r="F38">
            <v>70000</v>
          </cell>
          <cell r="G38">
            <v>10000</v>
          </cell>
          <cell r="H38">
            <v>0</v>
          </cell>
          <cell r="I38">
            <v>0</v>
          </cell>
          <cell r="J38">
            <v>0</v>
          </cell>
          <cell r="K38">
            <v>0</v>
          </cell>
          <cell r="L38">
            <v>0</v>
          </cell>
          <cell r="M38">
            <v>650000</v>
          </cell>
          <cell r="N38">
            <v>590000</v>
          </cell>
          <cell r="O38">
            <v>530000</v>
          </cell>
          <cell r="P38">
            <v>450000</v>
          </cell>
          <cell r="Q38">
            <v>370000</v>
          </cell>
          <cell r="R38">
            <v>290000</v>
          </cell>
          <cell r="S38">
            <v>210000</v>
          </cell>
          <cell r="T38">
            <v>130000</v>
          </cell>
          <cell r="U38">
            <v>50000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row>
        <row r="39">
          <cell r="D39">
            <v>0</v>
          </cell>
          <cell r="E39">
            <v>0</v>
          </cell>
          <cell r="F39">
            <v>0</v>
          </cell>
          <cell r="G39">
            <v>0</v>
          </cell>
          <cell r="H39">
            <v>-50000</v>
          </cell>
          <cell r="I39">
            <v>-110000</v>
          </cell>
          <cell r="J39">
            <v>-170000</v>
          </cell>
          <cell r="K39">
            <v>-230000</v>
          </cell>
          <cell r="L39">
            <v>-290000</v>
          </cell>
          <cell r="M39">
            <v>0</v>
          </cell>
          <cell r="N39">
            <v>0</v>
          </cell>
          <cell r="O39">
            <v>0</v>
          </cell>
          <cell r="P39">
            <v>0</v>
          </cell>
          <cell r="Q39">
            <v>0</v>
          </cell>
          <cell r="R39">
            <v>0</v>
          </cell>
          <cell r="S39">
            <v>0</v>
          </cell>
          <cell r="T39">
            <v>0</v>
          </cell>
          <cell r="U39">
            <v>0</v>
          </cell>
          <cell r="V39">
            <v>-30000</v>
          </cell>
          <cell r="W39">
            <v>-110000</v>
          </cell>
          <cell r="X39">
            <v>-190000</v>
          </cell>
          <cell r="Y39">
            <v>-270000</v>
          </cell>
          <cell r="Z39">
            <v>-350000</v>
          </cell>
          <cell r="AA39">
            <v>-430000</v>
          </cell>
          <cell r="AB39">
            <v>-480000</v>
          </cell>
          <cell r="AC39">
            <v>-530000</v>
          </cell>
          <cell r="AD39">
            <v>-580000</v>
          </cell>
          <cell r="AE39">
            <v>-630000</v>
          </cell>
          <cell r="AF39">
            <v>-680000</v>
          </cell>
          <cell r="AG39">
            <v>-730000</v>
          </cell>
          <cell r="AH39">
            <v>-780000</v>
          </cell>
          <cell r="AI39">
            <v>-830000</v>
          </cell>
          <cell r="AJ39">
            <v>-880000</v>
          </cell>
          <cell r="AK39">
            <v>-930000</v>
          </cell>
          <cell r="AL39">
            <v>-980000</v>
          </cell>
          <cell r="AM39">
            <v>-1030000</v>
          </cell>
          <cell r="AN39">
            <v>-1080000</v>
          </cell>
          <cell r="AO39">
            <v>-1130000</v>
          </cell>
          <cell r="AP39">
            <v>-1180000</v>
          </cell>
          <cell r="AQ39">
            <v>-1230000</v>
          </cell>
          <cell r="AR39">
            <v>-1280000</v>
          </cell>
          <cell r="AS39">
            <v>-1330000</v>
          </cell>
          <cell r="AT39">
            <v>-1380000</v>
          </cell>
          <cell r="AU39">
            <v>-1430000</v>
          </cell>
          <cell r="AV39">
            <v>-1480000</v>
          </cell>
          <cell r="AW39">
            <v>-1530000</v>
          </cell>
          <cell r="AX39">
            <v>-1580000</v>
          </cell>
          <cell r="AY39">
            <v>-1630000</v>
          </cell>
          <cell r="AZ39">
            <v>-1680000</v>
          </cell>
          <cell r="BA39">
            <v>-1730000</v>
          </cell>
          <cell r="BB39">
            <v>-1780000</v>
          </cell>
          <cell r="BC39">
            <v>-1830000</v>
          </cell>
          <cell r="BD39">
            <v>-1880000</v>
          </cell>
          <cell r="BE39">
            <v>-1930000</v>
          </cell>
          <cell r="BF39">
            <v>-1980000</v>
          </cell>
          <cell r="BG39">
            <v>-2030000</v>
          </cell>
          <cell r="BH39">
            <v>-2080000</v>
          </cell>
          <cell r="BI39">
            <v>-2130000</v>
          </cell>
          <cell r="BJ39">
            <v>-2180000</v>
          </cell>
          <cell r="BK39">
            <v>-2230000</v>
          </cell>
          <cell r="BL39">
            <v>-2280000</v>
          </cell>
          <cell r="BM39">
            <v>-2330000</v>
          </cell>
          <cell r="BN39">
            <v>-2380000</v>
          </cell>
          <cell r="BO39">
            <v>-2430000</v>
          </cell>
          <cell r="BP39">
            <v>-2480000</v>
          </cell>
          <cell r="BQ39">
            <v>-2530000</v>
          </cell>
          <cell r="BR39">
            <v>-2580000</v>
          </cell>
          <cell r="BS39">
            <v>-2630000</v>
          </cell>
          <cell r="BT39">
            <v>-2680000</v>
          </cell>
          <cell r="BU39">
            <v>-2730000</v>
          </cell>
          <cell r="BV39">
            <v>-2780000</v>
          </cell>
          <cell r="BW39">
            <v>-2830000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B54562-CCB2-954D-9821-6DB3E1349421}">
  <we:reference id="wa200009404" version="1.0.0.8" store="en-US" storeType="OMEX"/>
  <we:alternateReferences>
    <we:reference id="wa200009404" version="1.0.0.8" store="" storeType="OMEX"/>
  </we:alternateReferences>
  <we:properties>
    <we:property name="claude.fileId" value="&quot;a5883202-0d82-4d8b-9185-a85e67a18f74&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41592-7C33-6A49-8C60-7ED7276BA7D2}">
  <sheetPr codeName="Sheet1">
    <tabColor rgb="FFE97132"/>
  </sheetPr>
  <dimension ref="B1:K66"/>
  <sheetViews>
    <sheetView showGridLines="0" zoomScale="110" zoomScaleNormal="110" workbookViewId="0">
      <selection activeCell="J60" sqref="J60"/>
    </sheetView>
  </sheetViews>
  <sheetFormatPr baseColWidth="10" defaultRowHeight="16" x14ac:dyDescent="0.2"/>
  <cols>
    <col min="2" max="2" width="23.6640625" customWidth="1"/>
    <col min="3" max="3" width="14" customWidth="1"/>
    <col min="4" max="4" width="18.33203125" customWidth="1"/>
    <col min="5" max="5" width="6.6640625" customWidth="1"/>
    <col min="6" max="6" width="34.83203125" customWidth="1"/>
    <col min="7" max="7" width="14" customWidth="1"/>
    <col min="8" max="8" width="20" customWidth="1"/>
    <col min="9" max="9" width="14" customWidth="1"/>
    <col min="10" max="10" width="19.5" customWidth="1"/>
    <col min="11" max="11" width="14" customWidth="1"/>
  </cols>
  <sheetData>
    <row r="1" spans="2:11" ht="35" customHeight="1" thickBot="1" x14ac:dyDescent="0.25"/>
    <row r="2" spans="2:11" s="17" customFormat="1" ht="44" customHeight="1" x14ac:dyDescent="0.2">
      <c r="B2" s="363" t="s">
        <v>113</v>
      </c>
      <c r="C2" s="364"/>
      <c r="D2" s="364"/>
      <c r="E2" s="364"/>
      <c r="F2" s="364"/>
      <c r="G2" s="364"/>
      <c r="H2" s="365"/>
    </row>
    <row r="3" spans="2:11" s="17" customFormat="1" ht="31" customHeight="1" x14ac:dyDescent="0.2">
      <c r="B3" s="366" t="s">
        <v>114</v>
      </c>
      <c r="C3" s="367"/>
      <c r="D3" s="367"/>
      <c r="E3" s="367"/>
      <c r="F3" s="367"/>
      <c r="G3" s="367"/>
      <c r="H3" s="368"/>
    </row>
    <row r="4" spans="2:11" s="17" customFormat="1" x14ac:dyDescent="0.2">
      <c r="B4" s="39"/>
      <c r="H4" s="38"/>
    </row>
    <row r="5" spans="2:11" s="17" customFormat="1" ht="31" customHeight="1" x14ac:dyDescent="0.2">
      <c r="B5" s="369" t="s">
        <v>115</v>
      </c>
      <c r="C5" s="370"/>
      <c r="D5" s="370"/>
      <c r="E5" s="64"/>
      <c r="F5" s="371" t="s">
        <v>116</v>
      </c>
      <c r="G5" s="372"/>
      <c r="H5" s="373"/>
      <c r="J5" s="114"/>
      <c r="K5" s="114"/>
    </row>
    <row r="6" spans="2:11" s="17" customFormat="1" ht="22" customHeight="1" x14ac:dyDescent="0.2">
      <c r="B6" s="65" t="s">
        <v>67</v>
      </c>
      <c r="C6" s="66" t="s">
        <v>66</v>
      </c>
      <c r="D6" s="66" t="s">
        <v>117</v>
      </c>
      <c r="E6" s="67"/>
      <c r="F6" s="68" t="s">
        <v>67</v>
      </c>
      <c r="G6" s="68" t="s">
        <v>118</v>
      </c>
      <c r="H6" s="69" t="s">
        <v>117</v>
      </c>
      <c r="J6" s="115"/>
      <c r="K6" s="116"/>
    </row>
    <row r="7" spans="2:11" s="17" customFormat="1" ht="25" customHeight="1" x14ac:dyDescent="0.2">
      <c r="B7" s="70" t="s">
        <v>128</v>
      </c>
      <c r="C7" s="61">
        <v>2.99</v>
      </c>
      <c r="D7" s="71">
        <f>C7</f>
        <v>2.99</v>
      </c>
      <c r="F7" s="72" t="s">
        <v>129</v>
      </c>
      <c r="G7" s="113">
        <v>0.505</v>
      </c>
      <c r="H7" s="73">
        <f>G7</f>
        <v>0.505</v>
      </c>
      <c r="J7" s="60"/>
      <c r="K7" s="116"/>
    </row>
    <row r="8" spans="2:11" s="17" customFormat="1" ht="25" customHeight="1" x14ac:dyDescent="0.2">
      <c r="B8" s="74" t="s">
        <v>68</v>
      </c>
      <c r="C8" s="62">
        <v>0.4</v>
      </c>
      <c r="D8" s="75">
        <f>C7*C8</f>
        <v>1.1960000000000002</v>
      </c>
      <c r="F8" s="76" t="s">
        <v>130</v>
      </c>
      <c r="G8" s="79">
        <f>C15</f>
        <v>0.12</v>
      </c>
      <c r="H8" s="80">
        <f>H12*G8</f>
        <v>0.14528853854324539</v>
      </c>
      <c r="J8" s="60"/>
      <c r="K8" s="116"/>
    </row>
    <row r="9" spans="2:11" s="17" customFormat="1" ht="25" customHeight="1" x14ac:dyDescent="0.2">
      <c r="B9" s="77" t="s">
        <v>69</v>
      </c>
      <c r="C9" s="63">
        <v>0.1</v>
      </c>
      <c r="D9" s="71">
        <f>(C7-D8)*C9</f>
        <v>0.1794</v>
      </c>
      <c r="F9" s="78" t="s">
        <v>131</v>
      </c>
      <c r="G9" s="79">
        <f>C16</f>
        <v>0.05</v>
      </c>
      <c r="H9" s="80">
        <f>H12*G9</f>
        <v>6.0536891059685585E-2</v>
      </c>
      <c r="J9" s="60"/>
      <c r="K9" s="116"/>
    </row>
    <row r="10" spans="2:11" s="17" customFormat="1" ht="25" customHeight="1" x14ac:dyDescent="0.2">
      <c r="B10" s="81" t="s">
        <v>154</v>
      </c>
      <c r="D10" s="82">
        <f>C7-D8-D9</f>
        <v>1.6146</v>
      </c>
      <c r="F10" s="83" t="s">
        <v>132</v>
      </c>
      <c r="G10" s="84">
        <f>H12*G11</f>
        <v>0.71082542960293094</v>
      </c>
      <c r="H10" s="85">
        <f>H12*G11</f>
        <v>0.71082542960293094</v>
      </c>
      <c r="J10" s="60"/>
      <c r="K10" s="116"/>
    </row>
    <row r="11" spans="2:11" s="17" customFormat="1" ht="25" customHeight="1" x14ac:dyDescent="0.2">
      <c r="B11" s="86" t="s">
        <v>155</v>
      </c>
      <c r="C11" s="63">
        <v>0.25</v>
      </c>
      <c r="D11" s="75">
        <f>D10*C11</f>
        <v>0.40365000000000001</v>
      </c>
      <c r="F11" s="87" t="s">
        <v>136</v>
      </c>
      <c r="G11" s="111">
        <f>C14</f>
        <v>0.58710103637639866</v>
      </c>
      <c r="H11" s="38"/>
    </row>
    <row r="12" spans="2:11" s="17" customFormat="1" ht="25" customHeight="1" x14ac:dyDescent="0.2">
      <c r="B12" s="88" t="s">
        <v>156</v>
      </c>
      <c r="D12" s="82">
        <f>D10-D11</f>
        <v>1.21095</v>
      </c>
      <c r="F12" s="83" t="s">
        <v>121</v>
      </c>
      <c r="G12" s="84">
        <f>IFERROR(G7/(G11-G8-G9),0)</f>
        <v>1.2107378211937116</v>
      </c>
      <c r="H12" s="85">
        <f>IFERROR(G7/(G11-G8-G9),0)</f>
        <v>1.2107378211937116</v>
      </c>
    </row>
    <row r="13" spans="2:11" s="17" customFormat="1" ht="25" customHeight="1" x14ac:dyDescent="0.2">
      <c r="B13" s="89" t="s">
        <v>157</v>
      </c>
      <c r="C13" s="63">
        <v>0.5</v>
      </c>
      <c r="D13" s="90">
        <f>C13</f>
        <v>0.5</v>
      </c>
      <c r="F13" s="78" t="s">
        <v>133</v>
      </c>
      <c r="G13" s="91">
        <f>C11</f>
        <v>0.25</v>
      </c>
      <c r="H13" s="80">
        <f>H14-H12</f>
        <v>0.40357927373123714</v>
      </c>
    </row>
    <row r="14" spans="2:11" s="17" customFormat="1" ht="25" customHeight="1" x14ac:dyDescent="0.2">
      <c r="B14" s="88" t="s">
        <v>158</v>
      </c>
      <c r="C14" s="112">
        <f>+D14/D12</f>
        <v>0.58710103637639866</v>
      </c>
      <c r="D14" s="82">
        <f>D12-D13</f>
        <v>0.71094999999999997</v>
      </c>
      <c r="F14" s="83" t="s">
        <v>120</v>
      </c>
      <c r="G14" s="92"/>
      <c r="H14" s="85">
        <f>IFERROR(H12/(1-G13),0)</f>
        <v>1.6143170949249488</v>
      </c>
    </row>
    <row r="15" spans="2:11" s="17" customFormat="1" ht="25" customHeight="1" x14ac:dyDescent="0.2">
      <c r="B15" s="86" t="s">
        <v>159</v>
      </c>
      <c r="C15" s="63">
        <v>0.12</v>
      </c>
      <c r="D15" s="75">
        <f>D12*C15</f>
        <v>0.145314</v>
      </c>
      <c r="F15" s="78" t="s">
        <v>134</v>
      </c>
      <c r="G15" s="79">
        <f>C9</f>
        <v>0.1</v>
      </c>
      <c r="H15" s="80">
        <f>H16-H14</f>
        <v>0.17936856610277196</v>
      </c>
    </row>
    <row r="16" spans="2:11" s="17" customFormat="1" ht="25" customHeight="1" x14ac:dyDescent="0.2">
      <c r="B16" s="89" t="s">
        <v>160</v>
      </c>
      <c r="C16" s="63">
        <v>0.05</v>
      </c>
      <c r="D16" s="90">
        <f>D12*C16</f>
        <v>6.0547500000000004E-2</v>
      </c>
      <c r="F16" s="83" t="s">
        <v>119</v>
      </c>
      <c r="G16" s="92"/>
      <c r="H16" s="85">
        <f>IFERROR(H14/(1-G15),0)</f>
        <v>1.7936856610277208</v>
      </c>
    </row>
    <row r="17" spans="2:8" s="17" customFormat="1" ht="25" customHeight="1" x14ac:dyDescent="0.2">
      <c r="B17" s="93" t="s">
        <v>161</v>
      </c>
      <c r="C17" s="94"/>
      <c r="D17" s="456">
        <f>D14-D15-D16</f>
        <v>0.50508850000000005</v>
      </c>
      <c r="F17" s="95" t="s">
        <v>135</v>
      </c>
      <c r="G17" s="79">
        <f>C8</f>
        <v>0.4</v>
      </c>
      <c r="H17" s="96">
        <f>H18-H16</f>
        <v>1.1957904406851474</v>
      </c>
    </row>
    <row r="18" spans="2:8" s="17" customFormat="1" ht="25" customHeight="1" x14ac:dyDescent="0.2">
      <c r="B18" s="93" t="s">
        <v>122</v>
      </c>
      <c r="C18" s="94"/>
      <c r="D18" s="97">
        <f>IFERROR(D17/C7,0)</f>
        <v>0.16892591973244148</v>
      </c>
      <c r="F18" s="98" t="s">
        <v>124</v>
      </c>
      <c r="H18" s="99">
        <f>IFERROR(H16/(1-G17),0)</f>
        <v>2.9894761017128682</v>
      </c>
    </row>
    <row r="19" spans="2:8" s="17" customFormat="1" ht="25" customHeight="1" x14ac:dyDescent="0.2">
      <c r="B19" s="93" t="s">
        <v>123</v>
      </c>
      <c r="C19" s="60"/>
      <c r="D19" s="97">
        <f>IFERROR(D17/D12,0)</f>
        <v>0.41710103637639873</v>
      </c>
      <c r="F19" s="100" t="s">
        <v>125</v>
      </c>
      <c r="H19" s="101">
        <f>C7</f>
        <v>2.99</v>
      </c>
    </row>
    <row r="20" spans="2:8" s="17" customFormat="1" ht="25" customHeight="1" x14ac:dyDescent="0.2">
      <c r="B20" s="102"/>
      <c r="C20" s="103"/>
      <c r="D20" s="60"/>
      <c r="F20" s="104" t="s">
        <v>126</v>
      </c>
      <c r="H20" s="105">
        <f>C7-H18</f>
        <v>5.2389828713206299E-4</v>
      </c>
    </row>
    <row r="21" spans="2:8" s="17" customFormat="1" ht="25" customHeight="1" x14ac:dyDescent="0.2">
      <c r="B21" s="106"/>
      <c r="C21" s="60"/>
      <c r="D21" s="107"/>
      <c r="F21" s="104" t="s">
        <v>166</v>
      </c>
      <c r="H21" s="105">
        <f>IFERROR((C22*(1-C8)*(1-C9)*(1-C11)-C13-C22*(1-C8)*(1-C9)*(1-C11)*C15-C22*(1-C8)*(1-C9)*(1-C11)*C16)-D17,0)</f>
        <v>0.16807499999999986</v>
      </c>
    </row>
    <row r="22" spans="2:8" s="17" customFormat="1" ht="37" customHeight="1" x14ac:dyDescent="0.2">
      <c r="B22" s="108" t="s">
        <v>165</v>
      </c>
      <c r="C22" s="119">
        <v>3.49</v>
      </c>
      <c r="D22" s="109"/>
      <c r="F22" s="104" t="s">
        <v>167</v>
      </c>
      <c r="H22" s="120">
        <f>IFERROR((C23*(1-C8)*(1-C9)*(1-C11)-C13-C23*(1-C8)*(1-C9)*(1-C11)*C15-C23*(1-C8)*(1-C9)*(1-C11)*C16)-D17,0)</f>
        <v>-0.50422500000000003</v>
      </c>
    </row>
    <row r="23" spans="2:8" s="17" customFormat="1" ht="17" thickBot="1" x14ac:dyDescent="0.25">
      <c r="B23" s="117" t="s">
        <v>164</v>
      </c>
      <c r="C23" s="118">
        <v>1.49</v>
      </c>
      <c r="D23" s="110"/>
      <c r="E23" s="110"/>
      <c r="F23" s="256" t="s">
        <v>127</v>
      </c>
      <c r="G23" s="360" t="str">
        <f>IF(H20&gt;0.5,"Well above floor - room to compete",IF(H20&gt;0,"Above floor - healthy pricing",IF(H20&gt;-0.5,"Below floor - margin squeeze","Far below floor - unsustainable")))</f>
        <v>Above floor - healthy pricing</v>
      </c>
      <c r="H23" s="361"/>
    </row>
    <row r="25" spans="2:8" ht="23" customHeight="1" x14ac:dyDescent="0.2">
      <c r="B25" s="362" t="s">
        <v>168</v>
      </c>
      <c r="C25" s="362"/>
    </row>
    <row r="26" spans="2:8" x14ac:dyDescent="0.2">
      <c r="B26" s="121" t="s">
        <v>169</v>
      </c>
    </row>
    <row r="27" spans="2:8" ht="19" customHeight="1" x14ac:dyDescent="0.2">
      <c r="B27" s="122" t="s">
        <v>170</v>
      </c>
    </row>
    <row r="28" spans="2:8" ht="20" customHeight="1" x14ac:dyDescent="0.2">
      <c r="B28" s="255" t="s">
        <v>171</v>
      </c>
      <c r="C28" s="359" t="s">
        <v>172</v>
      </c>
      <c r="D28" s="359"/>
      <c r="E28" s="359"/>
      <c r="F28" s="359"/>
    </row>
    <row r="29" spans="2:8" ht="20" customHeight="1" x14ac:dyDescent="0.2">
      <c r="B29" s="255" t="s">
        <v>173</v>
      </c>
      <c r="C29" s="359" t="s">
        <v>174</v>
      </c>
      <c r="D29" s="359"/>
      <c r="E29" s="359"/>
      <c r="F29" s="359"/>
    </row>
    <row r="30" spans="2:8" ht="20" customHeight="1" x14ac:dyDescent="0.2">
      <c r="B30" s="255" t="s">
        <v>175</v>
      </c>
      <c r="C30" s="359" t="s">
        <v>176</v>
      </c>
      <c r="D30" s="359"/>
      <c r="E30" s="359"/>
      <c r="F30" s="359"/>
      <c r="G30" s="359"/>
    </row>
    <row r="31" spans="2:8" ht="20" customHeight="1" x14ac:dyDescent="0.2">
      <c r="B31" s="255" t="s">
        <v>177</v>
      </c>
      <c r="C31" s="359" t="s">
        <v>178</v>
      </c>
      <c r="D31" s="359"/>
      <c r="E31" s="359"/>
      <c r="F31" s="359"/>
      <c r="G31" s="359"/>
    </row>
    <row r="32" spans="2:8" ht="20" customHeight="1" x14ac:dyDescent="0.2">
      <c r="B32" s="255" t="s">
        <v>179</v>
      </c>
      <c r="C32" s="359" t="s">
        <v>180</v>
      </c>
      <c r="D32" s="359"/>
      <c r="E32" s="359"/>
      <c r="F32" s="359"/>
      <c r="G32" s="359"/>
    </row>
    <row r="33" spans="2:7" ht="20" customHeight="1" x14ac:dyDescent="0.2">
      <c r="B33" s="255" t="s">
        <v>181</v>
      </c>
      <c r="C33" s="359" t="s">
        <v>182</v>
      </c>
      <c r="D33" s="359"/>
      <c r="E33" s="359"/>
      <c r="F33" s="359"/>
      <c r="G33" s="359"/>
    </row>
    <row r="34" spans="2:7" ht="20" customHeight="1" x14ac:dyDescent="0.2">
      <c r="B34" s="255" t="s">
        <v>183</v>
      </c>
      <c r="C34" s="359" t="s">
        <v>184</v>
      </c>
      <c r="D34" s="359"/>
      <c r="E34" s="359"/>
      <c r="F34" s="359"/>
      <c r="G34" s="359"/>
    </row>
    <row r="35" spans="2:7" ht="20" customHeight="1" x14ac:dyDescent="0.2">
      <c r="C35" s="124"/>
    </row>
    <row r="36" spans="2:7" ht="20" customHeight="1" x14ac:dyDescent="0.2">
      <c r="B36" s="122" t="s">
        <v>185</v>
      </c>
      <c r="C36" s="124"/>
    </row>
    <row r="37" spans="2:7" ht="20" customHeight="1" x14ac:dyDescent="0.2">
      <c r="B37" s="255" t="s">
        <v>186</v>
      </c>
      <c r="C37" s="359" t="s">
        <v>187</v>
      </c>
      <c r="D37" s="359"/>
      <c r="E37" s="359"/>
      <c r="F37" s="359"/>
      <c r="G37" s="359"/>
    </row>
    <row r="38" spans="2:7" ht="20" customHeight="1" x14ac:dyDescent="0.2">
      <c r="B38" s="255" t="s">
        <v>188</v>
      </c>
      <c r="C38" s="359" t="s">
        <v>189</v>
      </c>
      <c r="D38" s="359"/>
      <c r="E38" s="359"/>
      <c r="F38" s="359"/>
      <c r="G38" s="359"/>
    </row>
    <row r="39" spans="2:7" ht="20" customHeight="1" x14ac:dyDescent="0.2">
      <c r="C39" s="124"/>
    </row>
    <row r="40" spans="2:7" ht="20" customHeight="1" x14ac:dyDescent="0.2">
      <c r="B40" s="122" t="s">
        <v>190</v>
      </c>
      <c r="C40" s="124"/>
    </row>
    <row r="41" spans="2:7" ht="20" customHeight="1" x14ac:dyDescent="0.2">
      <c r="B41" s="255" t="s">
        <v>191</v>
      </c>
      <c r="C41" s="359" t="s">
        <v>192</v>
      </c>
      <c r="D41" s="359"/>
      <c r="E41" s="359"/>
      <c r="F41" s="359"/>
      <c r="G41" s="359"/>
    </row>
    <row r="42" spans="2:7" ht="20" customHeight="1" x14ac:dyDescent="0.2">
      <c r="B42" s="255" t="s">
        <v>193</v>
      </c>
      <c r="C42" s="359" t="s">
        <v>194</v>
      </c>
      <c r="D42" s="359"/>
      <c r="E42" s="359"/>
      <c r="F42" s="359"/>
      <c r="G42" s="359"/>
    </row>
    <row r="43" spans="2:7" ht="20" customHeight="1" x14ac:dyDescent="0.2">
      <c r="B43" s="255" t="s">
        <v>195</v>
      </c>
      <c r="C43" s="359" t="s">
        <v>196</v>
      </c>
      <c r="D43" s="359"/>
      <c r="E43" s="359"/>
      <c r="F43" s="359"/>
      <c r="G43" s="359"/>
    </row>
    <row r="44" spans="2:7" ht="20" customHeight="1" x14ac:dyDescent="0.2">
      <c r="C44" s="124"/>
    </row>
    <row r="45" spans="2:7" ht="20" customHeight="1" x14ac:dyDescent="0.2">
      <c r="B45" s="123" t="s">
        <v>197</v>
      </c>
      <c r="C45" s="124"/>
    </row>
    <row r="46" spans="2:7" ht="20" customHeight="1" x14ac:dyDescent="0.2">
      <c r="B46" s="255" t="s">
        <v>198</v>
      </c>
      <c r="C46" s="359" t="s">
        <v>199</v>
      </c>
      <c r="D46" s="359"/>
      <c r="E46" s="359"/>
      <c r="F46" s="359"/>
      <c r="G46" s="359"/>
    </row>
    <row r="47" spans="2:7" ht="20" customHeight="1" x14ac:dyDescent="0.2">
      <c r="B47" s="255" t="s">
        <v>200</v>
      </c>
      <c r="C47" s="359" t="s">
        <v>201</v>
      </c>
      <c r="D47" s="359"/>
      <c r="E47" s="359"/>
      <c r="F47" s="359"/>
      <c r="G47" s="359"/>
    </row>
    <row r="48" spans="2:7" ht="20" customHeight="1" x14ac:dyDescent="0.2">
      <c r="B48" s="255" t="s">
        <v>202</v>
      </c>
      <c r="C48" s="359" t="s">
        <v>203</v>
      </c>
      <c r="D48" s="359"/>
      <c r="E48" s="359"/>
      <c r="F48" s="359"/>
      <c r="G48" s="359"/>
    </row>
    <row r="49" spans="2:7" ht="20" customHeight="1" x14ac:dyDescent="0.2">
      <c r="B49" s="255" t="s">
        <v>204</v>
      </c>
      <c r="C49" s="359" t="s">
        <v>205</v>
      </c>
      <c r="D49" s="359"/>
      <c r="E49" s="359"/>
      <c r="F49" s="359"/>
      <c r="G49" s="359"/>
    </row>
    <row r="50" spans="2:7" ht="20" customHeight="1" x14ac:dyDescent="0.2">
      <c r="B50" s="255" t="s">
        <v>206</v>
      </c>
      <c r="C50" s="359" t="s">
        <v>207</v>
      </c>
      <c r="D50" s="359"/>
      <c r="E50" s="359"/>
      <c r="F50" s="359"/>
      <c r="G50" s="359"/>
    </row>
    <row r="51" spans="2:7" ht="17" thickBot="1" x14ac:dyDescent="0.25">
      <c r="C51" s="124"/>
    </row>
    <row r="52" spans="2:7" s="292" customFormat="1" ht="34" customHeight="1" x14ac:dyDescent="0.25">
      <c r="B52" s="457" t="s">
        <v>208</v>
      </c>
      <c r="C52" s="458"/>
      <c r="D52" s="458"/>
      <c r="E52" s="458"/>
      <c r="F52" s="458"/>
      <c r="G52" s="459"/>
    </row>
    <row r="53" spans="2:7" ht="18" x14ac:dyDescent="0.25">
      <c r="B53" s="470" t="s">
        <v>209</v>
      </c>
      <c r="C53" s="471"/>
      <c r="D53" s="471"/>
      <c r="E53" s="471"/>
      <c r="F53" s="471"/>
      <c r="G53" s="472"/>
    </row>
    <row r="54" spans="2:7" ht="86" customHeight="1" x14ac:dyDescent="0.2">
      <c r="B54" s="462" t="s">
        <v>210</v>
      </c>
      <c r="C54" s="463" t="s">
        <v>337</v>
      </c>
      <c r="D54" s="463"/>
      <c r="E54" s="463"/>
      <c r="F54" s="463"/>
      <c r="G54" s="401"/>
    </row>
    <row r="55" spans="2:7" ht="5" customHeight="1" x14ac:dyDescent="0.2">
      <c r="B55" s="464"/>
      <c r="C55" s="460"/>
      <c r="D55" s="461"/>
      <c r="E55" s="461"/>
      <c r="F55" s="461"/>
      <c r="G55" s="53"/>
    </row>
    <row r="56" spans="2:7" ht="86" customHeight="1" x14ac:dyDescent="0.2">
      <c r="B56" s="462" t="s">
        <v>211</v>
      </c>
      <c r="C56" s="463" t="s">
        <v>212</v>
      </c>
      <c r="D56" s="463"/>
      <c r="E56" s="463"/>
      <c r="F56" s="463"/>
      <c r="G56" s="401"/>
    </row>
    <row r="57" spans="2:7" ht="12" customHeight="1" x14ac:dyDescent="0.2">
      <c r="B57" s="464"/>
      <c r="C57" s="460"/>
      <c r="D57" s="461"/>
      <c r="E57" s="461"/>
      <c r="F57" s="461"/>
      <c r="G57" s="53"/>
    </row>
    <row r="58" spans="2:7" ht="86" customHeight="1" x14ac:dyDescent="0.2">
      <c r="B58" s="462" t="s">
        <v>213</v>
      </c>
      <c r="C58" s="463" t="s">
        <v>214</v>
      </c>
      <c r="D58" s="463"/>
      <c r="E58" s="463"/>
      <c r="F58" s="463"/>
      <c r="G58" s="401"/>
    </row>
    <row r="59" spans="2:7" ht="12" customHeight="1" x14ac:dyDescent="0.2">
      <c r="B59" s="464"/>
      <c r="C59" s="460"/>
      <c r="D59" s="461"/>
      <c r="E59" s="461"/>
      <c r="F59" s="461"/>
      <c r="G59" s="53"/>
    </row>
    <row r="60" spans="2:7" ht="86" customHeight="1" x14ac:dyDescent="0.2">
      <c r="B60" s="462" t="s">
        <v>215</v>
      </c>
      <c r="C60" s="465" t="s">
        <v>216</v>
      </c>
      <c r="D60" s="465"/>
      <c r="E60" s="465"/>
      <c r="F60" s="465"/>
      <c r="G60" s="466"/>
    </row>
    <row r="61" spans="2:7" ht="10" customHeight="1" x14ac:dyDescent="0.2">
      <c r="B61" s="464"/>
      <c r="C61" s="460"/>
      <c r="D61" s="461"/>
      <c r="E61" s="461"/>
      <c r="F61" s="461"/>
      <c r="G61" s="53"/>
    </row>
    <row r="62" spans="2:7" ht="86" customHeight="1" x14ac:dyDescent="0.2">
      <c r="B62" s="462" t="s">
        <v>217</v>
      </c>
      <c r="C62" s="463" t="s">
        <v>338</v>
      </c>
      <c r="D62" s="463"/>
      <c r="E62" s="463"/>
      <c r="F62" s="463"/>
      <c r="G62" s="401"/>
    </row>
    <row r="63" spans="2:7" ht="8" customHeight="1" x14ac:dyDescent="0.2">
      <c r="B63" s="467"/>
      <c r="C63" s="460"/>
      <c r="D63" s="461"/>
      <c r="E63" s="461"/>
      <c r="F63" s="461"/>
      <c r="G63" s="53"/>
    </row>
    <row r="64" spans="2:7" ht="86" customHeight="1" x14ac:dyDescent="0.2">
      <c r="B64" s="462" t="s">
        <v>218</v>
      </c>
      <c r="C64" s="465" t="s">
        <v>219</v>
      </c>
      <c r="D64" s="465"/>
      <c r="E64" s="465"/>
      <c r="F64" s="465"/>
      <c r="G64" s="466"/>
    </row>
    <row r="65" spans="2:7" ht="7" customHeight="1" x14ac:dyDescent="0.2">
      <c r="B65" s="468"/>
      <c r="C65" s="469"/>
      <c r="D65" s="469"/>
      <c r="E65" s="469"/>
      <c r="F65" s="469"/>
      <c r="G65" s="53"/>
    </row>
    <row r="66" spans="2:7" s="476" customFormat="1" ht="86" customHeight="1" thickBot="1" x14ac:dyDescent="0.3">
      <c r="B66" s="473" t="s">
        <v>220</v>
      </c>
      <c r="C66" s="474" t="s">
        <v>221</v>
      </c>
      <c r="D66" s="474"/>
      <c r="E66" s="474"/>
      <c r="F66" s="474"/>
      <c r="G66" s="475"/>
    </row>
  </sheetData>
  <mergeCells count="31">
    <mergeCell ref="C60:G60"/>
    <mergeCell ref="C62:G62"/>
    <mergeCell ref="C64:G64"/>
    <mergeCell ref="C66:G66"/>
    <mergeCell ref="B53:G53"/>
    <mergeCell ref="C54:G54"/>
    <mergeCell ref="C56:G56"/>
    <mergeCell ref="C58:G58"/>
    <mergeCell ref="C28:F28"/>
    <mergeCell ref="C29:F29"/>
    <mergeCell ref="B25:C25"/>
    <mergeCell ref="B2:H2"/>
    <mergeCell ref="B3:H3"/>
    <mergeCell ref="B5:D5"/>
    <mergeCell ref="F5:H5"/>
    <mergeCell ref="C41:G41"/>
    <mergeCell ref="C42:G42"/>
    <mergeCell ref="C43:G43"/>
    <mergeCell ref="C30:G30"/>
    <mergeCell ref="C31:G31"/>
    <mergeCell ref="C32:G32"/>
    <mergeCell ref="C33:G33"/>
    <mergeCell ref="C34:G34"/>
    <mergeCell ref="G23:H23"/>
    <mergeCell ref="C46:G46"/>
    <mergeCell ref="C47:G47"/>
    <mergeCell ref="C48:G48"/>
    <mergeCell ref="C49:G49"/>
    <mergeCell ref="C50:G50"/>
    <mergeCell ref="C37:G37"/>
    <mergeCell ref="C38:G38"/>
  </mergeCells>
  <conditionalFormatting sqref="H20:H21">
    <cfRule type="cellIs" dxfId="9" priority="1" operator="greaterThan">
      <formula>0</formula>
    </cfRule>
    <cfRule type="cellIs" dxfId="8" priority="2" operator="lessThanOrEqual">
      <formula>0</formula>
    </cfRule>
  </conditionalFormatting>
  <conditionalFormatting sqref="H22">
    <cfRule type="containsText" dxfId="7" priority="5" operator="containsText" text="above">
      <formula>NOT(ISERROR(SEARCH("above",H22)))</formula>
    </cfRule>
    <cfRule type="containsText" dxfId="6" priority="6" operator="containsText" text="squeeze">
      <formula>NOT(ISERROR(SEARCH("squeeze",H22)))</formula>
    </cfRule>
    <cfRule type="containsText" dxfId="5" priority="7" operator="containsText" text="unsustainable">
      <formula>NOT(ISERROR(SEARCH("unsustainable",H22)))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6140-BA50-F24C-9CE4-40FE232F2FB0}">
  <sheetPr codeName="Sheet2">
    <tabColor rgb="FF156082"/>
  </sheetPr>
  <dimension ref="B1:L76"/>
  <sheetViews>
    <sheetView showGridLines="0" zoomScale="140" zoomScaleNormal="140" workbookViewId="0">
      <selection activeCell="C14" sqref="C14"/>
    </sheetView>
  </sheetViews>
  <sheetFormatPr baseColWidth="10" defaultRowHeight="16" x14ac:dyDescent="0.2"/>
  <cols>
    <col min="2" max="2" width="42.33203125" customWidth="1"/>
    <col min="3" max="3" width="22.33203125" customWidth="1"/>
    <col min="4" max="6" width="19.33203125" customWidth="1"/>
    <col min="7" max="7" width="15.83203125" customWidth="1"/>
    <col min="8" max="8" width="13.5" style="165" customWidth="1"/>
    <col min="9" max="9" width="15.6640625" style="165" customWidth="1"/>
    <col min="10" max="10" width="10.83203125" style="165"/>
    <col min="11" max="11" width="12" style="165" customWidth="1"/>
    <col min="12" max="12" width="16.6640625" style="165" customWidth="1"/>
  </cols>
  <sheetData>
    <row r="1" spans="2:12" ht="33" customHeight="1" thickBot="1" x14ac:dyDescent="0.25"/>
    <row r="2" spans="2:12" ht="32" customHeight="1" x14ac:dyDescent="0.2">
      <c r="B2" s="389" t="s">
        <v>72</v>
      </c>
      <c r="C2" s="390"/>
      <c r="D2" s="390"/>
      <c r="E2" s="390"/>
      <c r="F2" s="391"/>
    </row>
    <row r="3" spans="2:12" ht="28" customHeight="1" thickBot="1" x14ac:dyDescent="0.25">
      <c r="B3" s="392" t="s">
        <v>73</v>
      </c>
      <c r="C3" s="393"/>
      <c r="D3" s="393"/>
      <c r="E3" s="393"/>
      <c r="F3" s="394"/>
    </row>
    <row r="4" spans="2:12" ht="16" customHeight="1" thickBot="1" x14ac:dyDescent="0.25"/>
    <row r="5" spans="2:12" ht="32" customHeight="1" x14ac:dyDescent="0.2">
      <c r="B5" s="395" t="s">
        <v>74</v>
      </c>
      <c r="C5" s="396"/>
      <c r="D5" s="247"/>
      <c r="E5" s="247"/>
      <c r="F5" s="248"/>
    </row>
    <row r="6" spans="2:12" s="17" customFormat="1" ht="28" customHeight="1" x14ac:dyDescent="0.2">
      <c r="B6" s="196" t="s">
        <v>75</v>
      </c>
      <c r="C6" s="197">
        <v>3.49</v>
      </c>
      <c r="F6" s="38"/>
      <c r="H6" s="59"/>
      <c r="I6" s="59"/>
      <c r="J6" s="59"/>
      <c r="K6" s="59"/>
      <c r="L6" s="59"/>
    </row>
    <row r="7" spans="2:12" s="17" customFormat="1" ht="28" customHeight="1" x14ac:dyDescent="0.2">
      <c r="B7" s="198" t="s">
        <v>76</v>
      </c>
      <c r="C7" s="199">
        <v>2.4900000000000002</v>
      </c>
      <c r="F7" s="38"/>
      <c r="H7" s="59"/>
      <c r="I7" s="59"/>
      <c r="J7" s="59"/>
      <c r="K7" s="59"/>
      <c r="L7" s="59"/>
    </row>
    <row r="8" spans="2:12" s="17" customFormat="1" ht="28" customHeight="1" x14ac:dyDescent="0.2">
      <c r="B8" s="200" t="s">
        <v>77</v>
      </c>
      <c r="C8" s="201">
        <f>IFERROR((C6-C7)/C6,0)</f>
        <v>0.28653295128939826</v>
      </c>
      <c r="F8" s="38"/>
      <c r="H8" s="59"/>
      <c r="I8" s="59"/>
      <c r="J8" s="59"/>
      <c r="K8" s="59"/>
      <c r="L8" s="59"/>
    </row>
    <row r="9" spans="2:12" s="17" customFormat="1" ht="28" customHeight="1" x14ac:dyDescent="0.2">
      <c r="B9" s="202" t="s">
        <v>137</v>
      </c>
      <c r="C9" s="203">
        <v>0.42</v>
      </c>
      <c r="D9" s="407" t="s">
        <v>138</v>
      </c>
      <c r="E9" s="407"/>
      <c r="F9" s="408"/>
      <c r="H9" s="59"/>
      <c r="I9" s="59"/>
      <c r="J9" s="59"/>
      <c r="K9" s="59"/>
      <c r="L9" s="59"/>
    </row>
    <row r="10" spans="2:12" s="17" customFormat="1" ht="28" customHeight="1" x14ac:dyDescent="0.2">
      <c r="B10" s="204" t="s">
        <v>139</v>
      </c>
      <c r="C10" s="205">
        <v>0.4</v>
      </c>
      <c r="D10" s="409" t="s">
        <v>140</v>
      </c>
      <c r="E10" s="407"/>
      <c r="F10" s="408"/>
      <c r="H10" s="59"/>
      <c r="I10" s="59"/>
      <c r="J10" s="59"/>
      <c r="K10" s="59"/>
      <c r="L10" s="59"/>
    </row>
    <row r="11" spans="2:12" s="17" customFormat="1" ht="28" customHeight="1" x14ac:dyDescent="0.2">
      <c r="B11" s="196" t="s">
        <v>78</v>
      </c>
      <c r="C11" s="206">
        <v>0</v>
      </c>
      <c r="F11" s="38"/>
      <c r="H11" s="59"/>
      <c r="I11" s="59"/>
      <c r="J11" s="59"/>
      <c r="K11" s="59"/>
      <c r="L11" s="59"/>
    </row>
    <row r="12" spans="2:12" s="17" customFormat="1" ht="28" customHeight="1" x14ac:dyDescent="0.2">
      <c r="B12" s="198" t="s">
        <v>79</v>
      </c>
      <c r="C12" s="207">
        <v>133083</v>
      </c>
      <c r="F12" s="38"/>
      <c r="H12" s="59"/>
      <c r="I12" s="59"/>
      <c r="J12" s="59"/>
      <c r="K12" s="59"/>
      <c r="L12" s="59"/>
    </row>
    <row r="13" spans="2:12" s="17" customFormat="1" ht="28" customHeight="1" x14ac:dyDescent="0.2">
      <c r="B13" s="196" t="s">
        <v>80</v>
      </c>
      <c r="C13" s="208">
        <v>0.6</v>
      </c>
      <c r="F13" s="38"/>
      <c r="H13" s="59"/>
      <c r="I13" s="59"/>
      <c r="J13" s="59"/>
      <c r="K13" s="59"/>
      <c r="L13" s="59"/>
    </row>
    <row r="14" spans="2:12" s="60" customFormat="1" ht="10" customHeight="1" x14ac:dyDescent="0.2">
      <c r="B14" s="190"/>
      <c r="C14" s="188"/>
      <c r="F14" s="191"/>
      <c r="H14" s="189"/>
      <c r="I14" s="189"/>
      <c r="J14" s="189"/>
      <c r="K14" s="189"/>
      <c r="L14" s="189"/>
    </row>
    <row r="15" spans="2:12" s="17" customFormat="1" ht="28" customHeight="1" x14ac:dyDescent="0.2">
      <c r="B15" s="192" t="s">
        <v>143</v>
      </c>
      <c r="C15" s="188"/>
      <c r="F15" s="38"/>
      <c r="H15" s="59"/>
      <c r="I15" s="59"/>
      <c r="J15" s="59"/>
      <c r="K15" s="59"/>
      <c r="L15" s="59"/>
    </row>
    <row r="16" spans="2:12" s="17" customFormat="1" ht="28" customHeight="1" x14ac:dyDescent="0.2">
      <c r="B16" s="202" t="s">
        <v>144</v>
      </c>
      <c r="C16" s="209">
        <f>C6-C7</f>
        <v>1</v>
      </c>
      <c r="D16" s="193" t="s">
        <v>145</v>
      </c>
      <c r="E16" s="194"/>
      <c r="F16" s="195"/>
      <c r="H16" s="59"/>
      <c r="I16" s="59"/>
      <c r="J16" s="59"/>
      <c r="K16" s="59"/>
      <c r="L16" s="59"/>
    </row>
    <row r="17" spans="2:12" s="17" customFormat="1" ht="28" customHeight="1" x14ac:dyDescent="0.2">
      <c r="B17" s="202" t="s">
        <v>146</v>
      </c>
      <c r="C17" s="210">
        <f>(C6*(1-C10))-(C7*(1-C9))</f>
        <v>0.64979999999999949</v>
      </c>
      <c r="D17" s="402" t="s">
        <v>147</v>
      </c>
      <c r="E17" s="402"/>
      <c r="F17" s="403"/>
      <c r="H17" s="59"/>
      <c r="I17" s="59"/>
      <c r="J17" s="59"/>
      <c r="K17" s="59"/>
      <c r="L17" s="59"/>
    </row>
    <row r="18" spans="2:12" s="17" customFormat="1" ht="28" customHeight="1" x14ac:dyDescent="0.2">
      <c r="B18" s="202" t="s">
        <v>148</v>
      </c>
      <c r="C18" s="211">
        <f>C17*C12*(1+C13)</f>
        <v>138363.73343999989</v>
      </c>
      <c r="D18" s="402" t="s">
        <v>149</v>
      </c>
      <c r="E18" s="402"/>
      <c r="F18" s="403"/>
      <c r="H18" s="59"/>
      <c r="I18" s="59"/>
      <c r="J18" s="59"/>
      <c r="K18" s="59"/>
      <c r="L18" s="59"/>
    </row>
    <row r="19" spans="2:12" s="17" customFormat="1" ht="28" customHeight="1" x14ac:dyDescent="0.2">
      <c r="B19" s="202" t="s">
        <v>150</v>
      </c>
      <c r="C19" s="212">
        <f>IFERROR(C18/(C6*C12*(1+C13)),0)</f>
        <v>0.18618911174785086</v>
      </c>
      <c r="D19" s="402" t="s">
        <v>151</v>
      </c>
      <c r="E19" s="402"/>
      <c r="F19" s="403"/>
      <c r="H19" s="59"/>
      <c r="I19" s="59"/>
      <c r="J19" s="59"/>
      <c r="K19" s="59"/>
      <c r="L19" s="59"/>
    </row>
    <row r="20" spans="2:12" ht="9" customHeight="1" x14ac:dyDescent="0.2">
      <c r="B20" s="52"/>
      <c r="F20" s="53"/>
    </row>
    <row r="21" spans="2:12" s="58" customFormat="1" ht="32" customHeight="1" x14ac:dyDescent="0.2">
      <c r="B21" s="397" t="s">
        <v>81</v>
      </c>
      <c r="C21" s="398"/>
      <c r="D21" s="398"/>
      <c r="E21" s="398"/>
      <c r="F21" s="399"/>
      <c r="H21" s="166"/>
      <c r="I21" s="166"/>
      <c r="J21" s="166"/>
      <c r="K21" s="166"/>
      <c r="L21" s="166"/>
    </row>
    <row r="22" spans="2:12" s="17" customFormat="1" ht="29" customHeight="1" x14ac:dyDescent="0.2">
      <c r="B22" s="223" t="s">
        <v>82</v>
      </c>
      <c r="C22" s="213">
        <f>IFERROR((C7*(1-C9)-C6*(1-C10))/C7,0)</f>
        <v>-0.26096385542168654</v>
      </c>
      <c r="D22" s="387" t="str">
        <f>"Retailer earns "&amp;TEXT(C9,"0%")&amp;" on promo (vs "&amp;TEXT(C10,"0%")&amp;" regular) — brand gets squeezed from both the discount AND higher retailer margin"</f>
        <v>Retailer earns 42% on promo (vs 40% regular) — brand gets squeezed from both the discount AND higher retailer margin</v>
      </c>
      <c r="E22" s="400"/>
      <c r="F22" s="401"/>
      <c r="H22" s="59"/>
      <c r="I22" s="59"/>
      <c r="J22" s="59"/>
      <c r="K22" s="59"/>
      <c r="L22" s="59"/>
    </row>
    <row r="23" spans="2:12" s="17" customFormat="1" ht="29" customHeight="1" x14ac:dyDescent="0.2">
      <c r="B23" s="224" t="s">
        <v>83</v>
      </c>
      <c r="C23" s="214">
        <f>C6*(1-C10)</f>
        <v>2.0939999999999999</v>
      </c>
      <c r="D23" s="387" t="s">
        <v>141</v>
      </c>
      <c r="E23" s="400"/>
      <c r="F23" s="401"/>
      <c r="H23" s="59"/>
      <c r="I23" s="59"/>
      <c r="J23" s="59"/>
      <c r="K23" s="59"/>
      <c r="L23" s="59"/>
    </row>
    <row r="24" spans="2:12" s="17" customFormat="1" ht="29" customHeight="1" x14ac:dyDescent="0.2">
      <c r="B24" s="223" t="s">
        <v>84</v>
      </c>
      <c r="C24" s="215">
        <f>C7*(1-C9)</f>
        <v>1.4442000000000004</v>
      </c>
      <c r="D24" s="387" t="s">
        <v>142</v>
      </c>
      <c r="E24" s="400"/>
      <c r="F24" s="401"/>
      <c r="H24" s="59"/>
      <c r="I24" s="59"/>
      <c r="J24" s="59"/>
      <c r="K24" s="59"/>
      <c r="L24" s="59"/>
    </row>
    <row r="25" spans="2:12" s="17" customFormat="1" ht="29" customHeight="1" x14ac:dyDescent="0.2">
      <c r="B25" s="224" t="s">
        <v>85</v>
      </c>
      <c r="C25" s="216">
        <f>C23-C24</f>
        <v>0.64979999999999949</v>
      </c>
      <c r="D25" s="387" t="s">
        <v>86</v>
      </c>
      <c r="E25" s="400"/>
      <c r="F25" s="401"/>
      <c r="H25" s="59"/>
      <c r="I25" s="59"/>
      <c r="J25" s="59"/>
      <c r="K25" s="59"/>
      <c r="L25" s="59"/>
    </row>
    <row r="26" spans="2:12" s="17" customFormat="1" ht="29" customHeight="1" x14ac:dyDescent="0.2">
      <c r="B26" s="223" t="s">
        <v>87</v>
      </c>
      <c r="C26" s="217">
        <f>C25*C12</f>
        <v>86477.33339999993</v>
      </c>
      <c r="D26" s="385" t="s">
        <v>88</v>
      </c>
      <c r="E26" s="422"/>
      <c r="F26" s="423"/>
      <c r="H26" s="59"/>
      <c r="I26" s="59"/>
      <c r="J26" s="59"/>
      <c r="K26" s="59"/>
      <c r="L26" s="59"/>
    </row>
    <row r="27" spans="2:12" s="17" customFormat="1" ht="29" customHeight="1" x14ac:dyDescent="0.2">
      <c r="B27" s="224" t="s">
        <v>89</v>
      </c>
      <c r="C27" s="218">
        <f>C11</f>
        <v>0</v>
      </c>
      <c r="D27" s="383" t="s">
        <v>90</v>
      </c>
      <c r="E27" s="383"/>
      <c r="F27" s="384"/>
      <c r="H27" s="59"/>
      <c r="I27" s="59"/>
      <c r="J27" s="59"/>
      <c r="K27" s="59"/>
      <c r="L27" s="59"/>
    </row>
    <row r="28" spans="2:12" s="17" customFormat="1" ht="29" customHeight="1" x14ac:dyDescent="0.2">
      <c r="B28" s="223" t="s">
        <v>91</v>
      </c>
      <c r="C28" s="217">
        <f>C26+C27</f>
        <v>86477.33339999993</v>
      </c>
      <c r="D28" s="385" t="s">
        <v>92</v>
      </c>
      <c r="E28" s="385"/>
      <c r="F28" s="386"/>
      <c r="H28" s="59"/>
      <c r="I28" s="59"/>
      <c r="J28" s="59"/>
      <c r="K28" s="59"/>
      <c r="L28" s="59"/>
    </row>
    <row r="29" spans="2:12" s="17" customFormat="1" ht="29" customHeight="1" x14ac:dyDescent="0.2">
      <c r="B29" s="225" t="s">
        <v>93</v>
      </c>
      <c r="C29" s="219">
        <f>C24</f>
        <v>1.4442000000000004</v>
      </c>
      <c r="D29" s="387" t="s">
        <v>94</v>
      </c>
      <c r="E29" s="387"/>
      <c r="F29" s="388"/>
      <c r="H29" s="59"/>
      <c r="I29" s="59"/>
      <c r="J29" s="59"/>
      <c r="K29" s="59"/>
      <c r="L29" s="59"/>
    </row>
    <row r="30" spans="2:12" s="17" customFormat="1" ht="29" customHeight="1" x14ac:dyDescent="0.2">
      <c r="B30" s="226" t="s">
        <v>95</v>
      </c>
      <c r="C30" s="220">
        <f>IFERROR(IF(C29&gt;0,C28/C29,"N/A"),"")</f>
        <v>59879.056501869483</v>
      </c>
      <c r="D30" s="385" t="s">
        <v>96</v>
      </c>
      <c r="E30" s="385"/>
      <c r="F30" s="386"/>
      <c r="H30" s="59"/>
      <c r="I30" s="59"/>
      <c r="J30" s="59"/>
      <c r="K30" s="59"/>
      <c r="L30" s="59"/>
    </row>
    <row r="31" spans="2:12" s="17" customFormat="1" ht="29" customHeight="1" x14ac:dyDescent="0.2">
      <c r="B31" s="225" t="s">
        <v>97</v>
      </c>
      <c r="C31" s="221">
        <f>IFERROR(IF(C29&gt;0,C30/C12,"N/A"),"")</f>
        <v>0.44993768176152837</v>
      </c>
      <c r="D31" s="383" t="s">
        <v>98</v>
      </c>
      <c r="E31" s="383"/>
      <c r="F31" s="384"/>
      <c r="H31" s="59"/>
      <c r="I31" s="59"/>
      <c r="J31" s="59"/>
      <c r="K31" s="59"/>
      <c r="L31" s="59"/>
    </row>
    <row r="32" spans="2:12" s="17" customFormat="1" ht="29" customHeight="1" thickBot="1" x14ac:dyDescent="0.25">
      <c r="B32" s="249" t="s">
        <v>99</v>
      </c>
      <c r="C32" s="222">
        <f>C13</f>
        <v>0.6</v>
      </c>
      <c r="D32" s="412" t="s">
        <v>100</v>
      </c>
      <c r="E32" s="412"/>
      <c r="F32" s="413"/>
      <c r="H32" s="59"/>
      <c r="I32" s="59"/>
      <c r="J32" s="59"/>
      <c r="K32" s="59"/>
      <c r="L32" s="59"/>
    </row>
    <row r="33" spans="2:6" ht="32" customHeight="1" thickBot="1" x14ac:dyDescent="0.25"/>
    <row r="34" spans="2:6" ht="32" customHeight="1" x14ac:dyDescent="0.2">
      <c r="B34" s="414" t="s">
        <v>101</v>
      </c>
      <c r="C34" s="415"/>
      <c r="D34" s="415"/>
      <c r="E34" s="415"/>
      <c r="F34" s="416"/>
    </row>
    <row r="35" spans="2:6" ht="30" customHeight="1" x14ac:dyDescent="0.25">
      <c r="B35" s="417" t="str">
        <f>IF(C13="","Enter expected lift above",IF(C24&lt;=0,"⛔  STOP — Promo price is below brand invoice: earns $0 per unit",IF(C31="","Unable to calculate break-even",IF(C13&gt;=C31+0.05,"🟢  GREEN — PROMO IS PROFITABLE",IF(C13&gt;=C31,"🟡  YELLOW — CLOSE CALL / MARGINAL","🔴  RED — PROMO DESTROYS MARGIN")))))</f>
        <v>🟢  GREEN — PROMO IS PROFITABLE</v>
      </c>
      <c r="C35" s="418"/>
      <c r="D35" s="419" t="str">
        <f>IF(C13="","",IF(C24&lt;=0,"Promo price net of retailer margin is at or below $0 — raise the promo price or reduce retailer promo margin.","Expected Lift: "&amp;TEXT(C13,"0.0%")&amp;" vs. Break-Even Lift Required: "&amp;IF(C31="N/A","N/A",TEXT(C31,"0.0%"))))</f>
        <v>Expected Lift: 60.0% vs. Break-Even Lift Required: 45.0%</v>
      </c>
      <c r="E35" s="420"/>
      <c r="F35" s="421"/>
    </row>
    <row r="36" spans="2:6" ht="30" customHeight="1" x14ac:dyDescent="0.25">
      <c r="B36" s="227" t="str">
        <f>IF(C24&lt;=0,"⚠️  When it doesn't make sense:",IF(C13&lt;C31,"⚠️  Why this promo doesn't work:",IF(C13&gt;=C31+0.05,"✅  Why this promo works:","⚠️  Why this is a close call:")))</f>
        <v>✅  Why this promo works:</v>
      </c>
      <c r="C36" s="228"/>
      <c r="D36" s="410" t="str">
        <f>IF(C24&lt;=0,"Promo net revenue to brand is zero or negative — no volume can recover this. Raise the promoted price or negotiate a lower retailer promo margin.",IF(C13&lt;C31,"This promo requires a "&amp;TEXT(C31,"0.0%")&amp;" lift to break even, but you're only projecting "&amp;TEXT(C13,"0.0%")&amp;". It makes sense only if incremental units generate long-term repeat buyers — otherwise margin erosion is permanent.",IF(C13&gt;=C31+0.05,"Your projected "&amp;TEXT(C13,"0.0%")&amp;" lift exceeds the "&amp;TEXT(C31,"0.0%")&amp;" break-even threshold. This promo makes sense with strong retailer execution, high repeat-purchase rates, and incremental units representing genuine new trial.","Your projected lift is right at the break-even line. Proceed only with high confidence in lift estimates and strong post-promo repeat rates.")))</f>
        <v>Your projected 60.0% lift exceeds the 45.0% break-even threshold. This promo makes sense with strong retailer execution, high repeat-purchase rates, and incremental units representing genuine new trial.</v>
      </c>
      <c r="E36" s="410"/>
      <c r="F36" s="411"/>
    </row>
    <row r="37" spans="2:6" ht="30" customHeight="1" x14ac:dyDescent="0.25">
      <c r="B37" s="229"/>
      <c r="C37" s="228"/>
      <c r="D37" s="410"/>
      <c r="E37" s="410"/>
      <c r="F37" s="411"/>
    </row>
    <row r="38" spans="2:6" ht="25" customHeight="1" x14ac:dyDescent="0.2">
      <c r="B38" s="52"/>
      <c r="D38" s="410"/>
      <c r="E38" s="410"/>
      <c r="F38" s="411"/>
    </row>
    <row r="39" spans="2:6" ht="32" customHeight="1" x14ac:dyDescent="0.2">
      <c r="B39" s="404" t="s">
        <v>102</v>
      </c>
      <c r="C39" s="405"/>
      <c r="D39" s="405"/>
      <c r="E39" s="405"/>
      <c r="F39" s="406"/>
    </row>
    <row r="40" spans="2:6" s="59" customFormat="1" ht="32" customHeight="1" x14ac:dyDescent="0.2">
      <c r="B40" s="230" t="s">
        <v>103</v>
      </c>
      <c r="C40" s="231" t="s">
        <v>104</v>
      </c>
      <c r="D40" s="231" t="s">
        <v>105</v>
      </c>
      <c r="E40" s="231" t="s">
        <v>106</v>
      </c>
      <c r="F40" s="232" t="s">
        <v>107</v>
      </c>
    </row>
    <row r="41" spans="2:6" ht="28" customHeight="1" x14ac:dyDescent="0.25">
      <c r="B41" s="250" t="s">
        <v>108</v>
      </c>
      <c r="C41" s="233">
        <f>C12</f>
        <v>133083</v>
      </c>
      <c r="D41" s="233">
        <f>C12*(1+C13)</f>
        <v>212932.80000000002</v>
      </c>
      <c r="E41" s="233">
        <f t="shared" ref="E41:E49" si="0">D41-C41</f>
        <v>79849.800000000017</v>
      </c>
      <c r="F41" s="234"/>
    </row>
    <row r="42" spans="2:6" ht="28" customHeight="1" x14ac:dyDescent="0.25">
      <c r="B42" s="251" t="s">
        <v>71</v>
      </c>
      <c r="C42" s="235">
        <f>C6*C12</f>
        <v>464459.67000000004</v>
      </c>
      <c r="D42" s="235">
        <f>C7*C12*(1+C13)</f>
        <v>530202.67200000014</v>
      </c>
      <c r="E42" s="235">
        <f t="shared" si="0"/>
        <v>65743.002000000095</v>
      </c>
      <c r="F42" s="234"/>
    </row>
    <row r="43" spans="2:6" ht="28" customHeight="1" x14ac:dyDescent="0.25">
      <c r="B43" s="252" t="s">
        <v>152</v>
      </c>
      <c r="C43" s="236">
        <f>0</f>
        <v>0</v>
      </c>
      <c r="D43" s="237">
        <f>-C18</f>
        <v>-138363.73343999989</v>
      </c>
      <c r="E43" s="238">
        <f t="shared" si="0"/>
        <v>-138363.73343999989</v>
      </c>
      <c r="F43" s="234"/>
    </row>
    <row r="44" spans="2:6" ht="28" customHeight="1" x14ac:dyDescent="0.25">
      <c r="B44" s="253" t="s">
        <v>153</v>
      </c>
      <c r="C44" s="236">
        <f>C42</f>
        <v>464459.67000000004</v>
      </c>
      <c r="D44" s="239">
        <f>D42+D43</f>
        <v>391838.93856000027</v>
      </c>
      <c r="E44" s="240">
        <f t="shared" si="0"/>
        <v>-72620.73143999977</v>
      </c>
      <c r="F44" s="234"/>
    </row>
    <row r="45" spans="2:6" ht="28" customHeight="1" x14ac:dyDescent="0.25">
      <c r="B45" s="250" t="s">
        <v>70</v>
      </c>
      <c r="C45" s="241">
        <f>-C6*C12*(1-C10)</f>
        <v>-278675.80200000003</v>
      </c>
      <c r="D45" s="242">
        <f>-C7*C12*(1+C13)*(1-C9)</f>
        <v>-307517.54976000014</v>
      </c>
      <c r="E45" s="241">
        <f t="shared" si="0"/>
        <v>-28841.747760000115</v>
      </c>
      <c r="F45" s="234"/>
    </row>
    <row r="46" spans="2:6" ht="28" customHeight="1" x14ac:dyDescent="0.25">
      <c r="B46" s="251" t="s">
        <v>109</v>
      </c>
      <c r="C46" s="239">
        <f>C44+C45</f>
        <v>185783.86800000002</v>
      </c>
      <c r="D46" s="239">
        <f>D44+D45</f>
        <v>84321.388800000132</v>
      </c>
      <c r="E46" s="240">
        <f t="shared" si="0"/>
        <v>-101462.47919999989</v>
      </c>
      <c r="F46" s="234"/>
    </row>
    <row r="47" spans="2:6" ht="28" customHeight="1" x14ac:dyDescent="0.25">
      <c r="B47" s="250" t="s">
        <v>0</v>
      </c>
      <c r="C47" s="243">
        <f>IFERROR(C46/C44,0)</f>
        <v>0.4</v>
      </c>
      <c r="D47" s="243">
        <f>IFERROR(D46/D44,0)</f>
        <v>0.21519400065210323</v>
      </c>
      <c r="E47" s="244">
        <f t="shared" si="0"/>
        <v>-0.18480599934789679</v>
      </c>
      <c r="F47" s="234"/>
    </row>
    <row r="48" spans="2:6" ht="28" customHeight="1" x14ac:dyDescent="0.25">
      <c r="B48" s="251" t="s">
        <v>110</v>
      </c>
      <c r="C48" s="235">
        <f>0</f>
        <v>0</v>
      </c>
      <c r="D48" s="235">
        <f>-C11</f>
        <v>0</v>
      </c>
      <c r="E48" s="235">
        <f t="shared" si="0"/>
        <v>0</v>
      </c>
      <c r="F48" s="381" t="str">
        <f>IF(E49&gt;0,"Better with Promo","Better without Promo")</f>
        <v>Better without Promo</v>
      </c>
    </row>
    <row r="49" spans="2:12" ht="28" customHeight="1" thickBot="1" x14ac:dyDescent="0.3">
      <c r="B49" s="254" t="s">
        <v>111</v>
      </c>
      <c r="C49" s="245">
        <f>C46</f>
        <v>185783.86800000002</v>
      </c>
      <c r="D49" s="246">
        <f>D46+D48</f>
        <v>84321.388800000132</v>
      </c>
      <c r="E49" s="245">
        <f t="shared" si="0"/>
        <v>-101462.47919999989</v>
      </c>
      <c r="F49" s="382"/>
    </row>
    <row r="50" spans="2:12" ht="32" customHeight="1" x14ac:dyDescent="0.2"/>
    <row r="51" spans="2:12" ht="17" thickBot="1" x14ac:dyDescent="0.25"/>
    <row r="52" spans="2:12" ht="26" customHeight="1" x14ac:dyDescent="0.2">
      <c r="B52" s="374" t="s">
        <v>230</v>
      </c>
      <c r="C52" s="375"/>
      <c r="D52" s="375"/>
      <c r="E52" s="375"/>
      <c r="F52" s="375"/>
      <c r="G52" s="375"/>
      <c r="H52" s="375"/>
      <c r="I52" s="375"/>
      <c r="J52" s="375"/>
      <c r="K52" s="375"/>
      <c r="L52" s="376"/>
    </row>
    <row r="53" spans="2:12" ht="18" x14ac:dyDescent="0.25">
      <c r="B53" s="377" t="s">
        <v>231</v>
      </c>
      <c r="C53" s="378"/>
      <c r="D53" s="378"/>
      <c r="E53" s="378"/>
      <c r="F53" s="378"/>
      <c r="G53" s="378"/>
      <c r="H53" s="378"/>
      <c r="I53" s="378"/>
      <c r="J53" s="378"/>
      <c r="K53" s="378"/>
      <c r="L53" s="379"/>
    </row>
    <row r="54" spans="2:12" x14ac:dyDescent="0.2">
      <c r="B54" s="52"/>
      <c r="L54" s="167"/>
    </row>
    <row r="55" spans="2:12" s="140" customFormat="1" ht="37" customHeight="1" thickBot="1" x14ac:dyDescent="0.25">
      <c r="B55" s="141" t="s">
        <v>222</v>
      </c>
      <c r="C55" s="142" t="s">
        <v>223</v>
      </c>
      <c r="D55" s="142" t="s">
        <v>224</v>
      </c>
      <c r="E55" s="142" t="s">
        <v>225</v>
      </c>
      <c r="F55" s="142" t="s">
        <v>226</v>
      </c>
      <c r="G55" s="142" t="s">
        <v>227</v>
      </c>
      <c r="H55" s="142" t="s">
        <v>228</v>
      </c>
      <c r="I55" s="142" t="s">
        <v>232</v>
      </c>
      <c r="J55" s="142" t="s">
        <v>229</v>
      </c>
      <c r="K55" s="142" t="s">
        <v>233</v>
      </c>
      <c r="L55" s="143" t="s">
        <v>107</v>
      </c>
    </row>
    <row r="56" spans="2:12" x14ac:dyDescent="0.2">
      <c r="B56" s="144">
        <v>2.99</v>
      </c>
      <c r="C56" s="136" t="s">
        <v>234</v>
      </c>
      <c r="D56" s="137">
        <v>1.99</v>
      </c>
      <c r="E56" s="138">
        <f>(2.99-1.99)/2.99</f>
        <v>0.33444816053511711</v>
      </c>
      <c r="F56" s="137">
        <f>(2.99*(1-C$10))-(1.99*(1-C$9))</f>
        <v>0.63979999999999992</v>
      </c>
      <c r="G56" s="139">
        <f>F56*C$12</f>
        <v>85146.503399999987</v>
      </c>
      <c r="H56" s="168">
        <f>1.99*(1-C$9)</f>
        <v>1.1542000000000001</v>
      </c>
      <c r="I56" s="168">
        <f>(2.99*(1-C$10))-(1.99*(1-C$9))</f>
        <v>0.63979999999999992</v>
      </c>
      <c r="J56" s="169">
        <f>IFERROR(G56/(H56*C$12),"N/A")</f>
        <v>0.55432334084214163</v>
      </c>
      <c r="K56" s="170" t="s">
        <v>235</v>
      </c>
      <c r="L56" s="182" t="str">
        <f>IF(0.25&gt;=J56,"✅ Achievable",IF(0.15&gt;=J56,"⚠️ Stretch","🔴 Unlikely"))</f>
        <v>🔴 Unlikely</v>
      </c>
    </row>
    <row r="57" spans="2:12" x14ac:dyDescent="0.2">
      <c r="B57" s="145">
        <v>2.99</v>
      </c>
      <c r="C57" t="s">
        <v>236</v>
      </c>
      <c r="D57" s="133">
        <f>5.49/2</f>
        <v>2.7450000000000001</v>
      </c>
      <c r="E57" s="134">
        <f>(2.99-5.49/2)/2.99</f>
        <v>8.1939799331103708E-2</v>
      </c>
      <c r="F57" s="133">
        <f>(2.99*(1-C$10))-(5.49/2*(1-C$9))</f>
        <v>0.20189999999999975</v>
      </c>
      <c r="G57" s="135">
        <f>F57*C$12</f>
        <v>26869.457699999966</v>
      </c>
      <c r="H57" s="171">
        <f>5.49/2*(1-C$9)</f>
        <v>1.5921000000000003</v>
      </c>
      <c r="I57" s="171">
        <f>(2.99*(1-C$10))-(5.49/2*(1-C$9))</f>
        <v>0.20189999999999975</v>
      </c>
      <c r="J57" s="172">
        <f>IFERROR(G57/(H57*C$12),"N/A")</f>
        <v>0.1268136423591481</v>
      </c>
      <c r="K57" s="165" t="s">
        <v>237</v>
      </c>
      <c r="L57" s="183" t="str">
        <f>IF(0.3&gt;=J57,"✅ Achievable",IF(0.2&gt;=J57,"⚠️ Stretch","🔴 Unlikely"))</f>
        <v>✅ Achievable</v>
      </c>
    </row>
    <row r="58" spans="2:12" x14ac:dyDescent="0.2">
      <c r="B58" s="146">
        <v>2.99</v>
      </c>
      <c r="C58" s="125" t="s">
        <v>238</v>
      </c>
      <c r="D58" s="126">
        <f>4.99/2</f>
        <v>2.4950000000000001</v>
      </c>
      <c r="E58" s="127">
        <f>(2.99-4.99/2)/2.99</f>
        <v>0.16555183946488297</v>
      </c>
      <c r="F58" s="126">
        <f>(2.99*(1-C$10))-(4.99/2*(1-C$9))</f>
        <v>0.34689999999999976</v>
      </c>
      <c r="G58" s="128">
        <f>F58*C$12</f>
        <v>46166.492699999966</v>
      </c>
      <c r="H58" s="173">
        <f>4.99/2*(1-C$9)</f>
        <v>1.4471000000000003</v>
      </c>
      <c r="I58" s="173">
        <f>(2.99*(1-C$10))-(4.99/2*(1-C$9))</f>
        <v>0.34689999999999976</v>
      </c>
      <c r="J58" s="174">
        <f>IFERROR(G58/(H58*C$12),"N/A")</f>
        <v>0.23972082095224911</v>
      </c>
      <c r="K58" s="175" t="s">
        <v>239</v>
      </c>
      <c r="L58" s="184" t="str">
        <f>IF(0.45&gt;=J58,"✅ Achievable",IF(0.3&gt;=J58,"⚠️ Stretch","🔴 Unlikely"))</f>
        <v>✅ Achievable</v>
      </c>
    </row>
    <row r="59" spans="2:12" x14ac:dyDescent="0.2">
      <c r="B59" s="147">
        <v>2.99</v>
      </c>
      <c r="C59" s="129" t="s">
        <v>112</v>
      </c>
      <c r="D59" s="130">
        <f>2.99/2</f>
        <v>1.4950000000000001</v>
      </c>
      <c r="E59" s="131">
        <v>0.5</v>
      </c>
      <c r="F59" s="130">
        <f>(2.99*(1-C$10))-(2.99/2*(1-C$9))</f>
        <v>0.92689999999999984</v>
      </c>
      <c r="G59" s="132">
        <f>F59*C$12</f>
        <v>123354.63269999997</v>
      </c>
      <c r="H59" s="176">
        <f>2.99/2*(1-C$9)</f>
        <v>0.8671000000000002</v>
      </c>
      <c r="I59" s="176">
        <f>(2.99*(1-C$10))-(2.99/2*(1-C$9))</f>
        <v>0.92689999999999984</v>
      </c>
      <c r="J59" s="177">
        <f>IFERROR(G59/(H59*C$12),"N/A")</f>
        <v>1.0689655172413788</v>
      </c>
      <c r="K59" s="178" t="s">
        <v>240</v>
      </c>
      <c r="L59" s="185" t="str">
        <f>IF(0.75&gt;=J59,"✅ Achievable",IF(0.5&gt;=J59,"⚠️ Stretch","🔴 Unlikely"))</f>
        <v>🔴 Unlikely</v>
      </c>
    </row>
    <row r="60" spans="2:12" ht="17" thickBot="1" x14ac:dyDescent="0.25">
      <c r="B60" s="148"/>
      <c r="L60" s="183"/>
    </row>
    <row r="61" spans="2:12" x14ac:dyDescent="0.2">
      <c r="B61" s="149">
        <v>3.99</v>
      </c>
      <c r="C61" s="136" t="s">
        <v>234</v>
      </c>
      <c r="D61" s="137">
        <v>2.99</v>
      </c>
      <c r="E61" s="138">
        <f>(3.99-2.99)/3.99</f>
        <v>0.25062656641604009</v>
      </c>
      <c r="F61" s="137">
        <f>(3.99*(1-C$10))-(2.99*(1-C$9))</f>
        <v>0.65979999999999972</v>
      </c>
      <c r="G61" s="139">
        <f>F61*C$12</f>
        <v>87808.163399999961</v>
      </c>
      <c r="H61" s="168">
        <f>2.99*(1-C$9)</f>
        <v>1.7342000000000004</v>
      </c>
      <c r="I61" s="168">
        <f>(3.99*(1-C$10))-(2.99*(1-C$9))</f>
        <v>0.65979999999999972</v>
      </c>
      <c r="J61" s="169">
        <f>IFERROR(G61/(H61*C$12),"N/A")</f>
        <v>0.38046361434667253</v>
      </c>
      <c r="K61" s="170" t="s">
        <v>235</v>
      </c>
      <c r="L61" s="182" t="str">
        <f>IF(0.25&gt;=J61,"✅ Achievable",IF(0.15&gt;=J61,"⚠️ Stretch","🔴 Unlikely"))</f>
        <v>🔴 Unlikely</v>
      </c>
    </row>
    <row r="62" spans="2:12" x14ac:dyDescent="0.2">
      <c r="B62" s="150">
        <v>3.99</v>
      </c>
      <c r="C62" t="s">
        <v>241</v>
      </c>
      <c r="D62" s="133">
        <f>7.49/2</f>
        <v>3.7450000000000001</v>
      </c>
      <c r="E62" s="134">
        <f>(3.99-7.49/2)/3.99</f>
        <v>6.1403508771929849E-2</v>
      </c>
      <c r="F62" s="133">
        <f>(3.99*(1-C$10))-(7.49/2*(1-C$9))</f>
        <v>0.22189999999999976</v>
      </c>
      <c r="G62" s="135">
        <f>F62*C$12</f>
        <v>29531.11769999997</v>
      </c>
      <c r="H62" s="171">
        <f>7.49/2*(1-C$9)</f>
        <v>2.1721000000000004</v>
      </c>
      <c r="I62" s="171">
        <f>(3.99*(1-C$10))-(7.49/2*(1-C$9))</f>
        <v>0.22189999999999976</v>
      </c>
      <c r="J62" s="172">
        <f>IFERROR(G62/(H62*C$12),"N/A")</f>
        <v>0.10215920077344494</v>
      </c>
      <c r="K62" s="165" t="s">
        <v>237</v>
      </c>
      <c r="L62" s="183" t="str">
        <f>IF(0.3&gt;=J62,"✅ Achievable",IF(0.2&gt;=J62,"⚠️ Stretch","🔴 Unlikely"))</f>
        <v>✅ Achievable</v>
      </c>
    </row>
    <row r="63" spans="2:12" x14ac:dyDescent="0.2">
      <c r="B63" s="151">
        <v>3.99</v>
      </c>
      <c r="C63" s="125" t="s">
        <v>242</v>
      </c>
      <c r="D63" s="126">
        <f>6.99/2</f>
        <v>3.4950000000000001</v>
      </c>
      <c r="E63" s="127">
        <f>(3.99-6.99/2)/3.99</f>
        <v>0.12406015037593987</v>
      </c>
      <c r="F63" s="126">
        <f>(3.99*(1-C$10))-(6.99/2*(1-C$9))</f>
        <v>0.36689999999999978</v>
      </c>
      <c r="G63" s="128">
        <f>F63*C$12</f>
        <v>48828.15269999997</v>
      </c>
      <c r="H63" s="173">
        <f>6.99/2*(1-C$9)</f>
        <v>2.0271000000000003</v>
      </c>
      <c r="I63" s="173">
        <f>(3.99*(1-C$10))-(6.99/2*(1-C$9))</f>
        <v>0.36689999999999978</v>
      </c>
      <c r="J63" s="174">
        <f>IFERROR(G63/(H63*C$12),"N/A")</f>
        <v>0.18099748409057259</v>
      </c>
      <c r="K63" s="175" t="s">
        <v>239</v>
      </c>
      <c r="L63" s="184" t="str">
        <f>IF(0.45&gt;=J63,"✅ Achievable",IF(0.3&gt;=J63,"⚠️ Stretch","🔴 Unlikely"))</f>
        <v>✅ Achievable</v>
      </c>
    </row>
    <row r="64" spans="2:12" x14ac:dyDescent="0.2">
      <c r="B64" s="152">
        <v>3.99</v>
      </c>
      <c r="C64" s="129" t="s">
        <v>112</v>
      </c>
      <c r="D64" s="130">
        <f>3.99/2</f>
        <v>1.9950000000000001</v>
      </c>
      <c r="E64" s="131">
        <v>0.5</v>
      </c>
      <c r="F64" s="130">
        <f>(3.99*(1-C$10))-(3.99/2*(1-C$9))</f>
        <v>1.2368999999999999</v>
      </c>
      <c r="G64" s="132">
        <f>F64*C$12</f>
        <v>164610.3627</v>
      </c>
      <c r="H64" s="176">
        <f>3.99/2*(1-C$9)</f>
        <v>1.1571000000000002</v>
      </c>
      <c r="I64" s="176">
        <f>(3.99*(1-C$10))-(3.99/2*(1-C$9))</f>
        <v>1.2368999999999999</v>
      </c>
      <c r="J64" s="177">
        <f>IFERROR(G64/(H64*C$12),"N/A")</f>
        <v>1.0689655172413792</v>
      </c>
      <c r="K64" s="178" t="s">
        <v>240</v>
      </c>
      <c r="L64" s="185" t="str">
        <f>IF(0.75&gt;=J64,"✅ Achievable",IF(0.5&gt;=J64,"⚠️ Stretch","🔴 Unlikely"))</f>
        <v>🔴 Unlikely</v>
      </c>
    </row>
    <row r="65" spans="2:12" ht="17" thickBot="1" x14ac:dyDescent="0.25">
      <c r="B65" s="148"/>
      <c r="L65" s="183"/>
    </row>
    <row r="66" spans="2:12" x14ac:dyDescent="0.2">
      <c r="B66" s="153">
        <v>4.99</v>
      </c>
      <c r="C66" s="136" t="s">
        <v>234</v>
      </c>
      <c r="D66" s="137">
        <v>3.99</v>
      </c>
      <c r="E66" s="138">
        <f>(4.99-3.99)/4.99</f>
        <v>0.20040080160320639</v>
      </c>
      <c r="F66" s="137">
        <f>(4.99*(1-C$10))-(3.99*(1-C$9))</f>
        <v>0.67979999999999974</v>
      </c>
      <c r="G66" s="139">
        <f>F66*C$12</f>
        <v>90469.823399999965</v>
      </c>
      <c r="H66" s="168">
        <f>3.99*(1-C$9)</f>
        <v>2.3142000000000005</v>
      </c>
      <c r="I66" s="168">
        <f>(4.99*(1-C$10))-(3.99*(1-C$9))</f>
        <v>0.67979999999999974</v>
      </c>
      <c r="J66" s="169">
        <f>IFERROR(G66/(H66*C$12),"N/A")</f>
        <v>0.29375162043038616</v>
      </c>
      <c r="K66" s="170" t="s">
        <v>235</v>
      </c>
      <c r="L66" s="182" t="str">
        <f>IF(0.25&gt;=J66,"✅ Achievable",IF(0.15&gt;=J66,"⚠️ Stretch","🔴 Unlikely"))</f>
        <v>🔴 Unlikely</v>
      </c>
    </row>
    <row r="67" spans="2:12" x14ac:dyDescent="0.2">
      <c r="B67" s="154">
        <v>4.99</v>
      </c>
      <c r="C67" t="s">
        <v>243</v>
      </c>
      <c r="D67" s="133">
        <f>9.49/2</f>
        <v>4.7450000000000001</v>
      </c>
      <c r="E67" s="134">
        <f>(4.99-9.49/2)/4.99</f>
        <v>4.9098196392785592E-2</v>
      </c>
      <c r="F67" s="133">
        <f>(4.99*(1-C$10))-(9.49/2*(1-C$9))</f>
        <v>0.24189999999999978</v>
      </c>
      <c r="G67" s="135">
        <f>F67*C$12</f>
        <v>32192.77769999997</v>
      </c>
      <c r="H67" s="171">
        <f>9.49/2*(1-C$9)</f>
        <v>2.7521000000000004</v>
      </c>
      <c r="I67" s="171">
        <f>(4.99*(1-C$10))-(9.49/2*(1-C$9))</f>
        <v>0.24189999999999978</v>
      </c>
      <c r="J67" s="172">
        <f>IFERROR(G67/(H67*C$12),"N/A")</f>
        <v>8.7896515388248872E-2</v>
      </c>
      <c r="K67" s="165" t="s">
        <v>237</v>
      </c>
      <c r="L67" s="183" t="str">
        <f>IF(0.3&gt;=J67,"✅ Achievable",IF(0.2&gt;=J67,"⚠️ Stretch","🔴 Unlikely"))</f>
        <v>✅ Achievable</v>
      </c>
    </row>
    <row r="68" spans="2:12" x14ac:dyDescent="0.2">
      <c r="B68" s="155">
        <v>4.99</v>
      </c>
      <c r="C68" s="125" t="s">
        <v>244</v>
      </c>
      <c r="D68" s="126">
        <f>8.99/2</f>
        <v>4.4950000000000001</v>
      </c>
      <c r="E68" s="127">
        <f>(4.99-8.99/2)/4.99</f>
        <v>9.919839679358719E-2</v>
      </c>
      <c r="F68" s="126">
        <f>(4.99*(1-C$10))-(8.99/2*(1-C$9))</f>
        <v>0.3868999999999998</v>
      </c>
      <c r="G68" s="128">
        <f>F68*C$12</f>
        <v>51489.812699999973</v>
      </c>
      <c r="H68" s="173">
        <f>8.99/2*(1-C$9)</f>
        <v>2.6071000000000004</v>
      </c>
      <c r="I68" s="173">
        <f>(4.99*(1-C$10))-(8.99/2*(1-C$9))</f>
        <v>0.3868999999999998</v>
      </c>
      <c r="J68" s="174">
        <f>IFERROR(G68/(H68*C$12),"N/A")</f>
        <v>0.14840243949215595</v>
      </c>
      <c r="K68" s="175" t="s">
        <v>239</v>
      </c>
      <c r="L68" s="184" t="str">
        <f>IF(0.45&gt;=J68,"✅ Achievable",IF(0.3&gt;=J68,"⚠️ Stretch","🔴 Unlikely"))</f>
        <v>✅ Achievable</v>
      </c>
    </row>
    <row r="69" spans="2:12" x14ac:dyDescent="0.2">
      <c r="B69" s="156">
        <v>4.99</v>
      </c>
      <c r="C69" s="129" t="s">
        <v>112</v>
      </c>
      <c r="D69" s="130">
        <f>4.99/2</f>
        <v>2.4950000000000001</v>
      </c>
      <c r="E69" s="131">
        <v>0.5</v>
      </c>
      <c r="F69" s="130">
        <f>(4.99*(1-C$10))-(4.99/2*(1-C$9))</f>
        <v>1.5468999999999999</v>
      </c>
      <c r="G69" s="132">
        <f>F69*C$12</f>
        <v>205866.09269999998</v>
      </c>
      <c r="H69" s="176">
        <f>4.99/2*(1-C$9)</f>
        <v>1.4471000000000003</v>
      </c>
      <c r="I69" s="176">
        <f>(4.99*(1-C$10))-(4.99/2*(1-C$9))</f>
        <v>1.5468999999999999</v>
      </c>
      <c r="J69" s="177">
        <f>IFERROR(G69/(H69*C$12),"N/A")</f>
        <v>1.068965517241379</v>
      </c>
      <c r="K69" s="178" t="s">
        <v>240</v>
      </c>
      <c r="L69" s="185" t="str">
        <f>IF(0.75&gt;=J69,"✅ Achievable",IF(0.5&gt;=J69,"⚠️ Stretch","🔴 Unlikely"))</f>
        <v>🔴 Unlikely</v>
      </c>
    </row>
    <row r="70" spans="2:12" ht="17" thickBot="1" x14ac:dyDescent="0.25">
      <c r="B70" s="52"/>
      <c r="L70" s="183"/>
    </row>
    <row r="71" spans="2:12" ht="40" customHeight="1" x14ac:dyDescent="0.2">
      <c r="B71" s="157">
        <v>8.99</v>
      </c>
      <c r="C71" s="136" t="s">
        <v>234</v>
      </c>
      <c r="D71" s="137">
        <v>7.99</v>
      </c>
      <c r="E71" s="138">
        <f>(8.99-7.99)/8.99</f>
        <v>0.11123470522803114</v>
      </c>
      <c r="F71" s="137">
        <f>(8.99*(1-C$10))-(7.99*(1-C$9))</f>
        <v>0.75979999999999936</v>
      </c>
      <c r="G71" s="139">
        <f>F71*C$12</f>
        <v>101116.46339999992</v>
      </c>
      <c r="H71" s="168">
        <f>7.99*(1-C$9)</f>
        <v>4.6342000000000008</v>
      </c>
      <c r="I71" s="168">
        <f>(8.99*(1-C$10))-(7.99*(1-C$9))</f>
        <v>0.75979999999999936</v>
      </c>
      <c r="J71" s="169">
        <f>IFERROR(G71/(H71*C$12),"N/A")</f>
        <v>0.16395494367959934</v>
      </c>
      <c r="K71" s="170" t="s">
        <v>246</v>
      </c>
      <c r="L71" s="182" t="str">
        <f>IF(0.2&gt;=J71,"✅ Achievable",IF(0.1&gt;=J71,"⚠️ Stretch","🔴 Unlikely"))</f>
        <v>✅ Achievable</v>
      </c>
    </row>
    <row r="72" spans="2:12" x14ac:dyDescent="0.2">
      <c r="B72" s="158">
        <v>8.99</v>
      </c>
      <c r="C72" t="s">
        <v>247</v>
      </c>
      <c r="D72" s="133">
        <f>16.99/2</f>
        <v>8.4949999999999992</v>
      </c>
      <c r="E72" s="134">
        <f>(8.99-16.99/2)/8.99</f>
        <v>5.5061179087875528E-2</v>
      </c>
      <c r="F72" s="133">
        <f>(8.99*(1-C$10))-(16.99/2*(1-C$9))</f>
        <v>0.46689999999999987</v>
      </c>
      <c r="G72" s="135">
        <f>F72*C$12</f>
        <v>62136.45269999998</v>
      </c>
      <c r="H72" s="171">
        <f>16.99/2*(1-C$9)</f>
        <v>4.9271000000000003</v>
      </c>
      <c r="I72" s="171">
        <f>(8.99*(1-C$10))-(16.99/2*(1-C$9))</f>
        <v>0.46689999999999987</v>
      </c>
      <c r="J72" s="172">
        <f>IFERROR(G72/(H72*C$12),"N/A")</f>
        <v>9.4761624484991133E-2</v>
      </c>
      <c r="K72" s="165" t="s">
        <v>248</v>
      </c>
      <c r="L72" s="183" t="str">
        <f>IF(0.25&gt;=J72,"✅ Achievable",IF(0.15&gt;=J72,"⚠️ Stretch","🔴 Unlikely"))</f>
        <v>✅ Achievable</v>
      </c>
    </row>
    <row r="73" spans="2:12" x14ac:dyDescent="0.2">
      <c r="B73" s="159">
        <v>8.99</v>
      </c>
      <c r="C73" s="125" t="s">
        <v>249</v>
      </c>
      <c r="D73" s="126">
        <f>15.99/2</f>
        <v>7.9950000000000001</v>
      </c>
      <c r="E73" s="127">
        <f>(8.99-15.99/2)/8.99</f>
        <v>0.110678531701891</v>
      </c>
      <c r="F73" s="126">
        <f>(8.99*(1-C$10))-(15.99/2*(1-C$9))</f>
        <v>0.75689999999999991</v>
      </c>
      <c r="G73" s="128">
        <f>F73*C$12</f>
        <v>100730.52269999999</v>
      </c>
      <c r="H73" s="173">
        <f>15.99/2*(1-C$9)</f>
        <v>4.6371000000000002</v>
      </c>
      <c r="I73" s="173">
        <f>(8.99*(1-C$10))-(15.99/2*(1-C$9))</f>
        <v>0.75689999999999991</v>
      </c>
      <c r="J73" s="174">
        <f>IFERROR(G73/(H73*C$12),"N/A")</f>
        <v>0.16322701688555344</v>
      </c>
      <c r="K73" s="175" t="s">
        <v>250</v>
      </c>
      <c r="L73" s="184" t="str">
        <f>IF(0.4&gt;=J73,"✅ Achievable",IF(0.2&gt;=J73,"⚠️ Stretch","🔴 Unlikely"))</f>
        <v>✅ Achievable</v>
      </c>
    </row>
    <row r="74" spans="2:12" ht="17" thickBot="1" x14ac:dyDescent="0.25">
      <c r="B74" s="160">
        <v>8.99</v>
      </c>
      <c r="C74" s="161" t="s">
        <v>112</v>
      </c>
      <c r="D74" s="162">
        <f>8.99/2</f>
        <v>4.4950000000000001</v>
      </c>
      <c r="E74" s="163">
        <v>0.5</v>
      </c>
      <c r="F74" s="162">
        <f>(8.99*(1-C$10))-(8.99/2*(1-C$9))</f>
        <v>2.7868999999999997</v>
      </c>
      <c r="G74" s="164">
        <f>F74*C$12</f>
        <v>370889.01269999996</v>
      </c>
      <c r="H74" s="179">
        <f>8.99/2*(1-C$9)</f>
        <v>2.6071000000000004</v>
      </c>
      <c r="I74" s="179">
        <f>(8.99*(1-C$10))-(8.99/2*(1-C$9))</f>
        <v>2.7868999999999997</v>
      </c>
      <c r="J74" s="180">
        <f>IFERROR(G74/(H74*C$12),"N/A")</f>
        <v>1.0689655172413792</v>
      </c>
      <c r="K74" s="181" t="s">
        <v>240</v>
      </c>
      <c r="L74" s="186" t="str">
        <f>IF(0.75&gt;=J74,"✅ Achievable",IF(0.5&gt;=J74,"⚠️ Stretch","🔴 Unlikely"))</f>
        <v>🔴 Unlikely</v>
      </c>
    </row>
    <row r="76" spans="2:12" ht="40" customHeight="1" x14ac:dyDescent="0.2">
      <c r="B76" s="380" t="s">
        <v>245</v>
      </c>
      <c r="C76" s="380"/>
      <c r="D76" s="380"/>
      <c r="E76" s="380"/>
      <c r="F76" s="380"/>
      <c r="G76" s="380"/>
      <c r="H76" s="380"/>
      <c r="I76" s="380"/>
      <c r="J76" s="380"/>
      <c r="K76" s="380"/>
      <c r="L76" s="380"/>
    </row>
  </sheetData>
  <mergeCells count="29">
    <mergeCell ref="D26:F26"/>
    <mergeCell ref="D23:F23"/>
    <mergeCell ref="D19:F19"/>
    <mergeCell ref="B39:F39"/>
    <mergeCell ref="D9:F9"/>
    <mergeCell ref="D10:F10"/>
    <mergeCell ref="D36:F38"/>
    <mergeCell ref="D17:F17"/>
    <mergeCell ref="D18:F18"/>
    <mergeCell ref="D30:F30"/>
    <mergeCell ref="D31:F31"/>
    <mergeCell ref="D32:F32"/>
    <mergeCell ref="B34:F34"/>
    <mergeCell ref="B35:C35"/>
    <mergeCell ref="D35:F35"/>
    <mergeCell ref="D24:F24"/>
    <mergeCell ref="D25:F25"/>
    <mergeCell ref="B2:F2"/>
    <mergeCell ref="B3:F3"/>
    <mergeCell ref="B5:C5"/>
    <mergeCell ref="B21:F21"/>
    <mergeCell ref="D22:F22"/>
    <mergeCell ref="B52:L52"/>
    <mergeCell ref="B53:L53"/>
    <mergeCell ref="B76:L76"/>
    <mergeCell ref="F48:F49"/>
    <mergeCell ref="D27:F27"/>
    <mergeCell ref="D28:F28"/>
    <mergeCell ref="D29:F29"/>
  </mergeCells>
  <conditionalFormatting sqref="B35">
    <cfRule type="containsText" dxfId="4" priority="1" operator="containsText" text="GREEN">
      <formula>NOT(ISERROR(SEARCH("GREEN",B35)))</formula>
    </cfRule>
    <cfRule type="containsText" dxfId="3" priority="2" operator="containsText" text="YELLOW">
      <formula>NOT(ISERROR(SEARCH("YELLOW",B35)))</formula>
    </cfRule>
    <cfRule type="containsText" dxfId="2" priority="3" operator="containsText" text="RED">
      <formula>NOT(ISERROR(SEARCH("RED",B35)))</formula>
    </cfRule>
  </conditionalFormatting>
  <conditionalFormatting sqref="E49">
    <cfRule type="cellIs" dxfId="1" priority="4" operator="greaterThan">
      <formula>0</formula>
    </cfRule>
    <cfRule type="cellIs" dxfId="0" priority="5"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32A2-538F-6B49-A72F-A14E58DE6783}">
  <sheetPr codeName="Sheet4">
    <tabColor rgb="FF00B050"/>
  </sheetPr>
  <dimension ref="B1:K34"/>
  <sheetViews>
    <sheetView showGridLines="0" zoomScale="140" zoomScaleNormal="140" workbookViewId="0">
      <pane ySplit="9" topLeftCell="A10" activePane="bottomLeft" state="frozen"/>
      <selection pane="bottomLeft" activeCell="H34" sqref="H34"/>
    </sheetView>
  </sheetViews>
  <sheetFormatPr baseColWidth="10" defaultRowHeight="16" x14ac:dyDescent="0.2"/>
  <cols>
    <col min="2" max="2" width="22.83203125" customWidth="1"/>
    <col min="3" max="3" width="17.5" customWidth="1"/>
  </cols>
  <sheetData>
    <row r="1" spans="2:11" ht="25" customHeight="1" thickBot="1" x14ac:dyDescent="0.25"/>
    <row r="2" spans="2:11" s="17" customFormat="1" ht="40" customHeight="1" x14ac:dyDescent="0.2">
      <c r="B2" s="424" t="s">
        <v>1</v>
      </c>
      <c r="C2" s="425"/>
      <c r="D2" s="425"/>
      <c r="E2" s="425"/>
      <c r="F2" s="425"/>
      <c r="G2" s="425"/>
      <c r="H2" s="425"/>
      <c r="I2" s="425"/>
      <c r="J2" s="425"/>
      <c r="K2" s="426"/>
    </row>
    <row r="3" spans="2:11" s="17" customFormat="1" ht="22" customHeight="1" x14ac:dyDescent="0.2">
      <c r="B3" s="427" t="s">
        <v>2</v>
      </c>
      <c r="C3" s="428"/>
      <c r="D3" s="428"/>
      <c r="E3" s="428"/>
      <c r="F3" s="428"/>
      <c r="G3" s="428"/>
      <c r="H3" s="428"/>
      <c r="I3" s="428"/>
      <c r="J3" s="428"/>
      <c r="K3" s="429"/>
    </row>
    <row r="4" spans="2:11" s="17" customFormat="1" ht="8" customHeight="1" x14ac:dyDescent="0.2">
      <c r="B4" s="39"/>
      <c r="K4" s="38"/>
    </row>
    <row r="5" spans="2:11" s="17" customFormat="1" ht="46" customHeight="1" x14ac:dyDescent="0.2">
      <c r="B5" s="430" t="s">
        <v>3</v>
      </c>
      <c r="C5" s="431"/>
      <c r="D5" s="431"/>
      <c r="E5" s="431"/>
      <c r="F5" s="431"/>
      <c r="G5" s="431"/>
      <c r="H5" s="431"/>
      <c r="I5" s="431"/>
      <c r="J5" s="431"/>
      <c r="K5" s="432"/>
    </row>
    <row r="6" spans="2:11" s="17" customFormat="1" x14ac:dyDescent="0.2">
      <c r="B6" s="39"/>
      <c r="K6" s="38"/>
    </row>
    <row r="7" spans="2:11" s="17" customFormat="1" ht="24" customHeight="1" x14ac:dyDescent="0.2">
      <c r="B7" s="433" t="s">
        <v>4</v>
      </c>
      <c r="C7" s="434"/>
      <c r="D7" s="434"/>
      <c r="E7" s="434"/>
      <c r="F7" s="434"/>
      <c r="G7" s="434"/>
      <c r="H7" s="434"/>
      <c r="I7" s="434"/>
      <c r="J7" s="434"/>
      <c r="K7" s="435"/>
    </row>
    <row r="8" spans="2:11" s="17" customFormat="1" x14ac:dyDescent="0.2">
      <c r="B8" s="39"/>
      <c r="K8" s="38"/>
    </row>
    <row r="9" spans="2:11" s="17" customFormat="1" ht="45" customHeight="1" x14ac:dyDescent="0.2">
      <c r="B9" s="40" t="s">
        <v>5</v>
      </c>
      <c r="C9" s="3" t="s">
        <v>6</v>
      </c>
      <c r="D9" s="3" t="s">
        <v>7</v>
      </c>
      <c r="E9" s="3" t="s">
        <v>8</v>
      </c>
      <c r="F9" s="3" t="s">
        <v>9</v>
      </c>
      <c r="G9" s="3" t="s">
        <v>10</v>
      </c>
      <c r="H9" s="3" t="s">
        <v>11</v>
      </c>
      <c r="I9" s="3" t="s">
        <v>12</v>
      </c>
      <c r="J9" s="3" t="s">
        <v>13</v>
      </c>
      <c r="K9" s="41" t="s">
        <v>14</v>
      </c>
    </row>
    <row r="10" spans="2:11" s="17" customFormat="1" ht="26" customHeight="1" x14ac:dyDescent="0.2">
      <c r="B10" s="42" t="s">
        <v>15</v>
      </c>
      <c r="C10" s="4" t="s">
        <v>16</v>
      </c>
      <c r="D10" s="5">
        <v>180000</v>
      </c>
      <c r="E10" s="6">
        <v>3.49</v>
      </c>
      <c r="F10" s="6">
        <v>1.57</v>
      </c>
      <c r="G10" s="7">
        <f t="shared" ref="G10:G16" si="0">(E10-F10)/E10</f>
        <v>0.55014326647564471</v>
      </c>
      <c r="H10" s="8">
        <v>0.38</v>
      </c>
      <c r="I10" s="9">
        <f t="shared" ref="I10:I16" si="1">H10*E10*D10</f>
        <v>238716</v>
      </c>
      <c r="J10" s="7">
        <f t="shared" ref="J10:J16" si="2">IFERROR(I10/$I$18,0)</f>
        <v>0.3655621289542324</v>
      </c>
      <c r="K10" s="43" t="s">
        <v>17</v>
      </c>
    </row>
    <row r="11" spans="2:11" s="17" customFormat="1" ht="26" customHeight="1" x14ac:dyDescent="0.2">
      <c r="B11" s="44" t="s">
        <v>18</v>
      </c>
      <c r="C11" s="10" t="s">
        <v>16</v>
      </c>
      <c r="D11" s="11">
        <v>145000</v>
      </c>
      <c r="E11" s="12">
        <v>3.49</v>
      </c>
      <c r="F11" s="12">
        <v>1.63</v>
      </c>
      <c r="G11" s="13">
        <f t="shared" si="0"/>
        <v>0.53295128939828085</v>
      </c>
      <c r="H11" s="14">
        <v>0.35</v>
      </c>
      <c r="I11" s="15">
        <f t="shared" si="1"/>
        <v>177117.5</v>
      </c>
      <c r="J11" s="13">
        <f t="shared" si="2"/>
        <v>0.27123213515244582</v>
      </c>
      <c r="K11" s="43" t="s">
        <v>17</v>
      </c>
    </row>
    <row r="12" spans="2:11" s="17" customFormat="1" ht="26" customHeight="1" x14ac:dyDescent="0.2">
      <c r="B12" s="42" t="s">
        <v>19</v>
      </c>
      <c r="C12" s="4" t="s">
        <v>20</v>
      </c>
      <c r="D12" s="5">
        <v>92000</v>
      </c>
      <c r="E12" s="6">
        <v>3.99</v>
      </c>
      <c r="F12" s="6">
        <v>1.91</v>
      </c>
      <c r="G12" s="7">
        <f t="shared" si="0"/>
        <v>0.52130325814536338</v>
      </c>
      <c r="H12" s="8">
        <v>0.31</v>
      </c>
      <c r="I12" s="9">
        <f t="shared" si="1"/>
        <v>113794.8</v>
      </c>
      <c r="J12" s="7">
        <f t="shared" si="2"/>
        <v>0.17426175602775298</v>
      </c>
      <c r="K12" s="43" t="s">
        <v>17</v>
      </c>
    </row>
    <row r="13" spans="2:11" s="17" customFormat="1" ht="26" customHeight="1" x14ac:dyDescent="0.2">
      <c r="B13" s="44" t="s">
        <v>21</v>
      </c>
      <c r="C13" s="10" t="s">
        <v>20</v>
      </c>
      <c r="D13" s="11">
        <v>54000</v>
      </c>
      <c r="E13" s="12">
        <v>3.99</v>
      </c>
      <c r="F13" s="12">
        <v>2.02</v>
      </c>
      <c r="G13" s="13">
        <f t="shared" si="0"/>
        <v>0.49373433583959903</v>
      </c>
      <c r="H13" s="14">
        <v>0.27</v>
      </c>
      <c r="I13" s="15">
        <f t="shared" si="1"/>
        <v>58174.200000000004</v>
      </c>
      <c r="J13" s="13">
        <f t="shared" si="2"/>
        <v>8.9086129133402484E-2</v>
      </c>
      <c r="K13" s="45" t="s">
        <v>22</v>
      </c>
    </row>
    <row r="14" spans="2:11" s="17" customFormat="1" ht="26" customHeight="1" x14ac:dyDescent="0.2">
      <c r="B14" s="42" t="s">
        <v>23</v>
      </c>
      <c r="C14" s="4" t="s">
        <v>24</v>
      </c>
      <c r="D14" s="5">
        <v>38000</v>
      </c>
      <c r="E14" s="6">
        <v>4.99</v>
      </c>
      <c r="F14" s="6">
        <v>2.84</v>
      </c>
      <c r="G14" s="7">
        <f t="shared" si="0"/>
        <v>0.43086172344689383</v>
      </c>
      <c r="H14" s="8">
        <v>0.24</v>
      </c>
      <c r="I14" s="9">
        <f t="shared" si="1"/>
        <v>45508.800000000003</v>
      </c>
      <c r="J14" s="7">
        <f t="shared" si="2"/>
        <v>6.9690736331676009E-2</v>
      </c>
      <c r="K14" s="45" t="s">
        <v>22</v>
      </c>
    </row>
    <row r="15" spans="2:11" s="17" customFormat="1" ht="26" customHeight="1" x14ac:dyDescent="0.2">
      <c r="B15" s="46" t="s">
        <v>25</v>
      </c>
      <c r="C15" s="28" t="s">
        <v>24</v>
      </c>
      <c r="D15" s="29">
        <v>14000</v>
      </c>
      <c r="E15" s="30">
        <v>4.99</v>
      </c>
      <c r="F15" s="30">
        <v>3.19</v>
      </c>
      <c r="G15" s="31">
        <f t="shared" si="0"/>
        <v>0.36072144288577157</v>
      </c>
      <c r="H15" s="32">
        <v>0.17</v>
      </c>
      <c r="I15" s="33">
        <f t="shared" si="1"/>
        <v>11876.2</v>
      </c>
      <c r="J15" s="31">
        <f t="shared" si="2"/>
        <v>1.8186836893573345E-2</v>
      </c>
      <c r="K15" s="47" t="s">
        <v>26</v>
      </c>
    </row>
    <row r="16" spans="2:11" s="17" customFormat="1" ht="26" customHeight="1" x14ac:dyDescent="0.2">
      <c r="B16" s="46" t="s">
        <v>27</v>
      </c>
      <c r="C16" s="28" t="s">
        <v>16</v>
      </c>
      <c r="D16" s="29">
        <v>9500</v>
      </c>
      <c r="E16" s="30">
        <v>5.49</v>
      </c>
      <c r="F16" s="30">
        <v>3.51</v>
      </c>
      <c r="G16" s="31">
        <f t="shared" si="0"/>
        <v>0.3606557377049181</v>
      </c>
      <c r="H16" s="32">
        <v>0.15</v>
      </c>
      <c r="I16" s="33">
        <f t="shared" si="1"/>
        <v>7823.25</v>
      </c>
      <c r="J16" s="31">
        <f t="shared" si="2"/>
        <v>1.1980277506916999E-2</v>
      </c>
      <c r="K16" s="47" t="s">
        <v>26</v>
      </c>
    </row>
    <row r="17" spans="2:11" x14ac:dyDescent="0.2">
      <c r="B17" s="48"/>
      <c r="C17" s="16"/>
      <c r="D17" s="16"/>
      <c r="E17" s="16"/>
      <c r="F17" s="16"/>
      <c r="G17" s="16"/>
      <c r="H17" s="16"/>
      <c r="I17" s="16"/>
      <c r="J17" s="16"/>
      <c r="K17" s="49"/>
    </row>
    <row r="18" spans="2:11" s="17" customFormat="1" ht="28" customHeight="1" x14ac:dyDescent="0.2">
      <c r="B18" s="50" t="s">
        <v>28</v>
      </c>
      <c r="C18" s="34"/>
      <c r="D18" s="35">
        <f>SUM(D10:D16)</f>
        <v>532500</v>
      </c>
      <c r="E18" s="34"/>
      <c r="F18" s="34"/>
      <c r="G18" s="34"/>
      <c r="H18" s="34"/>
      <c r="I18" s="36">
        <f>SUM(I10:I16)</f>
        <v>653010.75</v>
      </c>
      <c r="J18" s="37">
        <v>1</v>
      </c>
      <c r="K18" s="51"/>
    </row>
    <row r="19" spans="2:11" x14ac:dyDescent="0.2">
      <c r="B19" s="52"/>
      <c r="K19" s="53"/>
    </row>
    <row r="20" spans="2:11" s="19" customFormat="1" ht="30" customHeight="1" x14ac:dyDescent="0.2">
      <c r="B20" s="436" t="s">
        <v>29</v>
      </c>
      <c r="C20" s="437"/>
      <c r="D20" s="437"/>
      <c r="E20" s="437"/>
      <c r="F20" s="437"/>
      <c r="G20" s="437"/>
      <c r="H20" s="437"/>
      <c r="I20" s="437"/>
      <c r="J20" s="437"/>
      <c r="K20" s="438"/>
    </row>
    <row r="21" spans="2:11" s="19" customFormat="1" ht="36" customHeight="1" x14ac:dyDescent="0.2">
      <c r="B21" s="439" t="s">
        <v>30</v>
      </c>
      <c r="C21" s="422"/>
      <c r="D21" s="54" t="s">
        <v>31</v>
      </c>
      <c r="E21" s="440" t="s">
        <v>32</v>
      </c>
      <c r="F21" s="422"/>
      <c r="G21" s="422"/>
      <c r="H21" s="422"/>
      <c r="I21" s="422"/>
      <c r="J21" s="422"/>
      <c r="K21" s="423"/>
    </row>
    <row r="22" spans="2:11" s="19" customFormat="1" ht="36" customHeight="1" x14ac:dyDescent="0.2">
      <c r="B22" s="439" t="s">
        <v>33</v>
      </c>
      <c r="C22" s="422"/>
      <c r="D22" s="54" t="s">
        <v>31</v>
      </c>
      <c r="E22" s="440" t="s">
        <v>34</v>
      </c>
      <c r="F22" s="422"/>
      <c r="G22" s="422"/>
      <c r="H22" s="422"/>
      <c r="I22" s="422"/>
      <c r="J22" s="422"/>
      <c r="K22" s="423"/>
    </row>
    <row r="23" spans="2:11" s="19" customFormat="1" ht="36" customHeight="1" x14ac:dyDescent="0.2">
      <c r="B23" s="441" t="s">
        <v>35</v>
      </c>
      <c r="C23" s="422"/>
      <c r="D23" s="55" t="s">
        <v>31</v>
      </c>
      <c r="E23" s="442" t="s">
        <v>36</v>
      </c>
      <c r="F23" s="422"/>
      <c r="G23" s="422"/>
      <c r="H23" s="422"/>
      <c r="I23" s="422"/>
      <c r="J23" s="422"/>
      <c r="K23" s="423"/>
    </row>
    <row r="24" spans="2:11" s="19" customFormat="1" ht="36" customHeight="1" x14ac:dyDescent="0.2">
      <c r="B24" s="441" t="s">
        <v>37</v>
      </c>
      <c r="C24" s="422"/>
      <c r="D24" s="55" t="s">
        <v>31</v>
      </c>
      <c r="E24" s="442" t="s">
        <v>38</v>
      </c>
      <c r="F24" s="422"/>
      <c r="G24" s="422"/>
      <c r="H24" s="422"/>
      <c r="I24" s="422"/>
      <c r="J24" s="422"/>
      <c r="K24" s="423"/>
    </row>
    <row r="25" spans="2:11" s="19" customFormat="1" ht="36" customHeight="1" x14ac:dyDescent="0.2">
      <c r="B25" s="445" t="s">
        <v>39</v>
      </c>
      <c r="C25" s="422"/>
      <c r="D25" s="56" t="s">
        <v>31</v>
      </c>
      <c r="E25" s="446" t="s">
        <v>40</v>
      </c>
      <c r="F25" s="422"/>
      <c r="G25" s="422"/>
      <c r="H25" s="422"/>
      <c r="I25" s="422"/>
      <c r="J25" s="422"/>
      <c r="K25" s="423"/>
    </row>
    <row r="26" spans="2:11" s="19" customFormat="1" ht="36" customHeight="1" thickBot="1" x14ac:dyDescent="0.25">
      <c r="B26" s="447" t="s">
        <v>41</v>
      </c>
      <c r="C26" s="448"/>
      <c r="D26" s="57" t="s">
        <v>31</v>
      </c>
      <c r="E26" s="449" t="s">
        <v>42</v>
      </c>
      <c r="F26" s="448"/>
      <c r="G26" s="448"/>
      <c r="H26" s="448"/>
      <c r="I26" s="448"/>
      <c r="J26" s="448"/>
      <c r="K26" s="450"/>
    </row>
    <row r="27" spans="2:11" ht="28" customHeight="1" x14ac:dyDescent="0.2"/>
    <row r="28" spans="2:11" s="17" customFormat="1" ht="28" customHeight="1" x14ac:dyDescent="0.2">
      <c r="B28" s="443" t="s">
        <v>43</v>
      </c>
      <c r="C28" s="444"/>
      <c r="D28" s="444"/>
      <c r="E28" s="444"/>
      <c r="F28" s="444"/>
      <c r="G28" s="444"/>
      <c r="H28" s="444"/>
      <c r="I28" s="444"/>
      <c r="J28" s="444"/>
      <c r="K28" s="444"/>
    </row>
    <row r="29" spans="2:11" s="17" customFormat="1" ht="24" customHeight="1" x14ac:dyDescent="0.2">
      <c r="B29" s="21" t="s">
        <v>44</v>
      </c>
      <c r="C29" s="21"/>
      <c r="D29" s="21"/>
      <c r="E29" s="21" t="s">
        <v>45</v>
      </c>
      <c r="F29" s="21"/>
      <c r="G29" s="21"/>
      <c r="H29" s="21" t="s">
        <v>46</v>
      </c>
      <c r="I29" s="21"/>
      <c r="J29" s="21"/>
      <c r="K29" s="20"/>
    </row>
    <row r="30" spans="2:11" s="17" customFormat="1" ht="24" customHeight="1" x14ac:dyDescent="0.2">
      <c r="B30" s="22" t="s">
        <v>47</v>
      </c>
      <c r="C30" s="23"/>
      <c r="D30" s="23"/>
      <c r="E30" s="23">
        <v>7</v>
      </c>
      <c r="F30" s="23"/>
      <c r="G30" s="23"/>
      <c r="H30" s="23" t="s">
        <v>48</v>
      </c>
      <c r="I30" s="23"/>
      <c r="J30" s="24" t="s">
        <v>49</v>
      </c>
      <c r="K30" s="1"/>
    </row>
    <row r="31" spans="2:11" s="17" customFormat="1" ht="24" customHeight="1" x14ac:dyDescent="0.2">
      <c r="B31" s="25" t="s">
        <v>50</v>
      </c>
      <c r="C31" s="26"/>
      <c r="D31" s="26"/>
      <c r="E31" s="26" t="s">
        <v>51</v>
      </c>
      <c r="F31" s="26"/>
      <c r="G31" s="26"/>
      <c r="H31" s="26" t="s">
        <v>52</v>
      </c>
      <c r="I31" s="26"/>
      <c r="J31" s="27" t="s">
        <v>53</v>
      </c>
      <c r="K31" s="18"/>
    </row>
    <row r="32" spans="2:11" s="17" customFormat="1" ht="24" customHeight="1" x14ac:dyDescent="0.2">
      <c r="B32" s="22" t="s">
        <v>54</v>
      </c>
      <c r="C32" s="23"/>
      <c r="D32" s="23"/>
      <c r="E32" s="23" t="s">
        <v>55</v>
      </c>
      <c r="F32" s="23"/>
      <c r="G32" s="23"/>
      <c r="H32" s="23" t="s">
        <v>56</v>
      </c>
      <c r="I32" s="23"/>
      <c r="J32" s="24" t="s">
        <v>57</v>
      </c>
      <c r="K32" s="1"/>
    </row>
    <row r="33" spans="2:11" s="17" customFormat="1" ht="24" customHeight="1" x14ac:dyDescent="0.2">
      <c r="B33" s="25" t="s">
        <v>58</v>
      </c>
      <c r="C33" s="26"/>
      <c r="D33" s="26"/>
      <c r="E33" s="26" t="s">
        <v>59</v>
      </c>
      <c r="F33" s="26"/>
      <c r="G33" s="26"/>
      <c r="H33" s="26" t="s">
        <v>60</v>
      </c>
      <c r="I33" s="26"/>
      <c r="J33" s="27" t="s">
        <v>61</v>
      </c>
      <c r="K33" s="18"/>
    </row>
    <row r="34" spans="2:11" s="17" customFormat="1" ht="24" customHeight="1" x14ac:dyDescent="0.2">
      <c r="B34" s="22" t="s">
        <v>62</v>
      </c>
      <c r="C34" s="23"/>
      <c r="D34" s="23"/>
      <c r="E34" s="23" t="s">
        <v>63</v>
      </c>
      <c r="F34" s="23"/>
      <c r="G34" s="23"/>
      <c r="H34" s="23" t="s">
        <v>64</v>
      </c>
      <c r="I34" s="23"/>
      <c r="J34" s="24" t="s">
        <v>65</v>
      </c>
      <c r="K34" s="1"/>
    </row>
  </sheetData>
  <mergeCells count="18">
    <mergeCell ref="B28:K28"/>
    <mergeCell ref="B24:C24"/>
    <mergeCell ref="E24:K24"/>
    <mergeCell ref="B25:C25"/>
    <mergeCell ref="E25:K25"/>
    <mergeCell ref="B26:C26"/>
    <mergeCell ref="E26:K26"/>
    <mergeCell ref="B21:C21"/>
    <mergeCell ref="E21:K21"/>
    <mergeCell ref="B22:C22"/>
    <mergeCell ref="E22:K22"/>
    <mergeCell ref="B23:C23"/>
    <mergeCell ref="E23:K23"/>
    <mergeCell ref="B2:K2"/>
    <mergeCell ref="B3:K3"/>
    <mergeCell ref="B5:K5"/>
    <mergeCell ref="B7:K7"/>
    <mergeCell ref="B20:K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FEC3A-D875-F442-A248-E3D6F0A77BE6}">
  <sheetPr codeName="Sheet6">
    <tabColor rgb="FF1F3864"/>
  </sheetPr>
  <dimension ref="B1:K75"/>
  <sheetViews>
    <sheetView showGridLines="0" tabSelected="1" topLeftCell="A4" zoomScale="130" zoomScaleNormal="130" workbookViewId="0">
      <selection activeCell="D15" sqref="D15"/>
    </sheetView>
  </sheetViews>
  <sheetFormatPr baseColWidth="10" defaultRowHeight="16" x14ac:dyDescent="0.2"/>
  <cols>
    <col min="2" max="2" width="53" customWidth="1"/>
    <col min="3" max="3" width="29.1640625" customWidth="1"/>
    <col min="4" max="4" width="15" customWidth="1"/>
    <col min="5" max="5" width="17.5" customWidth="1"/>
    <col min="6" max="6" width="20.5" customWidth="1"/>
    <col min="7" max="7" width="18.33203125" customWidth="1"/>
    <col min="8" max="8" width="21.6640625" style="335" customWidth="1"/>
    <col min="9" max="9" width="33.33203125" customWidth="1"/>
    <col min="10" max="10" width="20" customWidth="1"/>
    <col min="11" max="11" width="3.33203125" customWidth="1"/>
  </cols>
  <sheetData>
    <row r="1" spans="2:11" ht="34" customHeight="1" x14ac:dyDescent="0.2">
      <c r="H1"/>
    </row>
    <row r="2" spans="2:11" ht="27" customHeight="1" x14ac:dyDescent="0.3">
      <c r="B2" s="329" t="s">
        <v>251</v>
      </c>
      <c r="C2" s="329"/>
      <c r="D2" s="329"/>
      <c r="E2" s="329"/>
      <c r="F2" s="329"/>
      <c r="G2" s="329"/>
      <c r="H2"/>
    </row>
    <row r="3" spans="2:11" ht="27" customHeight="1" x14ac:dyDescent="0.2">
      <c r="B3" s="330" t="s">
        <v>252</v>
      </c>
      <c r="C3" s="330"/>
      <c r="D3" s="330"/>
      <c r="E3" s="330"/>
      <c r="F3" s="330"/>
      <c r="G3" s="330"/>
      <c r="H3"/>
    </row>
    <row r="4" spans="2:11" ht="18" customHeight="1" thickBot="1" x14ac:dyDescent="0.25">
      <c r="H4"/>
    </row>
    <row r="5" spans="2:11" s="292" customFormat="1" ht="27" customHeight="1" x14ac:dyDescent="0.25">
      <c r="B5" s="280" t="s">
        <v>253</v>
      </c>
      <c r="C5" s="291"/>
      <c r="D5" s="291"/>
      <c r="E5" s="291"/>
      <c r="F5" s="291"/>
      <c r="G5" s="291"/>
      <c r="H5"/>
      <c r="I5"/>
      <c r="J5"/>
      <c r="K5"/>
    </row>
    <row r="6" spans="2:11" s="228" customFormat="1" ht="27" customHeight="1" x14ac:dyDescent="0.25">
      <c r="B6" s="298" t="s">
        <v>162</v>
      </c>
      <c r="C6" s="355">
        <v>15000000</v>
      </c>
      <c r="H6"/>
      <c r="I6"/>
      <c r="J6"/>
      <c r="K6"/>
    </row>
    <row r="7" spans="2:11" s="228" customFormat="1" ht="27" customHeight="1" x14ac:dyDescent="0.25">
      <c r="B7" s="298" t="s">
        <v>254</v>
      </c>
      <c r="C7" s="355">
        <f>+C6*0.75</f>
        <v>11250000</v>
      </c>
      <c r="H7"/>
      <c r="I7"/>
      <c r="J7"/>
      <c r="K7"/>
    </row>
    <row r="8" spans="2:11" s="228" customFormat="1" ht="27" customHeight="1" x14ac:dyDescent="0.25">
      <c r="B8" s="187" t="s">
        <v>255</v>
      </c>
      <c r="C8" s="299">
        <f>C6/365</f>
        <v>41095.890410958906</v>
      </c>
      <c r="H8"/>
      <c r="I8"/>
      <c r="J8"/>
      <c r="K8"/>
    </row>
    <row r="9" spans="2:11" s="228" customFormat="1" ht="27" customHeight="1" x14ac:dyDescent="0.25">
      <c r="B9" s="187" t="s">
        <v>256</v>
      </c>
      <c r="C9" s="299">
        <f>C7/365</f>
        <v>30821.917808219179</v>
      </c>
      <c r="H9"/>
      <c r="I9"/>
      <c r="J9"/>
      <c r="K9"/>
    </row>
    <row r="10" spans="2:11" ht="13" customHeight="1" x14ac:dyDescent="0.2">
      <c r="B10" s="52"/>
      <c r="H10"/>
    </row>
    <row r="11" spans="2:11" s="228" customFormat="1" ht="43" customHeight="1" x14ac:dyDescent="0.25">
      <c r="B11" s="293" t="s">
        <v>257</v>
      </c>
      <c r="C11" s="294" t="s">
        <v>258</v>
      </c>
      <c r="D11" s="295" t="s">
        <v>259</v>
      </c>
      <c r="E11" s="296" t="s">
        <v>260</v>
      </c>
      <c r="F11" s="297" t="s">
        <v>261</v>
      </c>
      <c r="G11" s="297" t="s">
        <v>262</v>
      </c>
      <c r="H11"/>
      <c r="I11"/>
      <c r="J11"/>
      <c r="K11"/>
    </row>
    <row r="12" spans="2:11" s="228" customFormat="1" ht="27" customHeight="1" x14ac:dyDescent="0.25">
      <c r="B12" s="300" t="s">
        <v>263</v>
      </c>
      <c r="C12" s="356">
        <v>40</v>
      </c>
      <c r="D12" s="356">
        <v>40</v>
      </c>
      <c r="E12" s="301">
        <f>D12-C12</f>
        <v>0</v>
      </c>
      <c r="F12" s="228" t="s">
        <v>264</v>
      </c>
      <c r="G12" s="328">
        <f>(C12-D12)*C8</f>
        <v>0</v>
      </c>
      <c r="H12"/>
      <c r="I12"/>
      <c r="J12"/>
      <c r="K12"/>
    </row>
    <row r="13" spans="2:11" s="228" customFormat="1" ht="27" customHeight="1" x14ac:dyDescent="0.25">
      <c r="B13" s="300" t="s">
        <v>265</v>
      </c>
      <c r="C13" s="356">
        <v>50</v>
      </c>
      <c r="D13" s="356">
        <v>50</v>
      </c>
      <c r="E13" s="301">
        <f>D13-C13</f>
        <v>0</v>
      </c>
      <c r="F13" s="228" t="s">
        <v>266</v>
      </c>
      <c r="G13" s="328">
        <f>(C13-D13)*C9</f>
        <v>0</v>
      </c>
      <c r="H13"/>
      <c r="I13"/>
      <c r="J13"/>
      <c r="K13"/>
    </row>
    <row r="14" spans="2:11" s="228" customFormat="1" ht="27" customHeight="1" x14ac:dyDescent="0.25">
      <c r="B14" s="300" t="s">
        <v>267</v>
      </c>
      <c r="C14" s="356">
        <v>30</v>
      </c>
      <c r="D14" s="356">
        <v>30</v>
      </c>
      <c r="E14" s="301">
        <f>D14-C14</f>
        <v>0</v>
      </c>
      <c r="F14" s="228" t="s">
        <v>268</v>
      </c>
      <c r="G14" s="336">
        <f>(D14-C14)*C9</f>
        <v>0</v>
      </c>
      <c r="H14"/>
      <c r="I14"/>
      <c r="J14"/>
      <c r="K14"/>
    </row>
    <row r="15" spans="2:11" s="304" customFormat="1" ht="27" customHeight="1" x14ac:dyDescent="0.2">
      <c r="B15" s="302"/>
      <c r="C15" s="303"/>
      <c r="D15" s="303"/>
      <c r="E15" s="303"/>
      <c r="F15" s="357" t="s">
        <v>269</v>
      </c>
      <c r="G15" s="358">
        <f>G12+G13+G14</f>
        <v>0</v>
      </c>
      <c r="H15"/>
      <c r="I15"/>
      <c r="J15"/>
      <c r="K15"/>
    </row>
    <row r="16" spans="2:11" ht="27" customHeight="1" x14ac:dyDescent="0.25">
      <c r="B16" s="337" t="s">
        <v>270</v>
      </c>
      <c r="C16" s="338"/>
      <c r="D16" s="338"/>
      <c r="E16" s="338"/>
      <c r="F16" s="331"/>
      <c r="G16" s="339"/>
      <c r="H16"/>
    </row>
    <row r="17" spans="2:11" s="228" customFormat="1" ht="27" customHeight="1" x14ac:dyDescent="0.25">
      <c r="B17" s="305" t="s">
        <v>271</v>
      </c>
      <c r="C17" s="306">
        <f>C12</f>
        <v>40</v>
      </c>
      <c r="D17" s="306">
        <f>D12</f>
        <v>40</v>
      </c>
      <c r="E17" s="307">
        <f>D17-C17</f>
        <v>0</v>
      </c>
      <c r="H17"/>
      <c r="I17"/>
      <c r="J17"/>
      <c r="K17"/>
    </row>
    <row r="18" spans="2:11" s="228" customFormat="1" ht="27" customHeight="1" x14ac:dyDescent="0.25">
      <c r="B18" s="308" t="s">
        <v>272</v>
      </c>
      <c r="C18" s="306">
        <f>C13</f>
        <v>50</v>
      </c>
      <c r="D18" s="306">
        <f>D13</f>
        <v>50</v>
      </c>
      <c r="E18" s="307">
        <f>D18-C18</f>
        <v>0</v>
      </c>
      <c r="H18"/>
      <c r="I18"/>
      <c r="J18"/>
      <c r="K18"/>
    </row>
    <row r="19" spans="2:11" s="228" customFormat="1" ht="27" customHeight="1" x14ac:dyDescent="0.25">
      <c r="B19" s="308" t="s">
        <v>273</v>
      </c>
      <c r="C19" s="306">
        <f>+C14</f>
        <v>30</v>
      </c>
      <c r="D19" s="306">
        <f>D14</f>
        <v>30</v>
      </c>
      <c r="E19" s="307">
        <f>D19-C19</f>
        <v>0</v>
      </c>
      <c r="H19"/>
      <c r="I19"/>
      <c r="J19"/>
      <c r="K19"/>
    </row>
    <row r="20" spans="2:11" s="228" customFormat="1" ht="27" customHeight="1" x14ac:dyDescent="0.25">
      <c r="B20" s="300" t="s">
        <v>274</v>
      </c>
      <c r="C20" s="309">
        <f>C17+C18-C19</f>
        <v>60</v>
      </c>
      <c r="D20" s="310">
        <f>D17+D18-D19</f>
        <v>60</v>
      </c>
      <c r="E20" s="311">
        <f>D20-C20</f>
        <v>0</v>
      </c>
      <c r="H20"/>
      <c r="I20"/>
      <c r="J20"/>
      <c r="K20"/>
    </row>
    <row r="21" spans="2:11" ht="27" customHeight="1" x14ac:dyDescent="0.2">
      <c r="B21" s="52"/>
      <c r="H21"/>
    </row>
    <row r="22" spans="2:11" ht="27" customHeight="1" x14ac:dyDescent="0.25">
      <c r="B22" s="340" t="s">
        <v>275</v>
      </c>
      <c r="C22" s="341"/>
      <c r="D22" s="341"/>
      <c r="E22" s="341"/>
      <c r="F22" s="332"/>
      <c r="G22" s="342"/>
      <c r="H22"/>
    </row>
    <row r="23" spans="2:11" s="228" customFormat="1" ht="27" customHeight="1" x14ac:dyDescent="0.25">
      <c r="B23" s="300" t="s">
        <v>276</v>
      </c>
      <c r="C23" s="312">
        <f>C20*C9</f>
        <v>1849315.0684931506</v>
      </c>
      <c r="D23" s="313">
        <f>D20*C9</f>
        <v>1849315.0684931506</v>
      </c>
      <c r="E23" s="314">
        <f>C23-D23</f>
        <v>0</v>
      </c>
      <c r="F23" s="315"/>
      <c r="G23" s="315"/>
      <c r="H23"/>
      <c r="I23"/>
      <c r="J23"/>
      <c r="K23"/>
    </row>
    <row r="24" spans="2:11" s="228" customFormat="1" ht="27" customHeight="1" x14ac:dyDescent="0.25">
      <c r="B24" s="316" t="s">
        <v>277</v>
      </c>
      <c r="C24" s="317"/>
      <c r="D24" s="317"/>
      <c r="E24" s="257">
        <f>E23</f>
        <v>0</v>
      </c>
      <c r="F24" s="315"/>
      <c r="G24" s="315"/>
      <c r="H24"/>
      <c r="I24"/>
      <c r="J24"/>
      <c r="K24"/>
    </row>
    <row r="25" spans="2:11" s="321" customFormat="1" ht="27" customHeight="1" x14ac:dyDescent="0.2">
      <c r="B25" s="318" t="s">
        <v>278</v>
      </c>
      <c r="C25" s="319"/>
      <c r="D25" s="319"/>
      <c r="E25" s="320">
        <f>E23/(C7/12)</f>
        <v>0</v>
      </c>
      <c r="H25"/>
      <c r="I25"/>
      <c r="J25"/>
      <c r="K25"/>
    </row>
    <row r="26" spans="2:11" s="19" customFormat="1" ht="27" customHeight="1" x14ac:dyDescent="0.2">
      <c r="B26" s="343" t="s">
        <v>279</v>
      </c>
      <c r="C26" s="344"/>
      <c r="D26" s="344"/>
      <c r="E26" s="345"/>
      <c r="F26" s="333"/>
      <c r="G26" s="333"/>
      <c r="H26"/>
      <c r="I26"/>
      <c r="J26"/>
      <c r="K26"/>
    </row>
    <row r="27" spans="2:11" s="228" customFormat="1" ht="27" customHeight="1" x14ac:dyDescent="0.25">
      <c r="B27" s="322" t="s">
        <v>280</v>
      </c>
      <c r="C27" s="323">
        <f>(C6-C7)/C6</f>
        <v>0.25</v>
      </c>
      <c r="D27" s="323">
        <f>(C6-C7)/C6</f>
        <v>0.25</v>
      </c>
      <c r="E27" s="324"/>
      <c r="F27" s="315"/>
      <c r="G27" s="315"/>
      <c r="H27"/>
      <c r="I27"/>
      <c r="J27"/>
      <c r="K27"/>
    </row>
    <row r="28" spans="2:11" s="228" customFormat="1" ht="27" customHeight="1" thickBot="1" x14ac:dyDescent="0.3">
      <c r="B28" s="346" t="s">
        <v>281</v>
      </c>
      <c r="C28" s="347"/>
      <c r="D28" s="347"/>
      <c r="E28" s="326">
        <f>IF(C27=0,"Enter COGS",E23/C27)</f>
        <v>0</v>
      </c>
      <c r="F28" s="325"/>
      <c r="G28" s="325"/>
      <c r="H28"/>
      <c r="I28"/>
      <c r="J28"/>
      <c r="K28"/>
    </row>
    <row r="29" spans="2:11" ht="27" customHeight="1" x14ac:dyDescent="0.2">
      <c r="B29" s="348" t="s">
        <v>282</v>
      </c>
      <c r="C29" s="327"/>
      <c r="D29" s="327"/>
      <c r="E29" s="327"/>
      <c r="F29" s="327"/>
      <c r="G29" s="327"/>
      <c r="H29"/>
    </row>
    <row r="30" spans="2:11" ht="27" customHeight="1" x14ac:dyDescent="0.2">
      <c r="B30" s="349" t="s">
        <v>283</v>
      </c>
      <c r="C30" s="349"/>
      <c r="D30" s="349"/>
      <c r="E30" s="349"/>
      <c r="F30" s="2"/>
      <c r="G30" s="2"/>
      <c r="H30"/>
    </row>
    <row r="31" spans="2:11" ht="27" customHeight="1" x14ac:dyDescent="0.2">
      <c r="B31" s="258" t="s">
        <v>284</v>
      </c>
      <c r="C31" s="259"/>
      <c r="D31" s="259"/>
      <c r="E31" s="260">
        <f>(C12-D12)*C8</f>
        <v>0</v>
      </c>
      <c r="H31"/>
    </row>
    <row r="32" spans="2:11" ht="27" customHeight="1" x14ac:dyDescent="0.2">
      <c r="B32" s="258" t="s">
        <v>285</v>
      </c>
      <c r="C32" s="259"/>
      <c r="D32" s="259"/>
      <c r="E32" s="260">
        <f>(C13-D13)*C9</f>
        <v>0</v>
      </c>
      <c r="H32"/>
    </row>
    <row r="33" spans="2:8" ht="27" customHeight="1" x14ac:dyDescent="0.2">
      <c r="B33" s="258" t="s">
        <v>286</v>
      </c>
      <c r="C33" s="259"/>
      <c r="D33" s="259"/>
      <c r="E33" s="260">
        <f>(D14-C14)*C9</f>
        <v>0</v>
      </c>
      <c r="H33"/>
    </row>
    <row r="34" spans="2:8" ht="27" customHeight="1" x14ac:dyDescent="0.2">
      <c r="B34" s="261" t="s">
        <v>287</v>
      </c>
      <c r="C34" s="259"/>
      <c r="D34" s="259"/>
      <c r="E34" s="262">
        <f>E31+E32+E33</f>
        <v>0</v>
      </c>
      <c r="H34"/>
    </row>
    <row r="35" spans="2:8" ht="17" thickBot="1" x14ac:dyDescent="0.25">
      <c r="H35"/>
    </row>
    <row r="36" spans="2:8" ht="22" customHeight="1" x14ac:dyDescent="0.2">
      <c r="B36" s="350" t="s">
        <v>288</v>
      </c>
      <c r="C36" s="334"/>
      <c r="D36" s="334"/>
      <c r="E36" s="334"/>
      <c r="F36" s="334"/>
      <c r="G36" s="334"/>
      <c r="H36"/>
    </row>
    <row r="37" spans="2:8" x14ac:dyDescent="0.2">
      <c r="B37" s="281" t="s">
        <v>163</v>
      </c>
      <c r="C37" s="263" t="s">
        <v>289</v>
      </c>
      <c r="D37" s="263" t="s">
        <v>290</v>
      </c>
      <c r="E37" s="263" t="s">
        <v>291</v>
      </c>
      <c r="F37" s="263" t="s">
        <v>292</v>
      </c>
      <c r="G37" s="264" t="s">
        <v>293</v>
      </c>
      <c r="H37"/>
    </row>
    <row r="38" spans="2:8" x14ac:dyDescent="0.2">
      <c r="B38" s="282" t="s">
        <v>294</v>
      </c>
      <c r="C38" s="265">
        <v>0</v>
      </c>
      <c r="D38" s="265">
        <v>45</v>
      </c>
      <c r="E38" s="265">
        <v>0</v>
      </c>
      <c r="F38" s="266">
        <f t="shared" ref="F38:F43" si="0">C38+D38-E38</f>
        <v>45</v>
      </c>
      <c r="G38" s="267">
        <f t="shared" ref="G38:G43" si="1">F38*$C$9</f>
        <v>1386986.3013698631</v>
      </c>
      <c r="H38"/>
    </row>
    <row r="39" spans="2:8" x14ac:dyDescent="0.2">
      <c r="B39" s="283" t="s">
        <v>295</v>
      </c>
      <c r="C39" s="268">
        <v>60</v>
      </c>
      <c r="D39" s="268">
        <v>45</v>
      </c>
      <c r="E39" s="268">
        <v>0</v>
      </c>
      <c r="F39" s="269">
        <f t="shared" si="0"/>
        <v>105</v>
      </c>
      <c r="G39" s="270">
        <f t="shared" si="1"/>
        <v>3236301.3698630137</v>
      </c>
      <c r="H39"/>
    </row>
    <row r="40" spans="2:8" x14ac:dyDescent="0.2">
      <c r="B40" s="284" t="s">
        <v>296</v>
      </c>
      <c r="C40" s="271">
        <v>30</v>
      </c>
      <c r="D40" s="271">
        <v>45</v>
      </c>
      <c r="E40" s="271">
        <v>30</v>
      </c>
      <c r="F40" s="272">
        <f t="shared" si="0"/>
        <v>45</v>
      </c>
      <c r="G40" s="273">
        <f t="shared" si="1"/>
        <v>1386986.3013698631</v>
      </c>
      <c r="H40"/>
    </row>
    <row r="41" spans="2:8" x14ac:dyDescent="0.2">
      <c r="B41" s="285" t="s">
        <v>297</v>
      </c>
      <c r="C41" s="274">
        <v>30</v>
      </c>
      <c r="D41" s="274">
        <v>45</v>
      </c>
      <c r="E41" s="274">
        <v>45</v>
      </c>
      <c r="F41" s="275">
        <f t="shared" si="0"/>
        <v>30</v>
      </c>
      <c r="G41" s="276">
        <f t="shared" si="1"/>
        <v>924657.53424657532</v>
      </c>
      <c r="H41"/>
    </row>
    <row r="42" spans="2:8" x14ac:dyDescent="0.2">
      <c r="B42" s="286" t="s">
        <v>298</v>
      </c>
      <c r="C42" s="277">
        <v>30</v>
      </c>
      <c r="D42" s="277">
        <v>45</v>
      </c>
      <c r="E42" s="277">
        <v>60</v>
      </c>
      <c r="F42" s="278">
        <f t="shared" si="0"/>
        <v>15</v>
      </c>
      <c r="G42" s="279">
        <f t="shared" si="1"/>
        <v>462328.76712328766</v>
      </c>
      <c r="H42"/>
    </row>
    <row r="43" spans="2:8" ht="17" thickBot="1" x14ac:dyDescent="0.25">
      <c r="B43" s="287" t="s">
        <v>299</v>
      </c>
      <c r="C43" s="288">
        <v>14</v>
      </c>
      <c r="D43" s="288">
        <v>21</v>
      </c>
      <c r="E43" s="288">
        <v>45</v>
      </c>
      <c r="F43" s="289">
        <f t="shared" si="0"/>
        <v>-10</v>
      </c>
      <c r="G43" s="290">
        <f t="shared" si="1"/>
        <v>-308219.17808219179</v>
      </c>
      <c r="H43"/>
    </row>
    <row r="44" spans="2:8" ht="28" customHeight="1" x14ac:dyDescent="0.2">
      <c r="B44" s="351" t="s">
        <v>300</v>
      </c>
      <c r="C44" s="352"/>
      <c r="D44" s="352"/>
      <c r="E44" s="352"/>
      <c r="F44" s="352"/>
      <c r="G44" s="352"/>
      <c r="H44"/>
    </row>
    <row r="45" spans="2:8" ht="32" customHeight="1" x14ac:dyDescent="0.2">
      <c r="B45" s="454" t="s">
        <v>301</v>
      </c>
      <c r="C45" s="454"/>
      <c r="D45" s="454"/>
      <c r="E45" s="454"/>
      <c r="F45" s="454"/>
      <c r="H45"/>
    </row>
    <row r="46" spans="2:8" ht="38" customHeight="1" x14ac:dyDescent="0.2">
      <c r="B46" s="353" t="s">
        <v>302</v>
      </c>
      <c r="C46" s="453" t="s">
        <v>303</v>
      </c>
      <c r="D46" s="453"/>
      <c r="E46" s="453"/>
      <c r="F46" s="453"/>
      <c r="H46"/>
    </row>
    <row r="47" spans="2:8" ht="38" customHeight="1" x14ac:dyDescent="0.2">
      <c r="B47" s="354" t="s">
        <v>304</v>
      </c>
      <c r="C47" s="453" t="s">
        <v>305</v>
      </c>
      <c r="D47" s="453"/>
      <c r="E47" s="453"/>
      <c r="F47" s="453"/>
      <c r="H47"/>
    </row>
    <row r="48" spans="2:8" ht="38" customHeight="1" x14ac:dyDescent="0.2">
      <c r="B48" s="353" t="s">
        <v>306</v>
      </c>
      <c r="C48" s="453" t="s">
        <v>307</v>
      </c>
      <c r="D48" s="453"/>
      <c r="E48" s="453"/>
      <c r="F48" s="453"/>
      <c r="H48"/>
    </row>
    <row r="49" spans="2:8" ht="38" customHeight="1" x14ac:dyDescent="0.2">
      <c r="B49" s="354" t="s">
        <v>308</v>
      </c>
      <c r="C49" s="453" t="s">
        <v>309</v>
      </c>
      <c r="D49" s="453"/>
      <c r="E49" s="453"/>
      <c r="F49" s="453"/>
      <c r="H49"/>
    </row>
    <row r="50" spans="2:8" ht="38" customHeight="1" x14ac:dyDescent="0.2">
      <c r="B50" s="353" t="s">
        <v>310</v>
      </c>
      <c r="C50" s="453" t="s">
        <v>311</v>
      </c>
      <c r="D50" s="453"/>
      <c r="E50" s="453"/>
      <c r="F50" s="453"/>
      <c r="H50"/>
    </row>
    <row r="51" spans="2:8" ht="18" customHeight="1" x14ac:dyDescent="0.2">
      <c r="B51" s="455" t="s">
        <v>312</v>
      </c>
      <c r="C51" s="455"/>
      <c r="D51" s="455"/>
      <c r="E51" s="455"/>
      <c r="F51" s="455"/>
      <c r="H51"/>
    </row>
    <row r="52" spans="2:8" ht="20" customHeight="1" x14ac:dyDescent="0.2">
      <c r="B52" s="452" t="s">
        <v>313</v>
      </c>
      <c r="C52" s="452"/>
      <c r="D52" s="452"/>
      <c r="E52" s="452"/>
      <c r="F52" s="452"/>
      <c r="H52"/>
    </row>
    <row r="53" spans="2:8" ht="38" customHeight="1" x14ac:dyDescent="0.2">
      <c r="B53" s="353" t="s">
        <v>314</v>
      </c>
      <c r="C53" s="453" t="s">
        <v>315</v>
      </c>
      <c r="D53" s="453"/>
      <c r="E53" s="453"/>
      <c r="F53" s="453"/>
      <c r="H53"/>
    </row>
    <row r="54" spans="2:8" ht="38" customHeight="1" x14ac:dyDescent="0.2">
      <c r="B54" s="354" t="s">
        <v>316</v>
      </c>
      <c r="C54" s="453" t="s">
        <v>317</v>
      </c>
      <c r="D54" s="453"/>
      <c r="E54" s="453"/>
      <c r="F54" s="453"/>
      <c r="H54"/>
    </row>
    <row r="55" spans="2:8" ht="38" customHeight="1" x14ac:dyDescent="0.2">
      <c r="B55" s="353" t="s">
        <v>318</v>
      </c>
      <c r="C55" s="453" t="s">
        <v>319</v>
      </c>
      <c r="D55" s="453"/>
      <c r="E55" s="453"/>
      <c r="F55" s="453"/>
      <c r="H55"/>
    </row>
    <row r="56" spans="2:8" ht="38" customHeight="1" x14ac:dyDescent="0.2">
      <c r="B56" s="354" t="s">
        <v>320</v>
      </c>
      <c r="C56" s="453" t="s">
        <v>321</v>
      </c>
      <c r="D56" s="453"/>
      <c r="E56" s="453"/>
      <c r="F56" s="453"/>
      <c r="H56"/>
    </row>
    <row r="57" spans="2:8" ht="38" customHeight="1" x14ac:dyDescent="0.2">
      <c r="B57" s="353" t="s">
        <v>322</v>
      </c>
      <c r="C57" s="453" t="s">
        <v>323</v>
      </c>
      <c r="D57" s="453"/>
      <c r="E57" s="453"/>
      <c r="F57" s="453"/>
      <c r="H57"/>
    </row>
    <row r="58" spans="2:8" ht="18" customHeight="1" x14ac:dyDescent="0.2">
      <c r="B58" s="451" t="s">
        <v>324</v>
      </c>
      <c r="C58" s="451"/>
      <c r="D58" s="451"/>
      <c r="E58" s="451"/>
      <c r="F58" s="451"/>
      <c r="H58"/>
    </row>
    <row r="59" spans="2:8" ht="20" customHeight="1" x14ac:dyDescent="0.2">
      <c r="B59" s="452" t="s">
        <v>325</v>
      </c>
      <c r="C59" s="452"/>
      <c r="D59" s="452"/>
      <c r="E59" s="452"/>
      <c r="F59" s="452"/>
      <c r="H59"/>
    </row>
    <row r="60" spans="2:8" ht="38" customHeight="1" x14ac:dyDescent="0.2">
      <c r="B60" s="353" t="s">
        <v>326</v>
      </c>
      <c r="C60" s="453" t="s">
        <v>327</v>
      </c>
      <c r="D60" s="453"/>
      <c r="E60" s="453"/>
      <c r="F60" s="453"/>
      <c r="H60"/>
    </row>
    <row r="61" spans="2:8" ht="38" customHeight="1" x14ac:dyDescent="0.2">
      <c r="B61" s="354" t="s">
        <v>328</v>
      </c>
      <c r="C61" s="453" t="s">
        <v>329</v>
      </c>
      <c r="D61" s="453"/>
      <c r="E61" s="453"/>
      <c r="F61" s="453"/>
      <c r="H61"/>
    </row>
    <row r="62" spans="2:8" ht="38" customHeight="1" x14ac:dyDescent="0.2">
      <c r="B62" s="353" t="s">
        <v>330</v>
      </c>
      <c r="C62" s="453" t="s">
        <v>331</v>
      </c>
      <c r="D62" s="453"/>
      <c r="E62" s="453"/>
      <c r="F62" s="453"/>
      <c r="H62"/>
    </row>
    <row r="63" spans="2:8" ht="38" customHeight="1" x14ac:dyDescent="0.2">
      <c r="B63" s="354" t="s">
        <v>332</v>
      </c>
      <c r="C63" s="453" t="s">
        <v>333</v>
      </c>
      <c r="D63" s="453"/>
      <c r="E63" s="453"/>
      <c r="F63" s="453"/>
      <c r="H63"/>
    </row>
    <row r="64" spans="2:8" ht="38" customHeight="1" x14ac:dyDescent="0.2">
      <c r="B64" s="353" t="s">
        <v>334</v>
      </c>
      <c r="C64" s="453" t="s">
        <v>335</v>
      </c>
      <c r="D64" s="453"/>
      <c r="E64" s="453"/>
      <c r="F64" s="453"/>
      <c r="H64"/>
    </row>
    <row r="65" spans="2:8" ht="18" customHeight="1" x14ac:dyDescent="0.2">
      <c r="B65" s="451" t="s">
        <v>336</v>
      </c>
      <c r="C65" s="451"/>
      <c r="D65" s="451"/>
      <c r="E65" s="451"/>
      <c r="F65" s="451"/>
      <c r="H65"/>
    </row>
    <row r="66" spans="2:8" ht="8" customHeight="1" x14ac:dyDescent="0.2">
      <c r="H66"/>
    </row>
    <row r="67" spans="2:8" ht="24" customHeight="1" x14ac:dyDescent="0.2">
      <c r="H67"/>
    </row>
    <row r="68" spans="2:8" ht="80" customHeight="1" x14ac:dyDescent="0.2">
      <c r="H68"/>
    </row>
    <row r="69" spans="2:8" ht="8" customHeight="1" x14ac:dyDescent="0.2">
      <c r="H69"/>
    </row>
    <row r="70" spans="2:8" ht="24" customHeight="1" x14ac:dyDescent="0.2">
      <c r="H70"/>
    </row>
    <row r="71" spans="2:8" ht="48" customHeight="1" x14ac:dyDescent="0.2">
      <c r="H71"/>
    </row>
    <row r="72" spans="2:8" ht="48" customHeight="1" x14ac:dyDescent="0.2">
      <c r="H72"/>
    </row>
    <row r="73" spans="2:8" ht="48" customHeight="1" x14ac:dyDescent="0.2">
      <c r="H73"/>
    </row>
    <row r="74" spans="2:8" ht="48" customHeight="1" x14ac:dyDescent="0.2">
      <c r="H74"/>
    </row>
    <row r="75" spans="2:8" ht="48" customHeight="1" x14ac:dyDescent="0.2">
      <c r="H75"/>
    </row>
  </sheetData>
  <mergeCells count="21">
    <mergeCell ref="B45:F45"/>
    <mergeCell ref="B51:F51"/>
    <mergeCell ref="B52:F52"/>
    <mergeCell ref="C55:F55"/>
    <mergeCell ref="C56:F56"/>
    <mergeCell ref="B58:F58"/>
    <mergeCell ref="B59:F59"/>
    <mergeCell ref="B65:F65"/>
    <mergeCell ref="C46:F46"/>
    <mergeCell ref="C47:F47"/>
    <mergeCell ref="C48:F48"/>
    <mergeCell ref="C49:F49"/>
    <mergeCell ref="C50:F50"/>
    <mergeCell ref="C53:F53"/>
    <mergeCell ref="C54:F54"/>
    <mergeCell ref="C57:F57"/>
    <mergeCell ref="C62:F62"/>
    <mergeCell ref="C63:F63"/>
    <mergeCell ref="C64:F64"/>
    <mergeCell ref="C60:F60"/>
    <mergeCell ref="C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Pricing Calculator</vt:lpstr>
      <vt:lpstr>2. Trade Promo Break-Even</vt:lpstr>
      <vt:lpstr>3. SKU Rationalization</vt:lpstr>
      <vt:lpstr>4. Cash Conversion Cycle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Church</dc:creator>
  <cp:lastModifiedBy>Jeffrey Church</cp:lastModifiedBy>
  <dcterms:created xsi:type="dcterms:W3CDTF">2026-04-03T22:38:14Z</dcterms:created>
  <dcterms:modified xsi:type="dcterms:W3CDTF">2026-04-23T14:37:49Z</dcterms:modified>
</cp:coreProperties>
</file>